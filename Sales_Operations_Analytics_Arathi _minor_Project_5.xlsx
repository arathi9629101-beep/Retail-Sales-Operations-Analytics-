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ath\Downloads\"/>
    </mc:Choice>
  </mc:AlternateContent>
  <xr:revisionPtr revIDLastSave="0" documentId="13_ncr:1_{5D07A518-6C02-4CEF-AA99-C629395F6FD0}" xr6:coauthVersionLast="47" xr6:coauthVersionMax="47" xr10:uidLastSave="{00000000-0000-0000-0000-000000000000}"/>
  <bookViews>
    <workbookView xWindow="-108" yWindow="-108" windowWidth="23256" windowHeight="12456" firstSheet="8" activeTab="14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Sheet2" sheetId="13" r:id="rId10"/>
    <sheet name="Sheet3" sheetId="14" r:id="rId11"/>
    <sheet name="Q3_Working" sheetId="12" r:id="rId12"/>
    <sheet name="Q4_Pivot" sheetId="10" r:id="rId13"/>
    <sheet name="Q5_Advanced" sheetId="11" r:id="rId14"/>
    <sheet name="Dashboard" sheetId="15" r:id="rId15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  <pivotCaches>
    <pivotCache cacheId="4" r:id="rId16"/>
    <pivotCache cacheId="9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8" l="1"/>
  <c r="N5" i="15"/>
  <c r="N6" i="15"/>
  <c r="N16" i="15"/>
  <c r="N14" i="15"/>
  <c r="N15" i="15"/>
  <c r="N12" i="15"/>
  <c r="N13" i="15"/>
  <c r="N10" i="15"/>
  <c r="N11" i="15"/>
  <c r="N9" i="15"/>
  <c r="N8" i="15"/>
  <c r="N7" i="15"/>
  <c r="M7" i="15"/>
  <c r="M8" i="15"/>
  <c r="M9" i="15"/>
  <c r="M10" i="15"/>
  <c r="M11" i="15"/>
  <c r="M12" i="15"/>
  <c r="M13" i="15"/>
  <c r="M14" i="15"/>
  <c r="M15" i="15"/>
  <c r="M16" i="15"/>
  <c r="M6" i="15"/>
  <c r="M5" i="15"/>
  <c r="G5" i="15"/>
  <c r="D5" i="15"/>
  <c r="A5" i="15"/>
  <c r="E8" i="11"/>
  <c r="E5" i="11"/>
  <c r="E6" i="11"/>
  <c r="E7" i="11"/>
  <c r="E9" i="11"/>
  <c r="T3" i="12"/>
  <c r="U3" i="12"/>
  <c r="T4" i="12"/>
  <c r="U4" i="12"/>
  <c r="T5" i="12"/>
  <c r="U5" i="12"/>
  <c r="T6" i="12"/>
  <c r="U6" i="12"/>
  <c r="U2" i="12"/>
  <c r="T2" i="12"/>
  <c r="R3" i="12"/>
  <c r="S3" i="12"/>
  <c r="R4" i="12"/>
  <c r="S4" i="12"/>
  <c r="R5" i="12"/>
  <c r="S5" i="12" s="1"/>
  <c r="R6" i="12"/>
  <c r="S6" i="12"/>
  <c r="R7" i="12"/>
  <c r="S7" i="12"/>
  <c r="R8" i="12"/>
  <c r="S8" i="12"/>
  <c r="R9" i="12"/>
  <c r="S9" i="12"/>
  <c r="R10" i="12"/>
  <c r="S10" i="12"/>
  <c r="R11" i="12"/>
  <c r="S11" i="12"/>
  <c r="R12" i="12"/>
  <c r="S12" i="12"/>
  <c r="R13" i="12"/>
  <c r="S13" i="12"/>
  <c r="R14" i="12"/>
  <c r="S14" i="12"/>
  <c r="R15" i="12"/>
  <c r="S15" i="12"/>
  <c r="R16" i="12"/>
  <c r="S16" i="12"/>
  <c r="R17" i="12"/>
  <c r="S17" i="12"/>
  <c r="R18" i="12"/>
  <c r="S18" i="12"/>
  <c r="R19" i="12"/>
  <c r="S19" i="12"/>
  <c r="R20" i="12"/>
  <c r="S20" i="12"/>
  <c r="R21" i="12"/>
  <c r="S21" i="12"/>
  <c r="R22" i="12"/>
  <c r="S22" i="12"/>
  <c r="R23" i="12"/>
  <c r="S23" i="12"/>
  <c r="R24" i="12"/>
  <c r="S24" i="12"/>
  <c r="R25" i="12"/>
  <c r="S25" i="12"/>
  <c r="R26" i="12"/>
  <c r="S26" i="12"/>
  <c r="R27" i="12"/>
  <c r="S27" i="12"/>
  <c r="R28" i="12"/>
  <c r="S28" i="12"/>
  <c r="R29" i="12"/>
  <c r="S29" i="12" s="1"/>
  <c r="R30" i="12"/>
  <c r="S30" i="12"/>
  <c r="R31" i="12"/>
  <c r="S31" i="12"/>
  <c r="R32" i="12"/>
  <c r="S32" i="12"/>
  <c r="R33" i="12"/>
  <c r="S33" i="12"/>
  <c r="R34" i="12"/>
  <c r="S34" i="12"/>
  <c r="R35" i="12"/>
  <c r="S35" i="12"/>
  <c r="R36" i="12"/>
  <c r="S36" i="12" s="1"/>
  <c r="R37" i="12"/>
  <c r="S37" i="12" s="1"/>
  <c r="R38" i="12"/>
  <c r="S38" i="12" s="1"/>
  <c r="R39" i="12"/>
  <c r="S39" i="12" s="1"/>
  <c r="R40" i="12"/>
  <c r="S40" i="12" s="1"/>
  <c r="R41" i="12"/>
  <c r="S41" i="12" s="1"/>
  <c r="R42" i="12"/>
  <c r="S42" i="12" s="1"/>
  <c r="R43" i="12"/>
  <c r="S43" i="12" s="1"/>
  <c r="R44" i="12"/>
  <c r="S44" i="12" s="1"/>
  <c r="R45" i="12"/>
  <c r="S45" i="12" s="1"/>
  <c r="R46" i="12"/>
  <c r="S46" i="12" s="1"/>
  <c r="R47" i="12"/>
  <c r="S47" i="12" s="1"/>
  <c r="R48" i="12"/>
  <c r="S48" i="12" s="1"/>
  <c r="R49" i="12"/>
  <c r="S49" i="12" s="1"/>
  <c r="R50" i="12"/>
  <c r="S50" i="12" s="1"/>
  <c r="R51" i="12"/>
  <c r="S51" i="12" s="1"/>
  <c r="R52" i="12"/>
  <c r="S52" i="12" s="1"/>
  <c r="R53" i="12"/>
  <c r="S53" i="12" s="1"/>
  <c r="R54" i="12"/>
  <c r="S54" i="12" s="1"/>
  <c r="R55" i="12"/>
  <c r="S55" i="12" s="1"/>
  <c r="R56" i="12"/>
  <c r="S56" i="12" s="1"/>
  <c r="R57" i="12"/>
  <c r="S57" i="12" s="1"/>
  <c r="R58" i="12"/>
  <c r="S58" i="12" s="1"/>
  <c r="R59" i="12"/>
  <c r="S59" i="12" s="1"/>
  <c r="R60" i="12"/>
  <c r="S60" i="12" s="1"/>
  <c r="R61" i="12"/>
  <c r="S61" i="12"/>
  <c r="S2" i="12"/>
  <c r="R2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29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3" i="12"/>
  <c r="Q554" i="12"/>
  <c r="Q555" i="12"/>
  <c r="Q556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573" i="12"/>
  <c r="Q574" i="12"/>
  <c r="Q575" i="12"/>
  <c r="Q576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7" i="12"/>
  <c r="Q598" i="12"/>
  <c r="Q599" i="12"/>
  <c r="Q600" i="12"/>
  <c r="Q601" i="12"/>
  <c r="Q602" i="12"/>
  <c r="Q603" i="12"/>
  <c r="Q604" i="12"/>
  <c r="Q605" i="12"/>
  <c r="Q606" i="12"/>
  <c r="Q607" i="12"/>
  <c r="Q608" i="12"/>
  <c r="Q609" i="12"/>
  <c r="Q610" i="12"/>
  <c r="Q611" i="12"/>
  <c r="Q612" i="12"/>
  <c r="Q613" i="12"/>
  <c r="Q614" i="12"/>
  <c r="Q615" i="12"/>
  <c r="Q616" i="12"/>
  <c r="Q617" i="12"/>
  <c r="Q618" i="12"/>
  <c r="Q619" i="12"/>
  <c r="Q620" i="12"/>
  <c r="Q621" i="12"/>
  <c r="Q622" i="12"/>
  <c r="Q623" i="12"/>
  <c r="Q624" i="12"/>
  <c r="Q625" i="12"/>
  <c r="Q626" i="12"/>
  <c r="Q627" i="12"/>
  <c r="Q628" i="12"/>
  <c r="Q629" i="12"/>
  <c r="Q630" i="12"/>
  <c r="Q631" i="12"/>
  <c r="Q632" i="12"/>
  <c r="Q633" i="12"/>
  <c r="Q634" i="12"/>
  <c r="Q635" i="12"/>
  <c r="Q636" i="12"/>
  <c r="Q637" i="12"/>
  <c r="Q638" i="12"/>
  <c r="Q639" i="12"/>
  <c r="Q640" i="12"/>
  <c r="Q641" i="12"/>
  <c r="Q642" i="12"/>
  <c r="Q643" i="12"/>
  <c r="Q644" i="12"/>
  <c r="Q645" i="12"/>
  <c r="Q646" i="12"/>
  <c r="Q647" i="12"/>
  <c r="Q648" i="12"/>
  <c r="Q649" i="12"/>
  <c r="Q650" i="12"/>
  <c r="Q651" i="12"/>
  <c r="Q652" i="12"/>
  <c r="Q653" i="12"/>
  <c r="Q654" i="12"/>
  <c r="Q655" i="12"/>
  <c r="Q656" i="12"/>
  <c r="Q657" i="12"/>
  <c r="Q658" i="12"/>
  <c r="Q659" i="12"/>
  <c r="Q660" i="12"/>
  <c r="Q661" i="12"/>
  <c r="Q662" i="12"/>
  <c r="Q663" i="12"/>
  <c r="Q664" i="12"/>
  <c r="Q665" i="12"/>
  <c r="Q666" i="12"/>
  <c r="Q667" i="12"/>
  <c r="Q668" i="12"/>
  <c r="Q669" i="12"/>
  <c r="Q670" i="12"/>
  <c r="Q671" i="12"/>
  <c r="Q672" i="12"/>
  <c r="Q673" i="12"/>
  <c r="Q674" i="12"/>
  <c r="Q675" i="12"/>
  <c r="Q676" i="12"/>
  <c r="Q677" i="12"/>
  <c r="Q678" i="12"/>
  <c r="Q679" i="12"/>
  <c r="Q680" i="12"/>
  <c r="Q681" i="12"/>
  <c r="Q682" i="12"/>
  <c r="Q683" i="12"/>
  <c r="Q684" i="12"/>
  <c r="Q685" i="12"/>
  <c r="Q686" i="12"/>
  <c r="Q687" i="12"/>
  <c r="Q688" i="12"/>
  <c r="Q689" i="12"/>
  <c r="Q690" i="12"/>
  <c r="Q691" i="12"/>
  <c r="Q692" i="12"/>
  <c r="Q693" i="12"/>
  <c r="Q694" i="12"/>
  <c r="Q695" i="12"/>
  <c r="Q696" i="12"/>
  <c r="Q697" i="12"/>
  <c r="Q698" i="12"/>
  <c r="Q699" i="12"/>
  <c r="Q700" i="12"/>
  <c r="Q701" i="12"/>
  <c r="Q702" i="12"/>
  <c r="Q703" i="12"/>
  <c r="Q704" i="12"/>
  <c r="Q705" i="12"/>
  <c r="Q706" i="12"/>
  <c r="Q707" i="12"/>
  <c r="Q708" i="12"/>
  <c r="Q709" i="12"/>
  <c r="Q710" i="12"/>
  <c r="Q711" i="12"/>
  <c r="Q712" i="12"/>
  <c r="Q713" i="12"/>
  <c r="Q714" i="12"/>
  <c r="Q715" i="12"/>
  <c r="Q716" i="12"/>
  <c r="Q717" i="12"/>
  <c r="Q718" i="12"/>
  <c r="Q719" i="12"/>
  <c r="Q720" i="12"/>
  <c r="Q721" i="12"/>
  <c r="Q722" i="12"/>
  <c r="Q723" i="12"/>
  <c r="Q724" i="12"/>
  <c r="Q725" i="12"/>
  <c r="Q726" i="12"/>
  <c r="Q727" i="12"/>
  <c r="Q728" i="12"/>
  <c r="Q729" i="12"/>
  <c r="Q730" i="12"/>
  <c r="Q731" i="12"/>
  <c r="Q732" i="12"/>
  <c r="Q733" i="12"/>
  <c r="Q734" i="12"/>
  <c r="Q735" i="12"/>
  <c r="Q736" i="12"/>
  <c r="Q737" i="12"/>
  <c r="Q738" i="12"/>
  <c r="Q739" i="12"/>
  <c r="Q740" i="12"/>
  <c r="Q741" i="12"/>
  <c r="Q742" i="12"/>
  <c r="Q743" i="12"/>
  <c r="Q744" i="12"/>
  <c r="Q745" i="12"/>
  <c r="Q746" i="12"/>
  <c r="Q747" i="12"/>
  <c r="Q748" i="12"/>
  <c r="Q749" i="12"/>
  <c r="Q750" i="12"/>
  <c r="Q751" i="12"/>
  <c r="Q752" i="12"/>
  <c r="Q753" i="12"/>
  <c r="Q754" i="12"/>
  <c r="Q755" i="12"/>
  <c r="Q756" i="12"/>
  <c r="Q757" i="12"/>
  <c r="Q758" i="12"/>
  <c r="Q759" i="12"/>
  <c r="Q760" i="12"/>
  <c r="Q761" i="12"/>
  <c r="Q762" i="12"/>
  <c r="Q763" i="12"/>
  <c r="Q764" i="12"/>
  <c r="Q765" i="12"/>
  <c r="Q766" i="12"/>
  <c r="Q767" i="12"/>
  <c r="Q768" i="12"/>
  <c r="Q769" i="12"/>
  <c r="Q770" i="12"/>
  <c r="Q771" i="12"/>
  <c r="Q772" i="12"/>
  <c r="Q773" i="12"/>
  <c r="Q774" i="12"/>
  <c r="Q775" i="12"/>
  <c r="Q776" i="12"/>
  <c r="Q777" i="12"/>
  <c r="Q778" i="12"/>
  <c r="Q779" i="12"/>
  <c r="Q780" i="12"/>
  <c r="Q781" i="12"/>
  <c r="Q782" i="12"/>
  <c r="Q783" i="12"/>
  <c r="Q784" i="12"/>
  <c r="Q785" i="12"/>
  <c r="Q786" i="12"/>
  <c r="Q787" i="12"/>
  <c r="Q788" i="12"/>
  <c r="Q789" i="12"/>
  <c r="Q790" i="12"/>
  <c r="Q791" i="12"/>
  <c r="Q792" i="12"/>
  <c r="Q793" i="12"/>
  <c r="Q794" i="12"/>
  <c r="Q795" i="12"/>
  <c r="Q796" i="12"/>
  <c r="Q797" i="12"/>
  <c r="Q798" i="12"/>
  <c r="Q799" i="12"/>
  <c r="Q800" i="12"/>
  <c r="Q801" i="12"/>
  <c r="Q802" i="12"/>
  <c r="Q803" i="12"/>
  <c r="Q804" i="12"/>
  <c r="Q805" i="12"/>
  <c r="Q806" i="12"/>
  <c r="Q807" i="12"/>
  <c r="Q808" i="12"/>
  <c r="Q809" i="12"/>
  <c r="Q810" i="12"/>
  <c r="Q811" i="12"/>
  <c r="Q812" i="12"/>
  <c r="Q813" i="12"/>
  <c r="Q814" i="12"/>
  <c r="Q815" i="12"/>
  <c r="Q816" i="12"/>
  <c r="Q817" i="12"/>
  <c r="Q818" i="12"/>
  <c r="Q819" i="12"/>
  <c r="Q820" i="12"/>
  <c r="Q821" i="12"/>
  <c r="Q822" i="12"/>
  <c r="Q823" i="12"/>
  <c r="Q824" i="12"/>
  <c r="Q825" i="12"/>
  <c r="Q826" i="12"/>
  <c r="Q827" i="12"/>
  <c r="Q828" i="12"/>
  <c r="Q829" i="12"/>
  <c r="Q830" i="12"/>
  <c r="Q831" i="12"/>
  <c r="Q832" i="12"/>
  <c r="Q833" i="12"/>
  <c r="Q834" i="12"/>
  <c r="Q835" i="12"/>
  <c r="Q836" i="12"/>
  <c r="Q837" i="12"/>
  <c r="Q838" i="12"/>
  <c r="Q839" i="12"/>
  <c r="Q840" i="12"/>
  <c r="Q841" i="12"/>
  <c r="Q842" i="12"/>
  <c r="Q843" i="12"/>
  <c r="Q844" i="12"/>
  <c r="Q845" i="12"/>
  <c r="Q846" i="12"/>
  <c r="Q847" i="12"/>
  <c r="Q848" i="12"/>
  <c r="Q849" i="12"/>
  <c r="Q850" i="12"/>
  <c r="Q851" i="12"/>
  <c r="Q852" i="12"/>
  <c r="Q853" i="12"/>
  <c r="Q854" i="12"/>
  <c r="Q855" i="12"/>
  <c r="Q856" i="12"/>
  <c r="Q857" i="12"/>
  <c r="Q858" i="12"/>
  <c r="Q859" i="12"/>
  <c r="Q860" i="12"/>
  <c r="Q861" i="12"/>
  <c r="Q862" i="12"/>
  <c r="Q863" i="12"/>
  <c r="Q864" i="12"/>
  <c r="Q865" i="12"/>
  <c r="Q866" i="12"/>
  <c r="Q867" i="12"/>
  <c r="Q868" i="12"/>
  <c r="Q869" i="12"/>
  <c r="Q870" i="12"/>
  <c r="Q871" i="12"/>
  <c r="Q872" i="12"/>
  <c r="Q873" i="12"/>
  <c r="Q874" i="12"/>
  <c r="Q875" i="12"/>
  <c r="Q876" i="12"/>
  <c r="Q877" i="12"/>
  <c r="Q878" i="12"/>
  <c r="Q879" i="12"/>
  <c r="Q880" i="12"/>
  <c r="Q881" i="12"/>
  <c r="Q882" i="12"/>
  <c r="Q883" i="12"/>
  <c r="Q884" i="12"/>
  <c r="Q885" i="12"/>
  <c r="Q886" i="12"/>
  <c r="Q887" i="12"/>
  <c r="Q888" i="12"/>
  <c r="Q889" i="12"/>
  <c r="Q890" i="12"/>
  <c r="Q891" i="12"/>
  <c r="Q892" i="12"/>
  <c r="Q893" i="12"/>
  <c r="Q894" i="12"/>
  <c r="Q895" i="12"/>
  <c r="Q896" i="12"/>
  <c r="Q897" i="12"/>
  <c r="Q898" i="12"/>
  <c r="Q899" i="12"/>
  <c r="Q900" i="12"/>
  <c r="Q901" i="12"/>
  <c r="Q902" i="12"/>
  <c r="Q903" i="12"/>
  <c r="Q904" i="12"/>
  <c r="Q905" i="12"/>
  <c r="Q906" i="12"/>
  <c r="Q907" i="12"/>
  <c r="Q908" i="12"/>
  <c r="Q909" i="12"/>
  <c r="Q910" i="12"/>
  <c r="Q911" i="12"/>
  <c r="Q912" i="12"/>
  <c r="Q913" i="12"/>
  <c r="Q914" i="12"/>
  <c r="Q915" i="12"/>
  <c r="Q916" i="12"/>
  <c r="Q917" i="12"/>
  <c r="Q918" i="12"/>
  <c r="Q919" i="12"/>
  <c r="Q920" i="12"/>
  <c r="Q921" i="12"/>
  <c r="Q922" i="12"/>
  <c r="Q923" i="12"/>
  <c r="Q924" i="12"/>
  <c r="Q925" i="12"/>
  <c r="Q926" i="12"/>
  <c r="Q927" i="12"/>
  <c r="Q928" i="12"/>
  <c r="Q929" i="12"/>
  <c r="Q930" i="12"/>
  <c r="Q931" i="12"/>
  <c r="Q932" i="12"/>
  <c r="Q933" i="12"/>
  <c r="Q934" i="12"/>
  <c r="Q935" i="12"/>
  <c r="Q936" i="12"/>
  <c r="Q937" i="12"/>
  <c r="Q938" i="12"/>
  <c r="Q939" i="12"/>
  <c r="Q940" i="12"/>
  <c r="Q941" i="12"/>
  <c r="Q942" i="12"/>
  <c r="Q943" i="12"/>
  <c r="Q944" i="12"/>
  <c r="Q945" i="12"/>
  <c r="Q946" i="12"/>
  <c r="Q947" i="12"/>
  <c r="Q948" i="12"/>
  <c r="Q949" i="12"/>
  <c r="Q950" i="12"/>
  <c r="Q951" i="12"/>
  <c r="Q952" i="12"/>
  <c r="Q953" i="12"/>
  <c r="Q954" i="12"/>
  <c r="Q955" i="12"/>
  <c r="Q956" i="12"/>
  <c r="Q957" i="12"/>
  <c r="Q958" i="12"/>
  <c r="Q959" i="12"/>
  <c r="Q960" i="12"/>
  <c r="Q961" i="12"/>
  <c r="Q962" i="12"/>
  <c r="Q963" i="12"/>
  <c r="Q964" i="12"/>
  <c r="Q965" i="12"/>
  <c r="Q966" i="12"/>
  <c r="Q967" i="12"/>
  <c r="Q968" i="12"/>
  <c r="Q969" i="12"/>
  <c r="Q970" i="12"/>
  <c r="Q971" i="12"/>
  <c r="Q972" i="12"/>
  <c r="Q973" i="12"/>
  <c r="Q974" i="12"/>
  <c r="Q975" i="12"/>
  <c r="Q976" i="12"/>
  <c r="Q977" i="12"/>
  <c r="Q978" i="12"/>
  <c r="Q979" i="12"/>
  <c r="Q980" i="12"/>
  <c r="Q981" i="12"/>
  <c r="Q982" i="12"/>
  <c r="Q983" i="12"/>
  <c r="Q984" i="12"/>
  <c r="Q985" i="12"/>
  <c r="Q986" i="12"/>
  <c r="Q987" i="12"/>
  <c r="Q988" i="12"/>
  <c r="Q989" i="12"/>
  <c r="Q990" i="12"/>
  <c r="Q991" i="12"/>
  <c r="Q992" i="12"/>
  <c r="Q993" i="12"/>
  <c r="Q994" i="12"/>
  <c r="Q995" i="12"/>
  <c r="Q996" i="12"/>
  <c r="Q997" i="12"/>
  <c r="Q998" i="12"/>
  <c r="Q999" i="12"/>
  <c r="Q1000" i="12"/>
  <c r="Q1001" i="12"/>
  <c r="Q1002" i="12"/>
  <c r="Q1003" i="12"/>
  <c r="Q1004" i="12"/>
  <c r="Q1005" i="12"/>
  <c r="Q1006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19" i="12"/>
  <c r="Q1020" i="12"/>
  <c r="Q1021" i="12"/>
  <c r="Q1022" i="12"/>
  <c r="Q1023" i="12"/>
  <c r="Q1024" i="12"/>
  <c r="Q1025" i="12"/>
  <c r="Q1026" i="12"/>
  <c r="Q1027" i="12"/>
  <c r="Q1028" i="12"/>
  <c r="Q1029" i="12"/>
  <c r="Q1030" i="12"/>
  <c r="Q1031" i="12"/>
  <c r="Q1032" i="12"/>
  <c r="Q1033" i="12"/>
  <c r="Q1034" i="12"/>
  <c r="Q1035" i="12"/>
  <c r="Q1036" i="12"/>
  <c r="Q1037" i="12"/>
  <c r="Q1038" i="12"/>
  <c r="Q1039" i="12"/>
  <c r="Q1040" i="12"/>
  <c r="Q1041" i="12"/>
  <c r="Q1042" i="12"/>
  <c r="Q1043" i="12"/>
  <c r="Q1044" i="12"/>
  <c r="Q1045" i="12"/>
  <c r="Q1046" i="12"/>
  <c r="Q1047" i="12"/>
  <c r="Q1048" i="12"/>
  <c r="Q1049" i="12"/>
  <c r="Q1050" i="12"/>
  <c r="Q1051" i="12"/>
  <c r="Q1052" i="12"/>
  <c r="Q1053" i="12"/>
  <c r="Q1054" i="12"/>
  <c r="Q1055" i="12"/>
  <c r="Q1056" i="12"/>
  <c r="Q1057" i="12"/>
  <c r="Q1058" i="12"/>
  <c r="Q1059" i="12"/>
  <c r="Q1060" i="12"/>
  <c r="Q1061" i="12"/>
  <c r="Q1062" i="12"/>
  <c r="Q1063" i="12"/>
  <c r="Q1064" i="12"/>
  <c r="Q1065" i="12"/>
  <c r="Q1066" i="12"/>
  <c r="Q1067" i="12"/>
  <c r="Q1068" i="12"/>
  <c r="Q1069" i="12"/>
  <c r="Q1070" i="12"/>
  <c r="Q1071" i="12"/>
  <c r="Q1072" i="12"/>
  <c r="Q1073" i="12"/>
  <c r="Q1074" i="12"/>
  <c r="Q1075" i="12"/>
  <c r="Q1076" i="12"/>
  <c r="Q1077" i="12"/>
  <c r="Q1078" i="12"/>
  <c r="Q1079" i="12"/>
  <c r="Q1080" i="12"/>
  <c r="Q1081" i="12"/>
  <c r="Q1082" i="12"/>
  <c r="Q1083" i="12"/>
  <c r="Q1084" i="12"/>
  <c r="Q1085" i="12"/>
  <c r="Q1086" i="12"/>
  <c r="Q1087" i="12"/>
  <c r="Q1088" i="12"/>
  <c r="Q1089" i="12"/>
  <c r="Q1090" i="12"/>
  <c r="Q1091" i="12"/>
  <c r="Q1092" i="12"/>
  <c r="Q1093" i="12"/>
  <c r="Q1094" i="12"/>
  <c r="Q1095" i="12"/>
  <c r="Q1096" i="12"/>
  <c r="Q1097" i="12"/>
  <c r="Q1098" i="12"/>
  <c r="Q1099" i="12"/>
  <c r="Q1100" i="12"/>
  <c r="Q1101" i="12"/>
  <c r="Q1102" i="12"/>
  <c r="Q1103" i="12"/>
  <c r="Q1104" i="12"/>
  <c r="Q1105" i="12"/>
  <c r="Q1106" i="12"/>
  <c r="Q1107" i="12"/>
  <c r="Q1108" i="12"/>
  <c r="Q1109" i="12"/>
  <c r="Q1110" i="12"/>
  <c r="Q1111" i="12"/>
  <c r="Q1112" i="12"/>
  <c r="Q1113" i="12"/>
  <c r="Q1114" i="12"/>
  <c r="Q1115" i="12"/>
  <c r="Q1116" i="12"/>
  <c r="Q1117" i="12"/>
  <c r="Q1118" i="12"/>
  <c r="Q1119" i="12"/>
  <c r="Q1120" i="12"/>
  <c r="Q1121" i="12"/>
  <c r="Q1122" i="12"/>
  <c r="Q1123" i="12"/>
  <c r="Q1124" i="12"/>
  <c r="Q1125" i="12"/>
  <c r="Q1126" i="12"/>
  <c r="Q1127" i="12"/>
  <c r="Q1128" i="12"/>
  <c r="Q1129" i="12"/>
  <c r="Q1130" i="12"/>
  <c r="Q1131" i="12"/>
  <c r="Q1132" i="12"/>
  <c r="Q1133" i="12"/>
  <c r="Q1134" i="12"/>
  <c r="Q1135" i="12"/>
  <c r="Q1136" i="12"/>
  <c r="Q1137" i="12"/>
  <c r="Q1138" i="12"/>
  <c r="Q1139" i="12"/>
  <c r="Q1140" i="12"/>
  <c r="Q1141" i="12"/>
  <c r="Q1142" i="12"/>
  <c r="Q1143" i="12"/>
  <c r="Q1144" i="12"/>
  <c r="Q1145" i="12"/>
  <c r="Q1146" i="12"/>
  <c r="Q1147" i="12"/>
  <c r="Q1148" i="12"/>
  <c r="Q1149" i="12"/>
  <c r="Q1150" i="12"/>
  <c r="Q1151" i="12"/>
  <c r="Q1152" i="12"/>
  <c r="Q1153" i="12"/>
  <c r="Q1154" i="12"/>
  <c r="Q1155" i="12"/>
  <c r="Q1156" i="12"/>
  <c r="Q1157" i="12"/>
  <c r="Q1158" i="12"/>
  <c r="Q1159" i="12"/>
  <c r="Q1160" i="12"/>
  <c r="Q1161" i="12"/>
  <c r="Q1162" i="12"/>
  <c r="Q1163" i="12"/>
  <c r="Q1164" i="12"/>
  <c r="Q1165" i="12"/>
  <c r="Q1166" i="12"/>
  <c r="Q1167" i="12"/>
  <c r="Q1168" i="12"/>
  <c r="Q1169" i="12"/>
  <c r="Q1170" i="12"/>
  <c r="Q1171" i="12"/>
  <c r="Q1172" i="12"/>
  <c r="Q1173" i="12"/>
  <c r="Q1174" i="12"/>
  <c r="Q1175" i="12"/>
  <c r="Q1176" i="12"/>
  <c r="Q1177" i="12"/>
  <c r="Q1178" i="12"/>
  <c r="Q1179" i="12"/>
  <c r="Q1180" i="12"/>
  <c r="Q1181" i="12"/>
  <c r="Q1182" i="12"/>
  <c r="Q1183" i="12"/>
  <c r="Q1184" i="12"/>
  <c r="Q1185" i="12"/>
  <c r="Q1186" i="12"/>
  <c r="Q1187" i="12"/>
  <c r="Q1188" i="12"/>
  <c r="Q1189" i="12"/>
  <c r="Q1190" i="12"/>
  <c r="Q1191" i="12"/>
  <c r="Q1192" i="12"/>
  <c r="Q1193" i="12"/>
  <c r="Q1194" i="12"/>
  <c r="Q1195" i="12"/>
  <c r="Q1196" i="12"/>
  <c r="Q1197" i="12"/>
  <c r="Q1198" i="12"/>
  <c r="Q1199" i="12"/>
  <c r="Q1200" i="12"/>
  <c r="Q1201" i="12"/>
  <c r="Q1202" i="12"/>
  <c r="Q1203" i="12"/>
  <c r="Q1204" i="12"/>
  <c r="Q1205" i="12"/>
  <c r="Q1206" i="12"/>
  <c r="Q1207" i="12"/>
  <c r="Q1208" i="12"/>
  <c r="Q1209" i="12"/>
  <c r="Q1210" i="12"/>
  <c r="Q1211" i="12"/>
  <c r="Q1212" i="12"/>
  <c r="Q1213" i="12"/>
  <c r="Q1214" i="12"/>
  <c r="Q1215" i="12"/>
  <c r="Q1216" i="12"/>
  <c r="Q1217" i="12"/>
  <c r="Q1218" i="12"/>
  <c r="Q1219" i="12"/>
  <c r="Q1220" i="12"/>
  <c r="Q1221" i="12"/>
  <c r="Q1222" i="12"/>
  <c r="Q1223" i="12"/>
  <c r="Q1224" i="12"/>
  <c r="Q1225" i="12"/>
  <c r="Q1226" i="12"/>
  <c r="Q1227" i="12"/>
  <c r="Q1228" i="12"/>
  <c r="Q1229" i="12"/>
  <c r="Q1230" i="12"/>
  <c r="Q1231" i="12"/>
  <c r="Q1232" i="12"/>
  <c r="Q1233" i="12"/>
  <c r="Q1234" i="12"/>
  <c r="Q1235" i="12"/>
  <c r="Q1236" i="12"/>
  <c r="Q1237" i="12"/>
  <c r="Q1238" i="12"/>
  <c r="Q1239" i="12"/>
  <c r="Q1240" i="12"/>
  <c r="Q1241" i="12"/>
  <c r="Q1242" i="12"/>
  <c r="Q1243" i="12"/>
  <c r="Q1244" i="12"/>
  <c r="Q1245" i="12"/>
  <c r="Q1246" i="12"/>
  <c r="Q1247" i="12"/>
  <c r="Q1248" i="12"/>
  <c r="Q1249" i="12"/>
  <c r="Q1250" i="12"/>
  <c r="Q1251" i="12"/>
  <c r="Q1252" i="12"/>
  <c r="Q1253" i="12"/>
  <c r="Q1254" i="12"/>
  <c r="Q1255" i="12"/>
  <c r="Q1256" i="12"/>
  <c r="Q1257" i="12"/>
  <c r="Q1258" i="12"/>
  <c r="Q1259" i="12"/>
  <c r="Q1260" i="12"/>
  <c r="Q1261" i="12"/>
  <c r="Q1262" i="12"/>
  <c r="Q1263" i="12"/>
  <c r="Q1264" i="12"/>
  <c r="Q1265" i="12"/>
  <c r="Q1266" i="12"/>
  <c r="Q1267" i="12"/>
  <c r="Q1268" i="12"/>
  <c r="Q1269" i="12"/>
  <c r="Q1270" i="12"/>
  <c r="Q1271" i="12"/>
  <c r="Q1272" i="12"/>
  <c r="Q1273" i="12"/>
  <c r="Q1274" i="12"/>
  <c r="Q1275" i="12"/>
  <c r="Q1276" i="12"/>
  <c r="Q1277" i="12"/>
  <c r="Q1278" i="12"/>
  <c r="Q1279" i="12"/>
  <c r="Q1280" i="12"/>
  <c r="Q1281" i="12"/>
  <c r="Q1282" i="12"/>
  <c r="Q1283" i="12"/>
  <c r="Q1284" i="12"/>
  <c r="Q1285" i="12"/>
  <c r="Q1286" i="12"/>
  <c r="Q1287" i="12"/>
  <c r="Q1288" i="12"/>
  <c r="Q1289" i="12"/>
  <c r="Q1290" i="12"/>
  <c r="Q1291" i="12"/>
  <c r="Q1292" i="12"/>
  <c r="Q1293" i="12"/>
  <c r="Q1294" i="12"/>
  <c r="Q1295" i="12"/>
  <c r="Q1296" i="12"/>
  <c r="Q1297" i="12"/>
  <c r="Q1298" i="12"/>
  <c r="Q1299" i="12"/>
  <c r="Q1300" i="12"/>
  <c r="Q1301" i="12"/>
  <c r="Q1302" i="12"/>
  <c r="Q1303" i="12"/>
  <c r="Q1304" i="12"/>
  <c r="Q1305" i="12"/>
  <c r="Q1306" i="12"/>
  <c r="Q1307" i="12"/>
  <c r="Q1308" i="12"/>
  <c r="Q1309" i="12"/>
  <c r="Q1310" i="12"/>
  <c r="Q1311" i="12"/>
  <c r="Q1312" i="12"/>
  <c r="Q1313" i="12"/>
  <c r="Q1314" i="12"/>
  <c r="Q1315" i="12"/>
  <c r="Q1316" i="12"/>
  <c r="Q1317" i="12"/>
  <c r="Q1318" i="12"/>
  <c r="Q1319" i="12"/>
  <c r="Q1320" i="12"/>
  <c r="Q1321" i="12"/>
  <c r="Q1322" i="12"/>
  <c r="Q1323" i="12"/>
  <c r="Q1324" i="12"/>
  <c r="Q1325" i="12"/>
  <c r="Q1326" i="12"/>
  <c r="Q1327" i="12"/>
  <c r="Q1328" i="12"/>
  <c r="Q1329" i="12"/>
  <c r="Q1330" i="12"/>
  <c r="Q1331" i="12"/>
  <c r="Q1332" i="12"/>
  <c r="Q1333" i="12"/>
  <c r="Q1334" i="12"/>
  <c r="Q1335" i="12"/>
  <c r="Q1336" i="12"/>
  <c r="Q1337" i="12"/>
  <c r="Q1338" i="12"/>
  <c r="Q1339" i="12"/>
  <c r="Q1340" i="12"/>
  <c r="Q1341" i="12"/>
  <c r="Q1342" i="12"/>
  <c r="Q1343" i="12"/>
  <c r="Q1344" i="12"/>
  <c r="Q1345" i="12"/>
  <c r="Q1346" i="12"/>
  <c r="Q1347" i="12"/>
  <c r="Q1348" i="12"/>
  <c r="Q1349" i="12"/>
  <c r="Q1350" i="12"/>
  <c r="Q1351" i="12"/>
  <c r="Q1352" i="12"/>
  <c r="Q1353" i="12"/>
  <c r="Q1354" i="12"/>
  <c r="Q1355" i="12"/>
  <c r="Q1356" i="12"/>
  <c r="Q1357" i="12"/>
  <c r="Q1358" i="12"/>
  <c r="Q1359" i="12"/>
  <c r="Q1360" i="12"/>
  <c r="Q1361" i="12"/>
  <c r="Q1362" i="12"/>
  <c r="Q1363" i="12"/>
  <c r="Q1364" i="12"/>
  <c r="Q1365" i="12"/>
  <c r="Q1366" i="12"/>
  <c r="Q1367" i="12"/>
  <c r="Q1368" i="12"/>
  <c r="Q1369" i="12"/>
  <c r="Q1370" i="12"/>
  <c r="Q1371" i="12"/>
  <c r="Q1372" i="12"/>
  <c r="Q1373" i="12"/>
  <c r="Q1374" i="12"/>
  <c r="Q1375" i="12"/>
  <c r="Q1376" i="12"/>
  <c r="Q1377" i="12"/>
  <c r="Q1378" i="12"/>
  <c r="Q1379" i="12"/>
  <c r="Q1380" i="12"/>
  <c r="Q1381" i="12"/>
  <c r="Q1382" i="12"/>
  <c r="Q1383" i="12"/>
  <c r="Q1384" i="12"/>
  <c r="Q1385" i="12"/>
  <c r="Q1386" i="12"/>
  <c r="Q1387" i="12"/>
  <c r="Q1388" i="12"/>
  <c r="Q1389" i="12"/>
  <c r="Q1390" i="12"/>
  <c r="Q1391" i="12"/>
  <c r="Q1392" i="12"/>
  <c r="Q1393" i="12"/>
  <c r="Q1394" i="12"/>
  <c r="Q1395" i="12"/>
  <c r="Q1396" i="12"/>
  <c r="Q1397" i="12"/>
  <c r="Q1398" i="12"/>
  <c r="Q1399" i="12"/>
  <c r="Q1400" i="12"/>
  <c r="Q1401" i="12"/>
  <c r="Q1402" i="12"/>
  <c r="Q1403" i="12"/>
  <c r="Q1404" i="12"/>
  <c r="Q1405" i="12"/>
  <c r="Q1406" i="12"/>
  <c r="Q1407" i="12"/>
  <c r="Q1408" i="12"/>
  <c r="Q1409" i="12"/>
  <c r="Q1410" i="12"/>
  <c r="Q1411" i="12"/>
  <c r="Q1412" i="12"/>
  <c r="Q1413" i="12"/>
  <c r="Q1414" i="12"/>
  <c r="Q1415" i="12"/>
  <c r="Q1416" i="12"/>
  <c r="Q1417" i="12"/>
  <c r="Q1418" i="12"/>
  <c r="Q1419" i="12"/>
  <c r="Q1420" i="12"/>
  <c r="Q1421" i="12"/>
  <c r="Q1422" i="12"/>
  <c r="Q1423" i="12"/>
  <c r="Q1424" i="12"/>
  <c r="Q1425" i="12"/>
  <c r="Q1426" i="12"/>
  <c r="Q1427" i="12"/>
  <c r="Q1428" i="12"/>
  <c r="Q1429" i="12"/>
  <c r="Q1430" i="12"/>
  <c r="Q1431" i="12"/>
  <c r="Q1432" i="12"/>
  <c r="Q1433" i="12"/>
  <c r="Q1434" i="12"/>
  <c r="Q1435" i="12"/>
  <c r="Q1436" i="12"/>
  <c r="Q1437" i="12"/>
  <c r="Q1438" i="12"/>
  <c r="Q1439" i="12"/>
  <c r="Q1440" i="12"/>
  <c r="Q1441" i="12"/>
  <c r="Q1442" i="12"/>
  <c r="Q1443" i="12"/>
  <c r="Q1444" i="12"/>
  <c r="Q1445" i="12"/>
  <c r="Q1446" i="12"/>
  <c r="Q1447" i="12"/>
  <c r="Q1448" i="12"/>
  <c r="Q1449" i="12"/>
  <c r="Q1450" i="12"/>
  <c r="Q1451" i="12"/>
  <c r="Q1452" i="12"/>
  <c r="Q1453" i="12"/>
  <c r="Q1454" i="12"/>
  <c r="Q1455" i="12"/>
  <c r="Q1456" i="12"/>
  <c r="Q1457" i="12"/>
  <c r="Q1458" i="12"/>
  <c r="Q1459" i="12"/>
  <c r="Q1460" i="12"/>
  <c r="Q1461" i="12"/>
  <c r="Q1462" i="12"/>
  <c r="Q1463" i="12"/>
  <c r="Q1464" i="12"/>
  <c r="Q1465" i="12"/>
  <c r="Q1466" i="12"/>
  <c r="Q1467" i="12"/>
  <c r="Q1468" i="12"/>
  <c r="Q1469" i="12"/>
  <c r="Q1470" i="12"/>
  <c r="Q1471" i="12"/>
  <c r="Q1472" i="12"/>
  <c r="Q1473" i="12"/>
  <c r="Q1474" i="12"/>
  <c r="Q1475" i="12"/>
  <c r="Q1476" i="12"/>
  <c r="Q1477" i="12"/>
  <c r="Q1478" i="12"/>
  <c r="Q1479" i="12"/>
  <c r="Q1480" i="12"/>
  <c r="Q1481" i="12"/>
  <c r="Q1482" i="12"/>
  <c r="Q1483" i="12"/>
  <c r="Q1484" i="12"/>
  <c r="Q1485" i="12"/>
  <c r="Q1486" i="12"/>
  <c r="Q1487" i="12"/>
  <c r="Q1488" i="12"/>
  <c r="Q1489" i="12"/>
  <c r="Q1490" i="12"/>
  <c r="Q1491" i="12"/>
  <c r="Q1492" i="12"/>
  <c r="Q1493" i="12"/>
  <c r="Q1494" i="12"/>
  <c r="Q1495" i="12"/>
  <c r="Q1496" i="12"/>
  <c r="Q1497" i="12"/>
  <c r="Q1498" i="12"/>
  <c r="Q1499" i="12"/>
  <c r="Q1500" i="12"/>
  <c r="Q1501" i="12"/>
  <c r="Q1502" i="12"/>
  <c r="Q1503" i="12"/>
  <c r="Q1504" i="12"/>
  <c r="Q1505" i="12"/>
  <c r="Q1506" i="12"/>
  <c r="Q1507" i="12"/>
  <c r="Q1508" i="12"/>
  <c r="Q1509" i="12"/>
  <c r="Q1510" i="12"/>
  <c r="Q1511" i="12"/>
  <c r="Q1512" i="12"/>
  <c r="Q1513" i="12"/>
  <c r="Q1514" i="12"/>
  <c r="Q1515" i="12"/>
  <c r="Q1516" i="12"/>
  <c r="Q1517" i="12"/>
  <c r="Q1518" i="12"/>
  <c r="Q1519" i="12"/>
  <c r="Q1520" i="12"/>
  <c r="Q1521" i="12"/>
  <c r="Q1522" i="12"/>
  <c r="Q1523" i="12"/>
  <c r="Q1524" i="12"/>
  <c r="Q1525" i="12"/>
  <c r="Q1526" i="12"/>
  <c r="Q1527" i="12"/>
  <c r="Q1528" i="12"/>
  <c r="Q1529" i="12"/>
  <c r="Q1530" i="12"/>
  <c r="Q1531" i="12"/>
  <c r="Q1532" i="12"/>
  <c r="Q1533" i="12"/>
  <c r="Q1534" i="12"/>
  <c r="Q1535" i="12"/>
  <c r="Q1536" i="12"/>
  <c r="Q1537" i="12"/>
  <c r="Q1538" i="12"/>
  <c r="Q1539" i="12"/>
  <c r="Q1540" i="12"/>
  <c r="Q1541" i="12"/>
  <c r="Q1542" i="12"/>
  <c r="Q1543" i="12"/>
  <c r="Q1544" i="12"/>
  <c r="Q1545" i="12"/>
  <c r="Q1546" i="12"/>
  <c r="Q1547" i="12"/>
  <c r="Q1548" i="12"/>
  <c r="Q1549" i="12"/>
  <c r="Q1550" i="12"/>
  <c r="Q1551" i="12"/>
  <c r="Q1552" i="12"/>
  <c r="Q1553" i="12"/>
  <c r="Q1554" i="12"/>
  <c r="Q1555" i="12"/>
  <c r="Q1556" i="12"/>
  <c r="Q1557" i="12"/>
  <c r="Q1558" i="12"/>
  <c r="Q1559" i="12"/>
  <c r="Q1560" i="12"/>
  <c r="Q1561" i="12"/>
  <c r="Q1562" i="12"/>
  <c r="Q1563" i="12"/>
  <c r="Q1564" i="12"/>
  <c r="Q1565" i="12"/>
  <c r="Q1566" i="12"/>
  <c r="Q1567" i="12"/>
  <c r="Q1568" i="12"/>
  <c r="Q1569" i="12"/>
  <c r="Q1570" i="12"/>
  <c r="Q1571" i="12"/>
  <c r="Q1572" i="12"/>
  <c r="Q1573" i="12"/>
  <c r="Q1574" i="12"/>
  <c r="Q1575" i="12"/>
  <c r="Q1576" i="12"/>
  <c r="Q1577" i="12"/>
  <c r="Q1578" i="12"/>
  <c r="Q1579" i="12"/>
  <c r="Q1580" i="12"/>
  <c r="Q1581" i="12"/>
  <c r="Q1582" i="12"/>
  <c r="Q1583" i="12"/>
  <c r="Q1584" i="12"/>
  <c r="Q1585" i="12"/>
  <c r="Q1586" i="12"/>
  <c r="Q1587" i="12"/>
  <c r="Q1588" i="12"/>
  <c r="Q1589" i="12"/>
  <c r="Q1590" i="12"/>
  <c r="Q1591" i="12"/>
  <c r="Q1592" i="12"/>
  <c r="Q1593" i="12"/>
  <c r="Q1594" i="12"/>
  <c r="Q1595" i="12"/>
  <c r="Q1596" i="12"/>
  <c r="Q1597" i="12"/>
  <c r="Q1598" i="12"/>
  <c r="Q1599" i="12"/>
  <c r="Q1600" i="12"/>
  <c r="Q1601" i="12"/>
  <c r="Q1602" i="12"/>
  <c r="Q1603" i="12"/>
  <c r="Q1604" i="12"/>
  <c r="Q1605" i="12"/>
  <c r="Q1606" i="12"/>
  <c r="Q1607" i="12"/>
  <c r="Q1608" i="12"/>
  <c r="Q1609" i="12"/>
  <c r="Q1610" i="12"/>
  <c r="Q1611" i="12"/>
  <c r="Q1612" i="12"/>
  <c r="Q1613" i="12"/>
  <c r="Q1614" i="12"/>
  <c r="Q1615" i="12"/>
  <c r="Q1616" i="12"/>
  <c r="Q1617" i="12"/>
  <c r="Q1618" i="12"/>
  <c r="Q1619" i="12"/>
  <c r="Q1620" i="12"/>
  <c r="Q1621" i="12"/>
  <c r="Q1622" i="12"/>
  <c r="Q1623" i="12"/>
  <c r="Q1624" i="12"/>
  <c r="Q1625" i="12"/>
  <c r="Q1626" i="12"/>
  <c r="Q1627" i="12"/>
  <c r="Q1628" i="12"/>
  <c r="Q1629" i="12"/>
  <c r="Q1630" i="12"/>
  <c r="Q1631" i="12"/>
  <c r="Q1632" i="12"/>
  <c r="Q1633" i="12"/>
  <c r="Q1634" i="12"/>
  <c r="Q1635" i="12"/>
  <c r="Q1636" i="12"/>
  <c r="Q1637" i="12"/>
  <c r="Q1638" i="12"/>
  <c r="Q1639" i="12"/>
  <c r="Q1640" i="12"/>
  <c r="Q1641" i="12"/>
  <c r="Q1642" i="12"/>
  <c r="Q1643" i="12"/>
  <c r="Q1644" i="12"/>
  <c r="Q1645" i="12"/>
  <c r="Q1646" i="12"/>
  <c r="Q1647" i="12"/>
  <c r="Q1648" i="12"/>
  <c r="Q1649" i="12"/>
  <c r="Q1650" i="12"/>
  <c r="Q1651" i="12"/>
  <c r="Q1652" i="12"/>
  <c r="Q1653" i="12"/>
  <c r="Q1654" i="12"/>
  <c r="Q1655" i="12"/>
  <c r="Q1656" i="12"/>
  <c r="Q1657" i="12"/>
  <c r="Q1658" i="12"/>
  <c r="Q1659" i="12"/>
  <c r="Q1660" i="12"/>
  <c r="Q1661" i="12"/>
  <c r="Q1662" i="12"/>
  <c r="Q1663" i="12"/>
  <c r="Q1664" i="12"/>
  <c r="Q1665" i="12"/>
  <c r="Q1666" i="12"/>
  <c r="Q1667" i="12"/>
  <c r="Q1668" i="12"/>
  <c r="Q1669" i="12"/>
  <c r="Q1670" i="12"/>
  <c r="Q1671" i="12"/>
  <c r="Q1672" i="12"/>
  <c r="Q1673" i="12"/>
  <c r="Q1674" i="12"/>
  <c r="Q1675" i="12"/>
  <c r="Q1676" i="12"/>
  <c r="Q1677" i="12"/>
  <c r="Q1678" i="12"/>
  <c r="Q1679" i="12"/>
  <c r="Q1680" i="12"/>
  <c r="Q1681" i="12"/>
  <c r="Q1682" i="12"/>
  <c r="Q1683" i="12"/>
  <c r="Q1684" i="12"/>
  <c r="Q1685" i="12"/>
  <c r="Q1686" i="12"/>
  <c r="Q1687" i="12"/>
  <c r="Q1688" i="12"/>
  <c r="Q1689" i="12"/>
  <c r="Q1690" i="12"/>
  <c r="Q1691" i="12"/>
  <c r="Q1692" i="12"/>
  <c r="Q1693" i="12"/>
  <c r="Q1694" i="12"/>
  <c r="Q1695" i="12"/>
  <c r="Q1696" i="12"/>
  <c r="Q1697" i="12"/>
  <c r="Q1698" i="12"/>
  <c r="Q1699" i="12"/>
  <c r="Q1700" i="12"/>
  <c r="Q1701" i="12"/>
  <c r="Q1702" i="12"/>
  <c r="Q1703" i="12"/>
  <c r="Q1704" i="12"/>
  <c r="Q1705" i="12"/>
  <c r="Q1706" i="12"/>
  <c r="Q1707" i="12"/>
  <c r="Q1708" i="12"/>
  <c r="Q1709" i="12"/>
  <c r="Q1710" i="12"/>
  <c r="Q1711" i="12"/>
  <c r="Q1712" i="12"/>
  <c r="Q1713" i="12"/>
  <c r="Q1714" i="12"/>
  <c r="Q1715" i="12"/>
  <c r="Q1716" i="12"/>
  <c r="Q1717" i="12"/>
  <c r="Q1718" i="12"/>
  <c r="Q1719" i="12"/>
  <c r="Q1720" i="12"/>
  <c r="Q1721" i="12"/>
  <c r="Q1722" i="12"/>
  <c r="Q1723" i="12"/>
  <c r="Q1724" i="12"/>
  <c r="Q1725" i="12"/>
  <c r="Q1726" i="12"/>
  <c r="Q1727" i="12"/>
  <c r="Q1728" i="12"/>
  <c r="Q1729" i="12"/>
  <c r="Q1730" i="12"/>
  <c r="Q1731" i="12"/>
  <c r="Q1732" i="12"/>
  <c r="Q1733" i="12"/>
  <c r="Q1734" i="12"/>
  <c r="Q1735" i="12"/>
  <c r="Q1736" i="12"/>
  <c r="Q1737" i="12"/>
  <c r="Q1738" i="12"/>
  <c r="Q1739" i="12"/>
  <c r="Q1740" i="12"/>
  <c r="Q1741" i="12"/>
  <c r="Q1742" i="12"/>
  <c r="Q1743" i="12"/>
  <c r="Q1744" i="12"/>
  <c r="Q1745" i="12"/>
  <c r="Q1746" i="12"/>
  <c r="Q1747" i="12"/>
  <c r="Q1748" i="12"/>
  <c r="Q1749" i="12"/>
  <c r="Q1750" i="12"/>
  <c r="Q1751" i="12"/>
  <c r="Q1752" i="12"/>
  <c r="Q1753" i="12"/>
  <c r="Q1754" i="12"/>
  <c r="Q1755" i="12"/>
  <c r="Q1756" i="12"/>
  <c r="Q1757" i="12"/>
  <c r="Q1758" i="12"/>
  <c r="Q1759" i="12"/>
  <c r="Q1760" i="12"/>
  <c r="Q1761" i="12"/>
  <c r="Q1762" i="12"/>
  <c r="Q1763" i="12"/>
  <c r="Q1764" i="12"/>
  <c r="Q1765" i="12"/>
  <c r="Q1766" i="12"/>
  <c r="Q1767" i="12"/>
  <c r="Q1768" i="12"/>
  <c r="Q1769" i="12"/>
  <c r="Q1770" i="12"/>
  <c r="Q1771" i="12"/>
  <c r="Q1772" i="12"/>
  <c r="Q1773" i="12"/>
  <c r="Q1774" i="12"/>
  <c r="Q1775" i="12"/>
  <c r="Q1776" i="12"/>
  <c r="Q1777" i="12"/>
  <c r="Q1778" i="12"/>
  <c r="Q1779" i="12"/>
  <c r="Q1780" i="12"/>
  <c r="Q1781" i="12"/>
  <c r="Q1782" i="12"/>
  <c r="Q1783" i="12"/>
  <c r="Q1784" i="12"/>
  <c r="Q1785" i="12"/>
  <c r="Q1786" i="12"/>
  <c r="Q1787" i="12"/>
  <c r="Q1788" i="12"/>
  <c r="Q1789" i="12"/>
  <c r="Q1790" i="12"/>
  <c r="Q1791" i="12"/>
  <c r="Q1792" i="12"/>
  <c r="Q1793" i="12"/>
  <c r="Q1794" i="12"/>
  <c r="Q1795" i="12"/>
  <c r="Q1796" i="12"/>
  <c r="Q1797" i="12"/>
  <c r="Q1798" i="12"/>
  <c r="Q1799" i="12"/>
  <c r="Q1800" i="12"/>
  <c r="Q1801" i="12"/>
  <c r="Q1802" i="12"/>
  <c r="Q1803" i="12"/>
  <c r="Q1804" i="12"/>
  <c r="Q1805" i="12"/>
  <c r="Q1806" i="12"/>
  <c r="Q1807" i="12"/>
  <c r="Q1808" i="12"/>
  <c r="Q1809" i="12"/>
  <c r="Q1810" i="12"/>
  <c r="Q1811" i="12"/>
  <c r="Q1812" i="12"/>
  <c r="Q1813" i="12"/>
  <c r="Q1814" i="12"/>
  <c r="Q1815" i="12"/>
  <c r="Q1816" i="12"/>
  <c r="Q1817" i="12"/>
  <c r="Q1818" i="12"/>
  <c r="Q1819" i="12"/>
  <c r="Q1820" i="12"/>
  <c r="Q1821" i="12"/>
  <c r="Q1822" i="12"/>
  <c r="Q1823" i="12"/>
  <c r="Q1824" i="12"/>
  <c r="Q1825" i="12"/>
  <c r="Q1826" i="12"/>
  <c r="Q1827" i="12"/>
  <c r="Q1828" i="12"/>
  <c r="Q1829" i="12"/>
  <c r="Q1830" i="12"/>
  <c r="Q1831" i="12"/>
  <c r="Q1832" i="12"/>
  <c r="Q1833" i="12"/>
  <c r="Q1834" i="12"/>
  <c r="Q1835" i="12"/>
  <c r="Q1836" i="12"/>
  <c r="Q1837" i="12"/>
  <c r="Q1838" i="12"/>
  <c r="Q1839" i="12"/>
  <c r="Q1840" i="12"/>
  <c r="Q1841" i="12"/>
  <c r="Q1842" i="12"/>
  <c r="Q1843" i="12"/>
  <c r="Q1844" i="12"/>
  <c r="Q1845" i="12"/>
  <c r="Q1846" i="12"/>
  <c r="Q1847" i="12"/>
  <c r="Q1848" i="12"/>
  <c r="Q1849" i="12"/>
  <c r="Q1850" i="12"/>
  <c r="Q1851" i="12"/>
  <c r="Q1852" i="12"/>
  <c r="Q1853" i="12"/>
  <c r="Q1854" i="12"/>
  <c r="Q1855" i="12"/>
  <c r="Q1856" i="12"/>
  <c r="Q1857" i="12"/>
  <c r="Q1858" i="12"/>
  <c r="Q1859" i="12"/>
  <c r="Q1860" i="12"/>
  <c r="Q1861" i="12"/>
  <c r="Q1862" i="12"/>
  <c r="Q1863" i="12"/>
  <c r="Q1864" i="12"/>
  <c r="Q1865" i="12"/>
  <c r="Q1866" i="12"/>
  <c r="Q1867" i="12"/>
  <c r="Q1868" i="12"/>
  <c r="Q1869" i="12"/>
  <c r="Q1870" i="12"/>
  <c r="Q1871" i="12"/>
  <c r="Q1872" i="12"/>
  <c r="Q1873" i="12"/>
  <c r="Q1874" i="12"/>
  <c r="Q1875" i="12"/>
  <c r="Q1876" i="12"/>
  <c r="Q1877" i="12"/>
  <c r="Q1878" i="12"/>
  <c r="Q1879" i="12"/>
  <c r="Q1880" i="12"/>
  <c r="Q1881" i="12"/>
  <c r="Q1882" i="12"/>
  <c r="Q1883" i="12"/>
  <c r="Q1884" i="12"/>
  <c r="Q1885" i="12"/>
  <c r="Q1886" i="12"/>
  <c r="Q1887" i="12"/>
  <c r="Q1888" i="12"/>
  <c r="Q1889" i="12"/>
  <c r="Q1890" i="12"/>
  <c r="Q1891" i="12"/>
  <c r="Q1892" i="12"/>
  <c r="Q1893" i="12"/>
  <c r="Q1894" i="12"/>
  <c r="Q1895" i="12"/>
  <c r="Q1896" i="12"/>
  <c r="Q1897" i="12"/>
  <c r="Q1898" i="12"/>
  <c r="Q1899" i="12"/>
  <c r="Q1900" i="12"/>
  <c r="Q1901" i="12"/>
  <c r="Q1902" i="12"/>
  <c r="Q1903" i="12"/>
  <c r="Q1904" i="12"/>
  <c r="Q1905" i="12"/>
  <c r="Q1906" i="12"/>
  <c r="Q1907" i="12"/>
  <c r="Q1908" i="12"/>
  <c r="Q1909" i="12"/>
  <c r="Q1910" i="12"/>
  <c r="Q1911" i="12"/>
  <c r="Q1912" i="12"/>
  <c r="Q1913" i="12"/>
  <c r="Q1914" i="12"/>
  <c r="Q1915" i="12"/>
  <c r="Q1916" i="12"/>
  <c r="Q1917" i="12"/>
  <c r="Q1918" i="12"/>
  <c r="Q1919" i="12"/>
  <c r="Q1920" i="12"/>
  <c r="Q1921" i="12"/>
  <c r="Q1922" i="12"/>
  <c r="Q1923" i="12"/>
  <c r="Q1924" i="12"/>
  <c r="Q1925" i="12"/>
  <c r="Q1926" i="12"/>
  <c r="Q1927" i="12"/>
  <c r="Q1928" i="12"/>
  <c r="Q1929" i="12"/>
  <c r="Q1930" i="12"/>
  <c r="Q1931" i="12"/>
  <c r="Q1932" i="12"/>
  <c r="Q1933" i="12"/>
  <c r="Q1934" i="12"/>
  <c r="Q1935" i="12"/>
  <c r="Q1936" i="12"/>
  <c r="Q1937" i="12"/>
  <c r="Q1938" i="12"/>
  <c r="Q1939" i="12"/>
  <c r="Q1940" i="12"/>
  <c r="Q1941" i="12"/>
  <c r="Q1942" i="12"/>
  <c r="Q1943" i="12"/>
  <c r="Q1944" i="12"/>
  <c r="Q1945" i="12"/>
  <c r="Q1946" i="12"/>
  <c r="Q1947" i="12"/>
  <c r="Q1948" i="12"/>
  <c r="Q1949" i="12"/>
  <c r="Q1950" i="12"/>
  <c r="Q1951" i="12"/>
  <c r="Q1952" i="12"/>
  <c r="Q1953" i="12"/>
  <c r="Q1954" i="12"/>
  <c r="Q1955" i="12"/>
  <c r="Q1956" i="12"/>
  <c r="Q1957" i="12"/>
  <c r="Q1958" i="12"/>
  <c r="Q1959" i="12"/>
  <c r="Q1960" i="12"/>
  <c r="Q1961" i="12"/>
  <c r="Q1962" i="12"/>
  <c r="Q1963" i="12"/>
  <c r="Q1964" i="12"/>
  <c r="Q1965" i="12"/>
  <c r="Q1966" i="12"/>
  <c r="Q1967" i="12"/>
  <c r="Q1968" i="12"/>
  <c r="Q1969" i="12"/>
  <c r="Q1970" i="12"/>
  <c r="Q1971" i="12"/>
  <c r="Q1972" i="12"/>
  <c r="Q1973" i="12"/>
  <c r="Q1974" i="12"/>
  <c r="Q1975" i="12"/>
  <c r="Q1976" i="12"/>
  <c r="Q1977" i="12"/>
  <c r="Q1978" i="12"/>
  <c r="Q1979" i="12"/>
  <c r="Q1980" i="12"/>
  <c r="Q1981" i="12"/>
  <c r="Q1982" i="12"/>
  <c r="Q1983" i="12"/>
  <c r="Q1984" i="12"/>
  <c r="Q1985" i="12"/>
  <c r="Q1986" i="12"/>
  <c r="Q1987" i="12"/>
  <c r="Q1988" i="12"/>
  <c r="Q1989" i="12"/>
  <c r="Q1990" i="12"/>
  <c r="Q1991" i="12"/>
  <c r="Q1992" i="12"/>
  <c r="Q1993" i="12"/>
  <c r="Q1994" i="12"/>
  <c r="Q1995" i="12"/>
  <c r="Q1996" i="12"/>
  <c r="Q1997" i="12"/>
  <c r="Q1998" i="12"/>
  <c r="Q1999" i="12"/>
  <c r="Q2000" i="12"/>
  <c r="Q2001" i="12"/>
  <c r="Q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2" i="12"/>
  <c r="E9" i="10"/>
  <c r="L3" i="12"/>
  <c r="M3" i="12"/>
  <c r="N3" i="12"/>
  <c r="O3" i="12"/>
  <c r="L4" i="12"/>
  <c r="M4" i="12"/>
  <c r="N4" i="12"/>
  <c r="O4" i="12"/>
  <c r="L5" i="12"/>
  <c r="M5" i="12"/>
  <c r="N5" i="12"/>
  <c r="O5" i="12"/>
  <c r="L6" i="12"/>
  <c r="M6" i="12"/>
  <c r="N6" i="12"/>
  <c r="O6" i="12"/>
  <c r="L7" i="12"/>
  <c r="M7" i="12"/>
  <c r="N7" i="12"/>
  <c r="O7" i="12"/>
  <c r="L8" i="12"/>
  <c r="M8" i="12"/>
  <c r="N8" i="12"/>
  <c r="O8" i="12"/>
  <c r="L9" i="12"/>
  <c r="M9" i="12"/>
  <c r="N9" i="12"/>
  <c r="O9" i="12"/>
  <c r="L10" i="12"/>
  <c r="M10" i="12"/>
  <c r="N10" i="12"/>
  <c r="O10" i="12"/>
  <c r="L11" i="12"/>
  <c r="M11" i="12"/>
  <c r="N11" i="12"/>
  <c r="O11" i="12"/>
  <c r="L12" i="12"/>
  <c r="M12" i="12"/>
  <c r="N12" i="12"/>
  <c r="O12" i="12"/>
  <c r="L13" i="12"/>
  <c r="M13" i="12"/>
  <c r="N13" i="12"/>
  <c r="O13" i="12"/>
  <c r="L14" i="12"/>
  <c r="M14" i="12"/>
  <c r="N14" i="12"/>
  <c r="O14" i="12"/>
  <c r="L15" i="12"/>
  <c r="M15" i="12"/>
  <c r="N15" i="12"/>
  <c r="O15" i="12"/>
  <c r="L16" i="12"/>
  <c r="M16" i="12"/>
  <c r="N16" i="12"/>
  <c r="O16" i="12"/>
  <c r="L17" i="12"/>
  <c r="M17" i="12"/>
  <c r="N17" i="12"/>
  <c r="O17" i="12"/>
  <c r="L18" i="12"/>
  <c r="M18" i="12"/>
  <c r="N18" i="12"/>
  <c r="O18" i="12"/>
  <c r="L19" i="12"/>
  <c r="M19" i="12"/>
  <c r="N19" i="12"/>
  <c r="O19" i="12"/>
  <c r="L20" i="12"/>
  <c r="M20" i="12"/>
  <c r="N20" i="12"/>
  <c r="O20" i="12"/>
  <c r="L21" i="12"/>
  <c r="M21" i="12"/>
  <c r="N21" i="12"/>
  <c r="O21" i="12"/>
  <c r="L22" i="12"/>
  <c r="M22" i="12"/>
  <c r="N22" i="12"/>
  <c r="O22" i="12"/>
  <c r="L23" i="12"/>
  <c r="M23" i="12"/>
  <c r="N23" i="12"/>
  <c r="O23" i="12"/>
  <c r="L24" i="12"/>
  <c r="M24" i="12"/>
  <c r="N24" i="12"/>
  <c r="O24" i="12"/>
  <c r="L25" i="12"/>
  <c r="M25" i="12"/>
  <c r="N25" i="12"/>
  <c r="O25" i="12"/>
  <c r="L26" i="12"/>
  <c r="M26" i="12"/>
  <c r="N26" i="12"/>
  <c r="O26" i="12"/>
  <c r="L27" i="12"/>
  <c r="M27" i="12"/>
  <c r="N27" i="12"/>
  <c r="O27" i="12"/>
  <c r="L28" i="12"/>
  <c r="M28" i="12"/>
  <c r="N28" i="12"/>
  <c r="O28" i="12"/>
  <c r="L29" i="12"/>
  <c r="M29" i="12"/>
  <c r="N29" i="12"/>
  <c r="O29" i="12"/>
  <c r="L30" i="12"/>
  <c r="M30" i="12"/>
  <c r="N30" i="12"/>
  <c r="O30" i="12"/>
  <c r="L31" i="12"/>
  <c r="M31" i="12"/>
  <c r="N31" i="12"/>
  <c r="O31" i="12"/>
  <c r="L32" i="12"/>
  <c r="M32" i="12"/>
  <c r="N32" i="12"/>
  <c r="O32" i="12"/>
  <c r="L33" i="12"/>
  <c r="M33" i="12"/>
  <c r="N33" i="12"/>
  <c r="O33" i="12"/>
  <c r="L34" i="12"/>
  <c r="M34" i="12"/>
  <c r="N34" i="12"/>
  <c r="O34" i="12"/>
  <c r="L35" i="12"/>
  <c r="M35" i="12"/>
  <c r="N35" i="12"/>
  <c r="O35" i="12"/>
  <c r="L36" i="12"/>
  <c r="M36" i="12"/>
  <c r="N36" i="12"/>
  <c r="O36" i="12"/>
  <c r="L37" i="12"/>
  <c r="M37" i="12"/>
  <c r="N37" i="12"/>
  <c r="O37" i="12"/>
  <c r="L38" i="12"/>
  <c r="M38" i="12"/>
  <c r="N38" i="12"/>
  <c r="O38" i="12"/>
  <c r="L39" i="12"/>
  <c r="M39" i="12"/>
  <c r="N39" i="12"/>
  <c r="O39" i="12"/>
  <c r="L40" i="12"/>
  <c r="M40" i="12"/>
  <c r="N40" i="12"/>
  <c r="O40" i="12"/>
  <c r="L41" i="12"/>
  <c r="M41" i="12"/>
  <c r="N41" i="12"/>
  <c r="O41" i="12"/>
  <c r="L42" i="12"/>
  <c r="M42" i="12"/>
  <c r="N42" i="12"/>
  <c r="O42" i="12"/>
  <c r="L43" i="12"/>
  <c r="M43" i="12"/>
  <c r="N43" i="12"/>
  <c r="O43" i="12"/>
  <c r="L44" i="12"/>
  <c r="M44" i="12"/>
  <c r="N44" i="12"/>
  <c r="O44" i="12"/>
  <c r="L45" i="12"/>
  <c r="M45" i="12"/>
  <c r="N45" i="12"/>
  <c r="O45" i="12"/>
  <c r="L46" i="12"/>
  <c r="M46" i="12"/>
  <c r="N46" i="12"/>
  <c r="O46" i="12"/>
  <c r="L47" i="12"/>
  <c r="M47" i="12"/>
  <c r="N47" i="12"/>
  <c r="O47" i="12"/>
  <c r="L48" i="12"/>
  <c r="M48" i="12"/>
  <c r="N48" i="12"/>
  <c r="O48" i="12"/>
  <c r="L49" i="12"/>
  <c r="M49" i="12"/>
  <c r="N49" i="12"/>
  <c r="O49" i="12"/>
  <c r="L50" i="12"/>
  <c r="M50" i="12"/>
  <c r="N50" i="12"/>
  <c r="O50" i="12"/>
  <c r="L51" i="12"/>
  <c r="M51" i="12"/>
  <c r="N51" i="12"/>
  <c r="O51" i="12"/>
  <c r="L52" i="12"/>
  <c r="M52" i="12"/>
  <c r="N52" i="12"/>
  <c r="O52" i="12"/>
  <c r="L53" i="12"/>
  <c r="M53" i="12"/>
  <c r="N53" i="12"/>
  <c r="O53" i="12"/>
  <c r="L54" i="12"/>
  <c r="M54" i="12"/>
  <c r="N54" i="12"/>
  <c r="O54" i="12"/>
  <c r="L55" i="12"/>
  <c r="M55" i="12"/>
  <c r="N55" i="12"/>
  <c r="O55" i="12"/>
  <c r="L56" i="12"/>
  <c r="M56" i="12"/>
  <c r="N56" i="12"/>
  <c r="O56" i="12"/>
  <c r="L57" i="12"/>
  <c r="M57" i="12"/>
  <c r="N57" i="12"/>
  <c r="O57" i="12"/>
  <c r="L58" i="12"/>
  <c r="M58" i="12"/>
  <c r="N58" i="12"/>
  <c r="O58" i="12"/>
  <c r="L59" i="12"/>
  <c r="M59" i="12"/>
  <c r="N59" i="12"/>
  <c r="O59" i="12"/>
  <c r="L60" i="12"/>
  <c r="M60" i="12"/>
  <c r="N60" i="12"/>
  <c r="O60" i="12"/>
  <c r="L61" i="12"/>
  <c r="M61" i="12"/>
  <c r="N61" i="12"/>
  <c r="O61" i="12"/>
  <c r="L62" i="12"/>
  <c r="M62" i="12"/>
  <c r="N62" i="12"/>
  <c r="O62" i="12"/>
  <c r="L63" i="12"/>
  <c r="M63" i="12"/>
  <c r="N63" i="12"/>
  <c r="O63" i="12"/>
  <c r="L64" i="12"/>
  <c r="M64" i="12"/>
  <c r="N64" i="12"/>
  <c r="O64" i="12"/>
  <c r="L65" i="12"/>
  <c r="M65" i="12"/>
  <c r="N65" i="12"/>
  <c r="O65" i="12"/>
  <c r="L66" i="12"/>
  <c r="M66" i="12"/>
  <c r="N66" i="12"/>
  <c r="O66" i="12"/>
  <c r="L67" i="12"/>
  <c r="M67" i="12"/>
  <c r="N67" i="12"/>
  <c r="O67" i="12"/>
  <c r="L68" i="12"/>
  <c r="M68" i="12"/>
  <c r="N68" i="12"/>
  <c r="O68" i="12"/>
  <c r="L69" i="12"/>
  <c r="M69" i="12"/>
  <c r="N69" i="12"/>
  <c r="O69" i="12"/>
  <c r="L70" i="12"/>
  <c r="M70" i="12"/>
  <c r="N70" i="12"/>
  <c r="O70" i="12"/>
  <c r="L71" i="12"/>
  <c r="M71" i="12"/>
  <c r="N71" i="12"/>
  <c r="O71" i="12"/>
  <c r="L72" i="12"/>
  <c r="M72" i="12"/>
  <c r="N72" i="12"/>
  <c r="O72" i="12"/>
  <c r="L73" i="12"/>
  <c r="M73" i="12"/>
  <c r="N73" i="12"/>
  <c r="O73" i="12"/>
  <c r="L74" i="12"/>
  <c r="M74" i="12"/>
  <c r="N74" i="12"/>
  <c r="O74" i="12"/>
  <c r="L75" i="12"/>
  <c r="M75" i="12"/>
  <c r="N75" i="12"/>
  <c r="O75" i="12"/>
  <c r="L76" i="12"/>
  <c r="M76" i="12"/>
  <c r="N76" i="12"/>
  <c r="O76" i="12"/>
  <c r="L77" i="12"/>
  <c r="M77" i="12"/>
  <c r="N77" i="12"/>
  <c r="O77" i="12"/>
  <c r="L78" i="12"/>
  <c r="M78" i="12"/>
  <c r="N78" i="12"/>
  <c r="O78" i="12"/>
  <c r="L79" i="12"/>
  <c r="M79" i="12"/>
  <c r="N79" i="12"/>
  <c r="O79" i="12"/>
  <c r="L80" i="12"/>
  <c r="M80" i="12"/>
  <c r="N80" i="12"/>
  <c r="O80" i="12"/>
  <c r="L81" i="12"/>
  <c r="M81" i="12"/>
  <c r="N81" i="12"/>
  <c r="O81" i="12"/>
  <c r="L82" i="12"/>
  <c r="M82" i="12"/>
  <c r="N82" i="12"/>
  <c r="O82" i="12"/>
  <c r="L83" i="12"/>
  <c r="M83" i="12"/>
  <c r="N83" i="12"/>
  <c r="O83" i="12"/>
  <c r="L84" i="12"/>
  <c r="M84" i="12"/>
  <c r="N84" i="12"/>
  <c r="O84" i="12"/>
  <c r="L85" i="12"/>
  <c r="M85" i="12"/>
  <c r="N85" i="12"/>
  <c r="O85" i="12"/>
  <c r="L86" i="12"/>
  <c r="M86" i="12"/>
  <c r="N86" i="12"/>
  <c r="O86" i="12"/>
  <c r="L87" i="12"/>
  <c r="M87" i="12"/>
  <c r="N87" i="12"/>
  <c r="O87" i="12"/>
  <c r="L88" i="12"/>
  <c r="M88" i="12"/>
  <c r="N88" i="12"/>
  <c r="O88" i="12"/>
  <c r="L89" i="12"/>
  <c r="M89" i="12"/>
  <c r="N89" i="12"/>
  <c r="O89" i="12"/>
  <c r="L90" i="12"/>
  <c r="M90" i="12"/>
  <c r="N90" i="12"/>
  <c r="O90" i="12"/>
  <c r="L91" i="12"/>
  <c r="M91" i="12"/>
  <c r="N91" i="12"/>
  <c r="O91" i="12"/>
  <c r="L92" i="12"/>
  <c r="M92" i="12"/>
  <c r="N92" i="12"/>
  <c r="O92" i="12"/>
  <c r="L93" i="12"/>
  <c r="M93" i="12"/>
  <c r="N93" i="12"/>
  <c r="O93" i="12"/>
  <c r="L94" i="12"/>
  <c r="M94" i="12"/>
  <c r="N94" i="12"/>
  <c r="O94" i="12"/>
  <c r="L95" i="12"/>
  <c r="M95" i="12"/>
  <c r="N95" i="12"/>
  <c r="O95" i="12"/>
  <c r="L96" i="12"/>
  <c r="M96" i="12"/>
  <c r="N96" i="12"/>
  <c r="O96" i="12"/>
  <c r="L97" i="12"/>
  <c r="M97" i="12"/>
  <c r="N97" i="12"/>
  <c r="O97" i="12"/>
  <c r="L98" i="12"/>
  <c r="M98" i="12"/>
  <c r="N98" i="12"/>
  <c r="O98" i="12"/>
  <c r="L99" i="12"/>
  <c r="M99" i="12"/>
  <c r="N99" i="12"/>
  <c r="O99" i="12"/>
  <c r="L100" i="12"/>
  <c r="M100" i="12"/>
  <c r="N100" i="12"/>
  <c r="O100" i="12"/>
  <c r="L101" i="12"/>
  <c r="M101" i="12"/>
  <c r="N101" i="12"/>
  <c r="O101" i="12"/>
  <c r="L102" i="12"/>
  <c r="M102" i="12"/>
  <c r="N102" i="12"/>
  <c r="O102" i="12"/>
  <c r="L103" i="12"/>
  <c r="M103" i="12"/>
  <c r="N103" i="12"/>
  <c r="O103" i="12"/>
  <c r="L104" i="12"/>
  <c r="M104" i="12"/>
  <c r="N104" i="12"/>
  <c r="O104" i="12"/>
  <c r="L105" i="12"/>
  <c r="M105" i="12"/>
  <c r="N105" i="12"/>
  <c r="O105" i="12"/>
  <c r="L106" i="12"/>
  <c r="M106" i="12"/>
  <c r="N106" i="12"/>
  <c r="O106" i="12"/>
  <c r="L107" i="12"/>
  <c r="M107" i="12"/>
  <c r="N107" i="12"/>
  <c r="O107" i="12"/>
  <c r="L108" i="12"/>
  <c r="M108" i="12"/>
  <c r="N108" i="12"/>
  <c r="O108" i="12"/>
  <c r="L109" i="12"/>
  <c r="M109" i="12"/>
  <c r="N109" i="12"/>
  <c r="O109" i="12"/>
  <c r="L110" i="12"/>
  <c r="M110" i="12"/>
  <c r="N110" i="12"/>
  <c r="O110" i="12"/>
  <c r="L111" i="12"/>
  <c r="M111" i="12"/>
  <c r="N111" i="12"/>
  <c r="O111" i="12"/>
  <c r="L112" i="12"/>
  <c r="M112" i="12"/>
  <c r="N112" i="12"/>
  <c r="O112" i="12"/>
  <c r="L113" i="12"/>
  <c r="M113" i="12"/>
  <c r="N113" i="12"/>
  <c r="O113" i="12"/>
  <c r="L114" i="12"/>
  <c r="M114" i="12"/>
  <c r="N114" i="12"/>
  <c r="O114" i="12"/>
  <c r="L115" i="12"/>
  <c r="M115" i="12"/>
  <c r="N115" i="12"/>
  <c r="O115" i="12"/>
  <c r="L116" i="12"/>
  <c r="M116" i="12"/>
  <c r="N116" i="12"/>
  <c r="O116" i="12"/>
  <c r="L117" i="12"/>
  <c r="M117" i="12"/>
  <c r="N117" i="12"/>
  <c r="O117" i="12"/>
  <c r="L118" i="12"/>
  <c r="M118" i="12"/>
  <c r="N118" i="12"/>
  <c r="O118" i="12"/>
  <c r="L119" i="12"/>
  <c r="M119" i="12"/>
  <c r="N119" i="12"/>
  <c r="O119" i="12"/>
  <c r="L120" i="12"/>
  <c r="M120" i="12"/>
  <c r="N120" i="12"/>
  <c r="O120" i="12"/>
  <c r="L121" i="12"/>
  <c r="M121" i="12"/>
  <c r="N121" i="12"/>
  <c r="O121" i="12"/>
  <c r="L122" i="12"/>
  <c r="M122" i="12"/>
  <c r="N122" i="12"/>
  <c r="O122" i="12"/>
  <c r="L123" i="12"/>
  <c r="M123" i="12"/>
  <c r="N123" i="12"/>
  <c r="O123" i="12"/>
  <c r="L124" i="12"/>
  <c r="M124" i="12"/>
  <c r="N124" i="12"/>
  <c r="O124" i="12"/>
  <c r="L125" i="12"/>
  <c r="M125" i="12"/>
  <c r="N125" i="12"/>
  <c r="O125" i="12"/>
  <c r="L126" i="12"/>
  <c r="M126" i="12"/>
  <c r="N126" i="12"/>
  <c r="O126" i="12"/>
  <c r="L127" i="12"/>
  <c r="M127" i="12"/>
  <c r="N127" i="12"/>
  <c r="O127" i="12"/>
  <c r="L128" i="12"/>
  <c r="M128" i="12"/>
  <c r="N128" i="12"/>
  <c r="O128" i="12"/>
  <c r="L129" i="12"/>
  <c r="M129" i="12"/>
  <c r="N129" i="12"/>
  <c r="O129" i="12"/>
  <c r="L130" i="12"/>
  <c r="M130" i="12"/>
  <c r="N130" i="12"/>
  <c r="O130" i="12"/>
  <c r="L131" i="12"/>
  <c r="M131" i="12"/>
  <c r="N131" i="12"/>
  <c r="O131" i="12"/>
  <c r="L132" i="12"/>
  <c r="M132" i="12"/>
  <c r="N132" i="12"/>
  <c r="O132" i="12"/>
  <c r="L133" i="12"/>
  <c r="M133" i="12"/>
  <c r="N133" i="12"/>
  <c r="O133" i="12"/>
  <c r="L134" i="12"/>
  <c r="M134" i="12"/>
  <c r="N134" i="12"/>
  <c r="O134" i="12"/>
  <c r="L135" i="12"/>
  <c r="M135" i="12"/>
  <c r="N135" i="12"/>
  <c r="O135" i="12"/>
  <c r="L136" i="12"/>
  <c r="M136" i="12"/>
  <c r="N136" i="12"/>
  <c r="O136" i="12"/>
  <c r="L137" i="12"/>
  <c r="M137" i="12"/>
  <c r="N137" i="12"/>
  <c r="O137" i="12"/>
  <c r="L138" i="12"/>
  <c r="M138" i="12"/>
  <c r="N138" i="12"/>
  <c r="O138" i="12"/>
  <c r="L139" i="12"/>
  <c r="M139" i="12"/>
  <c r="N139" i="12"/>
  <c r="O139" i="12"/>
  <c r="L140" i="12"/>
  <c r="M140" i="12"/>
  <c r="N140" i="12"/>
  <c r="O140" i="12"/>
  <c r="L141" i="12"/>
  <c r="M141" i="12"/>
  <c r="N141" i="12"/>
  <c r="O141" i="12"/>
  <c r="L142" i="12"/>
  <c r="M142" i="12"/>
  <c r="N142" i="12"/>
  <c r="O142" i="12"/>
  <c r="L143" i="12"/>
  <c r="M143" i="12"/>
  <c r="N143" i="12"/>
  <c r="O143" i="12"/>
  <c r="L144" i="12"/>
  <c r="M144" i="12"/>
  <c r="N144" i="12"/>
  <c r="O144" i="12"/>
  <c r="L145" i="12"/>
  <c r="M145" i="12"/>
  <c r="N145" i="12"/>
  <c r="O145" i="12"/>
  <c r="L146" i="12"/>
  <c r="M146" i="12"/>
  <c r="N146" i="12"/>
  <c r="O146" i="12"/>
  <c r="L147" i="12"/>
  <c r="M147" i="12"/>
  <c r="N147" i="12"/>
  <c r="O147" i="12"/>
  <c r="L148" i="12"/>
  <c r="M148" i="12"/>
  <c r="N148" i="12"/>
  <c r="O148" i="12"/>
  <c r="L149" i="12"/>
  <c r="M149" i="12"/>
  <c r="N149" i="12"/>
  <c r="O149" i="12"/>
  <c r="L150" i="12"/>
  <c r="M150" i="12"/>
  <c r="N150" i="12"/>
  <c r="O150" i="12"/>
  <c r="L151" i="12"/>
  <c r="M151" i="12"/>
  <c r="N151" i="12"/>
  <c r="O151" i="12"/>
  <c r="L152" i="12"/>
  <c r="M152" i="12"/>
  <c r="N152" i="12"/>
  <c r="O152" i="12"/>
  <c r="L153" i="12"/>
  <c r="M153" i="12"/>
  <c r="N153" i="12"/>
  <c r="O153" i="12"/>
  <c r="L154" i="12"/>
  <c r="M154" i="12"/>
  <c r="N154" i="12"/>
  <c r="O154" i="12"/>
  <c r="L155" i="12"/>
  <c r="M155" i="12"/>
  <c r="N155" i="12"/>
  <c r="O155" i="12"/>
  <c r="L156" i="12"/>
  <c r="M156" i="12"/>
  <c r="N156" i="12"/>
  <c r="O156" i="12"/>
  <c r="L157" i="12"/>
  <c r="M157" i="12"/>
  <c r="N157" i="12"/>
  <c r="O157" i="12"/>
  <c r="L158" i="12"/>
  <c r="M158" i="12"/>
  <c r="N158" i="12"/>
  <c r="O158" i="12"/>
  <c r="L159" i="12"/>
  <c r="M159" i="12"/>
  <c r="N159" i="12"/>
  <c r="O159" i="12"/>
  <c r="L160" i="12"/>
  <c r="M160" i="12"/>
  <c r="N160" i="12"/>
  <c r="O160" i="12"/>
  <c r="L161" i="12"/>
  <c r="M161" i="12"/>
  <c r="N161" i="12"/>
  <c r="O161" i="12"/>
  <c r="L162" i="12"/>
  <c r="M162" i="12"/>
  <c r="N162" i="12"/>
  <c r="O162" i="12"/>
  <c r="L163" i="12"/>
  <c r="M163" i="12"/>
  <c r="N163" i="12"/>
  <c r="O163" i="12"/>
  <c r="L164" i="12"/>
  <c r="M164" i="12"/>
  <c r="N164" i="12"/>
  <c r="O164" i="12"/>
  <c r="L165" i="12"/>
  <c r="M165" i="12"/>
  <c r="N165" i="12"/>
  <c r="O165" i="12"/>
  <c r="L166" i="12"/>
  <c r="M166" i="12"/>
  <c r="N166" i="12"/>
  <c r="O166" i="12"/>
  <c r="L167" i="12"/>
  <c r="M167" i="12"/>
  <c r="N167" i="12"/>
  <c r="O167" i="12"/>
  <c r="L168" i="12"/>
  <c r="M168" i="12"/>
  <c r="N168" i="12"/>
  <c r="O168" i="12"/>
  <c r="L169" i="12"/>
  <c r="M169" i="12"/>
  <c r="N169" i="12"/>
  <c r="O169" i="12"/>
  <c r="L170" i="12"/>
  <c r="M170" i="12"/>
  <c r="N170" i="12"/>
  <c r="O170" i="12"/>
  <c r="L171" i="12"/>
  <c r="M171" i="12"/>
  <c r="N171" i="12"/>
  <c r="O171" i="12"/>
  <c r="L172" i="12"/>
  <c r="M172" i="12"/>
  <c r="N172" i="12"/>
  <c r="O172" i="12"/>
  <c r="L173" i="12"/>
  <c r="M173" i="12"/>
  <c r="N173" i="12"/>
  <c r="O173" i="12"/>
  <c r="L174" i="12"/>
  <c r="M174" i="12"/>
  <c r="N174" i="12"/>
  <c r="O174" i="12"/>
  <c r="L175" i="12"/>
  <c r="M175" i="12"/>
  <c r="N175" i="12"/>
  <c r="O175" i="12"/>
  <c r="L176" i="12"/>
  <c r="M176" i="12"/>
  <c r="N176" i="12"/>
  <c r="O176" i="12"/>
  <c r="L177" i="12"/>
  <c r="M177" i="12"/>
  <c r="N177" i="12"/>
  <c r="O177" i="12"/>
  <c r="L178" i="12"/>
  <c r="M178" i="12"/>
  <c r="N178" i="12"/>
  <c r="O178" i="12"/>
  <c r="L179" i="12"/>
  <c r="M179" i="12"/>
  <c r="N179" i="12"/>
  <c r="O179" i="12"/>
  <c r="L180" i="12"/>
  <c r="M180" i="12"/>
  <c r="N180" i="12"/>
  <c r="O180" i="12"/>
  <c r="L181" i="12"/>
  <c r="M181" i="12"/>
  <c r="N181" i="12"/>
  <c r="O181" i="12"/>
  <c r="L182" i="12"/>
  <c r="M182" i="12"/>
  <c r="N182" i="12"/>
  <c r="O182" i="12"/>
  <c r="L183" i="12"/>
  <c r="M183" i="12"/>
  <c r="N183" i="12"/>
  <c r="O183" i="12"/>
  <c r="L184" i="12"/>
  <c r="M184" i="12"/>
  <c r="N184" i="12"/>
  <c r="O184" i="12"/>
  <c r="L185" i="12"/>
  <c r="M185" i="12"/>
  <c r="N185" i="12"/>
  <c r="O185" i="12"/>
  <c r="L186" i="12"/>
  <c r="M186" i="12"/>
  <c r="N186" i="12"/>
  <c r="O186" i="12"/>
  <c r="L187" i="12"/>
  <c r="M187" i="12"/>
  <c r="N187" i="12"/>
  <c r="O187" i="12"/>
  <c r="L188" i="12"/>
  <c r="M188" i="12"/>
  <c r="N188" i="12"/>
  <c r="O188" i="12"/>
  <c r="L189" i="12"/>
  <c r="M189" i="12"/>
  <c r="N189" i="12"/>
  <c r="O189" i="12"/>
  <c r="L190" i="12"/>
  <c r="M190" i="12"/>
  <c r="N190" i="12"/>
  <c r="O190" i="12"/>
  <c r="L191" i="12"/>
  <c r="M191" i="12"/>
  <c r="N191" i="12"/>
  <c r="O191" i="12"/>
  <c r="L192" i="12"/>
  <c r="M192" i="12"/>
  <c r="N192" i="12"/>
  <c r="O192" i="12"/>
  <c r="L193" i="12"/>
  <c r="M193" i="12"/>
  <c r="N193" i="12"/>
  <c r="O193" i="12"/>
  <c r="L194" i="12"/>
  <c r="M194" i="12"/>
  <c r="N194" i="12"/>
  <c r="O194" i="12"/>
  <c r="L195" i="12"/>
  <c r="M195" i="12"/>
  <c r="N195" i="12"/>
  <c r="O195" i="12"/>
  <c r="L196" i="12"/>
  <c r="M196" i="12"/>
  <c r="N196" i="12"/>
  <c r="O196" i="12"/>
  <c r="L197" i="12"/>
  <c r="M197" i="12"/>
  <c r="N197" i="12"/>
  <c r="O197" i="12"/>
  <c r="L198" i="12"/>
  <c r="M198" i="12"/>
  <c r="N198" i="12"/>
  <c r="O198" i="12"/>
  <c r="L199" i="12"/>
  <c r="M199" i="12"/>
  <c r="N199" i="12"/>
  <c r="O199" i="12"/>
  <c r="L200" i="12"/>
  <c r="M200" i="12"/>
  <c r="N200" i="12"/>
  <c r="O200" i="12"/>
  <c r="L201" i="12"/>
  <c r="M201" i="12"/>
  <c r="N201" i="12"/>
  <c r="O201" i="12"/>
  <c r="L202" i="12"/>
  <c r="M202" i="12"/>
  <c r="N202" i="12"/>
  <c r="O202" i="12"/>
  <c r="L203" i="12"/>
  <c r="M203" i="12"/>
  <c r="N203" i="12"/>
  <c r="O203" i="12"/>
  <c r="L204" i="12"/>
  <c r="M204" i="12"/>
  <c r="N204" i="12"/>
  <c r="O204" i="12"/>
  <c r="L205" i="12"/>
  <c r="M205" i="12"/>
  <c r="N205" i="12"/>
  <c r="O205" i="12"/>
  <c r="L206" i="12"/>
  <c r="M206" i="12"/>
  <c r="N206" i="12"/>
  <c r="O206" i="12"/>
  <c r="L207" i="12"/>
  <c r="M207" i="12"/>
  <c r="N207" i="12"/>
  <c r="O207" i="12"/>
  <c r="L208" i="12"/>
  <c r="M208" i="12"/>
  <c r="N208" i="12"/>
  <c r="O208" i="12"/>
  <c r="L209" i="12"/>
  <c r="M209" i="12"/>
  <c r="N209" i="12"/>
  <c r="O209" i="12"/>
  <c r="L210" i="12"/>
  <c r="M210" i="12"/>
  <c r="N210" i="12"/>
  <c r="O210" i="12"/>
  <c r="L211" i="12"/>
  <c r="M211" i="12"/>
  <c r="N211" i="12"/>
  <c r="O211" i="12"/>
  <c r="L212" i="12"/>
  <c r="M212" i="12"/>
  <c r="N212" i="12"/>
  <c r="O212" i="12"/>
  <c r="L213" i="12"/>
  <c r="M213" i="12"/>
  <c r="N213" i="12"/>
  <c r="O213" i="12"/>
  <c r="L214" i="12"/>
  <c r="M214" i="12"/>
  <c r="N214" i="12"/>
  <c r="O214" i="12"/>
  <c r="L215" i="12"/>
  <c r="M215" i="12"/>
  <c r="N215" i="12"/>
  <c r="O215" i="12"/>
  <c r="L216" i="12"/>
  <c r="M216" i="12"/>
  <c r="N216" i="12"/>
  <c r="O216" i="12"/>
  <c r="L217" i="12"/>
  <c r="M217" i="12"/>
  <c r="N217" i="12"/>
  <c r="O217" i="12"/>
  <c r="L218" i="12"/>
  <c r="M218" i="12"/>
  <c r="N218" i="12"/>
  <c r="O218" i="12"/>
  <c r="L219" i="12"/>
  <c r="M219" i="12"/>
  <c r="N219" i="12"/>
  <c r="O219" i="12"/>
  <c r="L220" i="12"/>
  <c r="M220" i="12"/>
  <c r="N220" i="12"/>
  <c r="O220" i="12"/>
  <c r="L221" i="12"/>
  <c r="M221" i="12"/>
  <c r="N221" i="12"/>
  <c r="O221" i="12"/>
  <c r="L222" i="12"/>
  <c r="M222" i="12"/>
  <c r="N222" i="12"/>
  <c r="O222" i="12"/>
  <c r="L223" i="12"/>
  <c r="M223" i="12"/>
  <c r="N223" i="12"/>
  <c r="O223" i="12"/>
  <c r="L224" i="12"/>
  <c r="M224" i="12"/>
  <c r="N224" i="12"/>
  <c r="O224" i="12"/>
  <c r="L225" i="12"/>
  <c r="M225" i="12"/>
  <c r="N225" i="12"/>
  <c r="O225" i="12"/>
  <c r="L226" i="12"/>
  <c r="M226" i="12"/>
  <c r="N226" i="12"/>
  <c r="O226" i="12"/>
  <c r="L227" i="12"/>
  <c r="M227" i="12"/>
  <c r="N227" i="12"/>
  <c r="O227" i="12"/>
  <c r="L228" i="12"/>
  <c r="M228" i="12"/>
  <c r="N228" i="12"/>
  <c r="O228" i="12"/>
  <c r="L229" i="12"/>
  <c r="M229" i="12"/>
  <c r="N229" i="12"/>
  <c r="O229" i="12"/>
  <c r="L230" i="12"/>
  <c r="M230" i="12"/>
  <c r="N230" i="12"/>
  <c r="O230" i="12"/>
  <c r="L231" i="12"/>
  <c r="M231" i="12"/>
  <c r="N231" i="12"/>
  <c r="O231" i="12"/>
  <c r="L232" i="12"/>
  <c r="M232" i="12"/>
  <c r="N232" i="12"/>
  <c r="O232" i="12"/>
  <c r="L233" i="12"/>
  <c r="M233" i="12"/>
  <c r="N233" i="12"/>
  <c r="O233" i="12"/>
  <c r="L234" i="12"/>
  <c r="M234" i="12"/>
  <c r="N234" i="12"/>
  <c r="O234" i="12"/>
  <c r="L235" i="12"/>
  <c r="M235" i="12"/>
  <c r="N235" i="12"/>
  <c r="O235" i="12"/>
  <c r="L236" i="12"/>
  <c r="M236" i="12"/>
  <c r="N236" i="12"/>
  <c r="O236" i="12"/>
  <c r="L237" i="12"/>
  <c r="M237" i="12"/>
  <c r="N237" i="12"/>
  <c r="O237" i="12"/>
  <c r="L238" i="12"/>
  <c r="M238" i="12"/>
  <c r="N238" i="12"/>
  <c r="O238" i="12"/>
  <c r="L239" i="12"/>
  <c r="M239" i="12"/>
  <c r="N239" i="12"/>
  <c r="O239" i="12"/>
  <c r="L240" i="12"/>
  <c r="M240" i="12"/>
  <c r="N240" i="12"/>
  <c r="O240" i="12"/>
  <c r="L241" i="12"/>
  <c r="M241" i="12"/>
  <c r="N241" i="12"/>
  <c r="O241" i="12"/>
  <c r="L242" i="12"/>
  <c r="M242" i="12"/>
  <c r="N242" i="12"/>
  <c r="O242" i="12"/>
  <c r="L243" i="12"/>
  <c r="M243" i="12"/>
  <c r="N243" i="12"/>
  <c r="O243" i="12"/>
  <c r="L244" i="12"/>
  <c r="M244" i="12"/>
  <c r="N244" i="12"/>
  <c r="O244" i="12"/>
  <c r="L245" i="12"/>
  <c r="M245" i="12"/>
  <c r="N245" i="12"/>
  <c r="O245" i="12"/>
  <c r="L246" i="12"/>
  <c r="M246" i="12"/>
  <c r="N246" i="12"/>
  <c r="O246" i="12"/>
  <c r="L247" i="12"/>
  <c r="M247" i="12"/>
  <c r="N247" i="12"/>
  <c r="O247" i="12"/>
  <c r="L248" i="12"/>
  <c r="M248" i="12"/>
  <c r="N248" i="12"/>
  <c r="O248" i="12"/>
  <c r="L249" i="12"/>
  <c r="M249" i="12"/>
  <c r="N249" i="12"/>
  <c r="O249" i="12"/>
  <c r="L250" i="12"/>
  <c r="M250" i="12"/>
  <c r="N250" i="12"/>
  <c r="O250" i="12"/>
  <c r="L251" i="12"/>
  <c r="M251" i="12"/>
  <c r="N251" i="12"/>
  <c r="O251" i="12"/>
  <c r="L252" i="12"/>
  <c r="M252" i="12"/>
  <c r="N252" i="12"/>
  <c r="O252" i="12"/>
  <c r="L253" i="12"/>
  <c r="M253" i="12"/>
  <c r="N253" i="12"/>
  <c r="O253" i="12"/>
  <c r="L254" i="12"/>
  <c r="M254" i="12"/>
  <c r="N254" i="12"/>
  <c r="O254" i="12"/>
  <c r="L255" i="12"/>
  <c r="M255" i="12"/>
  <c r="N255" i="12"/>
  <c r="O255" i="12"/>
  <c r="L256" i="12"/>
  <c r="M256" i="12"/>
  <c r="N256" i="12"/>
  <c r="O256" i="12"/>
  <c r="L257" i="12"/>
  <c r="M257" i="12"/>
  <c r="N257" i="12"/>
  <c r="O257" i="12"/>
  <c r="L258" i="12"/>
  <c r="M258" i="12"/>
  <c r="N258" i="12"/>
  <c r="O258" i="12"/>
  <c r="L259" i="12"/>
  <c r="M259" i="12"/>
  <c r="N259" i="12"/>
  <c r="O259" i="12"/>
  <c r="L260" i="12"/>
  <c r="M260" i="12"/>
  <c r="N260" i="12"/>
  <c r="O260" i="12"/>
  <c r="L261" i="12"/>
  <c r="M261" i="12"/>
  <c r="N261" i="12"/>
  <c r="O261" i="12"/>
  <c r="L262" i="12"/>
  <c r="M262" i="12"/>
  <c r="N262" i="12"/>
  <c r="O262" i="12"/>
  <c r="L263" i="12"/>
  <c r="M263" i="12"/>
  <c r="N263" i="12"/>
  <c r="O263" i="12"/>
  <c r="L264" i="12"/>
  <c r="M264" i="12"/>
  <c r="N264" i="12"/>
  <c r="O264" i="12"/>
  <c r="L265" i="12"/>
  <c r="M265" i="12"/>
  <c r="N265" i="12"/>
  <c r="O265" i="12"/>
  <c r="L266" i="12"/>
  <c r="M266" i="12"/>
  <c r="N266" i="12"/>
  <c r="O266" i="12"/>
  <c r="L267" i="12"/>
  <c r="M267" i="12"/>
  <c r="N267" i="12"/>
  <c r="O267" i="12"/>
  <c r="L268" i="12"/>
  <c r="M268" i="12"/>
  <c r="N268" i="12"/>
  <c r="O268" i="12"/>
  <c r="L269" i="12"/>
  <c r="M269" i="12"/>
  <c r="N269" i="12"/>
  <c r="O269" i="12"/>
  <c r="L270" i="12"/>
  <c r="M270" i="12"/>
  <c r="N270" i="12"/>
  <c r="O270" i="12"/>
  <c r="L271" i="12"/>
  <c r="M271" i="12"/>
  <c r="N271" i="12"/>
  <c r="O271" i="12"/>
  <c r="L272" i="12"/>
  <c r="M272" i="12"/>
  <c r="N272" i="12"/>
  <c r="O272" i="12"/>
  <c r="L273" i="12"/>
  <c r="M273" i="12"/>
  <c r="N273" i="12"/>
  <c r="O273" i="12"/>
  <c r="L274" i="12"/>
  <c r="M274" i="12"/>
  <c r="N274" i="12"/>
  <c r="O274" i="12"/>
  <c r="L275" i="12"/>
  <c r="M275" i="12"/>
  <c r="N275" i="12"/>
  <c r="O275" i="12"/>
  <c r="L276" i="12"/>
  <c r="M276" i="12"/>
  <c r="N276" i="12"/>
  <c r="O276" i="12"/>
  <c r="L277" i="12"/>
  <c r="M277" i="12"/>
  <c r="N277" i="12"/>
  <c r="O277" i="12"/>
  <c r="L278" i="12"/>
  <c r="M278" i="12"/>
  <c r="N278" i="12"/>
  <c r="O278" i="12"/>
  <c r="L279" i="12"/>
  <c r="M279" i="12"/>
  <c r="N279" i="12"/>
  <c r="O279" i="12"/>
  <c r="L280" i="12"/>
  <c r="M280" i="12"/>
  <c r="N280" i="12"/>
  <c r="O280" i="12"/>
  <c r="L281" i="12"/>
  <c r="M281" i="12"/>
  <c r="N281" i="12"/>
  <c r="O281" i="12"/>
  <c r="L282" i="12"/>
  <c r="M282" i="12"/>
  <c r="N282" i="12"/>
  <c r="O282" i="12"/>
  <c r="L283" i="12"/>
  <c r="M283" i="12"/>
  <c r="N283" i="12"/>
  <c r="O283" i="12"/>
  <c r="L284" i="12"/>
  <c r="M284" i="12"/>
  <c r="N284" i="12"/>
  <c r="O284" i="12"/>
  <c r="L285" i="12"/>
  <c r="M285" i="12"/>
  <c r="N285" i="12"/>
  <c r="O285" i="12"/>
  <c r="L286" i="12"/>
  <c r="M286" i="12"/>
  <c r="N286" i="12"/>
  <c r="O286" i="12"/>
  <c r="L287" i="12"/>
  <c r="M287" i="12"/>
  <c r="N287" i="12"/>
  <c r="O287" i="12"/>
  <c r="L288" i="12"/>
  <c r="M288" i="12"/>
  <c r="N288" i="12"/>
  <c r="O288" i="12"/>
  <c r="L289" i="12"/>
  <c r="M289" i="12"/>
  <c r="N289" i="12"/>
  <c r="O289" i="12"/>
  <c r="L290" i="12"/>
  <c r="M290" i="12"/>
  <c r="N290" i="12"/>
  <c r="O290" i="12"/>
  <c r="L291" i="12"/>
  <c r="M291" i="12"/>
  <c r="N291" i="12"/>
  <c r="O291" i="12"/>
  <c r="L292" i="12"/>
  <c r="M292" i="12"/>
  <c r="N292" i="12"/>
  <c r="O292" i="12"/>
  <c r="L293" i="12"/>
  <c r="M293" i="12"/>
  <c r="N293" i="12"/>
  <c r="O293" i="12"/>
  <c r="L294" i="12"/>
  <c r="M294" i="12"/>
  <c r="N294" i="12"/>
  <c r="O294" i="12"/>
  <c r="L295" i="12"/>
  <c r="M295" i="12"/>
  <c r="N295" i="12"/>
  <c r="O295" i="12"/>
  <c r="L296" i="12"/>
  <c r="M296" i="12"/>
  <c r="N296" i="12"/>
  <c r="O296" i="12"/>
  <c r="L297" i="12"/>
  <c r="M297" i="12"/>
  <c r="N297" i="12"/>
  <c r="O297" i="12"/>
  <c r="L298" i="12"/>
  <c r="M298" i="12"/>
  <c r="N298" i="12"/>
  <c r="O298" i="12"/>
  <c r="L299" i="12"/>
  <c r="M299" i="12"/>
  <c r="N299" i="12"/>
  <c r="O299" i="12"/>
  <c r="L300" i="12"/>
  <c r="M300" i="12"/>
  <c r="N300" i="12"/>
  <c r="O300" i="12"/>
  <c r="L301" i="12"/>
  <c r="M301" i="12"/>
  <c r="N301" i="12"/>
  <c r="O301" i="12"/>
  <c r="L302" i="12"/>
  <c r="M302" i="12"/>
  <c r="N302" i="12"/>
  <c r="O302" i="12"/>
  <c r="L303" i="12"/>
  <c r="M303" i="12"/>
  <c r="N303" i="12"/>
  <c r="O303" i="12"/>
  <c r="L304" i="12"/>
  <c r="M304" i="12"/>
  <c r="N304" i="12"/>
  <c r="O304" i="12"/>
  <c r="L305" i="12"/>
  <c r="M305" i="12"/>
  <c r="N305" i="12"/>
  <c r="O305" i="12"/>
  <c r="L306" i="12"/>
  <c r="M306" i="12"/>
  <c r="N306" i="12"/>
  <c r="O306" i="12"/>
  <c r="L307" i="12"/>
  <c r="M307" i="12"/>
  <c r="N307" i="12"/>
  <c r="O307" i="12"/>
  <c r="L308" i="12"/>
  <c r="M308" i="12"/>
  <c r="N308" i="12"/>
  <c r="O308" i="12"/>
  <c r="L309" i="12"/>
  <c r="M309" i="12"/>
  <c r="N309" i="12"/>
  <c r="O309" i="12"/>
  <c r="L310" i="12"/>
  <c r="M310" i="12"/>
  <c r="N310" i="12"/>
  <c r="O310" i="12"/>
  <c r="L311" i="12"/>
  <c r="M311" i="12"/>
  <c r="N311" i="12"/>
  <c r="O311" i="12"/>
  <c r="L312" i="12"/>
  <c r="M312" i="12"/>
  <c r="N312" i="12"/>
  <c r="O312" i="12"/>
  <c r="L313" i="12"/>
  <c r="M313" i="12"/>
  <c r="N313" i="12"/>
  <c r="O313" i="12"/>
  <c r="L314" i="12"/>
  <c r="M314" i="12"/>
  <c r="N314" i="12"/>
  <c r="O314" i="12"/>
  <c r="L315" i="12"/>
  <c r="M315" i="12"/>
  <c r="N315" i="12"/>
  <c r="O315" i="12"/>
  <c r="L316" i="12"/>
  <c r="M316" i="12"/>
  <c r="N316" i="12"/>
  <c r="O316" i="12"/>
  <c r="L317" i="12"/>
  <c r="M317" i="12"/>
  <c r="N317" i="12"/>
  <c r="O317" i="12"/>
  <c r="L318" i="12"/>
  <c r="M318" i="12"/>
  <c r="N318" i="12"/>
  <c r="O318" i="12"/>
  <c r="L319" i="12"/>
  <c r="M319" i="12"/>
  <c r="N319" i="12"/>
  <c r="O319" i="12"/>
  <c r="L320" i="12"/>
  <c r="M320" i="12"/>
  <c r="N320" i="12"/>
  <c r="O320" i="12"/>
  <c r="L321" i="12"/>
  <c r="M321" i="12"/>
  <c r="N321" i="12"/>
  <c r="O321" i="12"/>
  <c r="L322" i="12"/>
  <c r="M322" i="12"/>
  <c r="N322" i="12"/>
  <c r="O322" i="12"/>
  <c r="L323" i="12"/>
  <c r="M323" i="12"/>
  <c r="N323" i="12"/>
  <c r="O323" i="12"/>
  <c r="L324" i="12"/>
  <c r="M324" i="12"/>
  <c r="N324" i="12"/>
  <c r="O324" i="12"/>
  <c r="L325" i="12"/>
  <c r="M325" i="12"/>
  <c r="N325" i="12"/>
  <c r="O325" i="12"/>
  <c r="L326" i="12"/>
  <c r="M326" i="12"/>
  <c r="N326" i="12"/>
  <c r="O326" i="12"/>
  <c r="L327" i="12"/>
  <c r="M327" i="12"/>
  <c r="N327" i="12"/>
  <c r="O327" i="12"/>
  <c r="L328" i="12"/>
  <c r="M328" i="12"/>
  <c r="N328" i="12"/>
  <c r="O328" i="12"/>
  <c r="L329" i="12"/>
  <c r="M329" i="12"/>
  <c r="N329" i="12"/>
  <c r="O329" i="12"/>
  <c r="L330" i="12"/>
  <c r="M330" i="12"/>
  <c r="N330" i="12"/>
  <c r="O330" i="12"/>
  <c r="L331" i="12"/>
  <c r="M331" i="12"/>
  <c r="N331" i="12"/>
  <c r="O331" i="12"/>
  <c r="L332" i="12"/>
  <c r="M332" i="12"/>
  <c r="N332" i="12"/>
  <c r="O332" i="12"/>
  <c r="L333" i="12"/>
  <c r="M333" i="12"/>
  <c r="N333" i="12"/>
  <c r="O333" i="12"/>
  <c r="L334" i="12"/>
  <c r="M334" i="12"/>
  <c r="N334" i="12"/>
  <c r="O334" i="12"/>
  <c r="L335" i="12"/>
  <c r="M335" i="12"/>
  <c r="N335" i="12"/>
  <c r="O335" i="12"/>
  <c r="L336" i="12"/>
  <c r="M336" i="12"/>
  <c r="N336" i="12"/>
  <c r="O336" i="12"/>
  <c r="L337" i="12"/>
  <c r="M337" i="12"/>
  <c r="N337" i="12"/>
  <c r="O337" i="12"/>
  <c r="L338" i="12"/>
  <c r="M338" i="12"/>
  <c r="N338" i="12"/>
  <c r="O338" i="12"/>
  <c r="L339" i="12"/>
  <c r="M339" i="12"/>
  <c r="N339" i="12"/>
  <c r="O339" i="12"/>
  <c r="L340" i="12"/>
  <c r="M340" i="12"/>
  <c r="N340" i="12"/>
  <c r="O340" i="12"/>
  <c r="L341" i="12"/>
  <c r="M341" i="12"/>
  <c r="N341" i="12"/>
  <c r="O341" i="12"/>
  <c r="L342" i="12"/>
  <c r="M342" i="12"/>
  <c r="N342" i="12"/>
  <c r="O342" i="12"/>
  <c r="L343" i="12"/>
  <c r="M343" i="12"/>
  <c r="N343" i="12"/>
  <c r="O343" i="12"/>
  <c r="L344" i="12"/>
  <c r="M344" i="12"/>
  <c r="N344" i="12"/>
  <c r="O344" i="12"/>
  <c r="L345" i="12"/>
  <c r="M345" i="12"/>
  <c r="N345" i="12"/>
  <c r="O345" i="12"/>
  <c r="L346" i="12"/>
  <c r="M346" i="12"/>
  <c r="N346" i="12"/>
  <c r="O346" i="12"/>
  <c r="L347" i="12"/>
  <c r="M347" i="12"/>
  <c r="N347" i="12"/>
  <c r="O347" i="12"/>
  <c r="L348" i="12"/>
  <c r="M348" i="12"/>
  <c r="N348" i="12"/>
  <c r="O348" i="12"/>
  <c r="L349" i="12"/>
  <c r="M349" i="12"/>
  <c r="N349" i="12"/>
  <c r="O349" i="12"/>
  <c r="L350" i="12"/>
  <c r="M350" i="12"/>
  <c r="N350" i="12"/>
  <c r="O350" i="12"/>
  <c r="L351" i="12"/>
  <c r="M351" i="12"/>
  <c r="N351" i="12"/>
  <c r="O351" i="12"/>
  <c r="L352" i="12"/>
  <c r="M352" i="12"/>
  <c r="N352" i="12"/>
  <c r="O352" i="12"/>
  <c r="L353" i="12"/>
  <c r="M353" i="12"/>
  <c r="N353" i="12"/>
  <c r="O353" i="12"/>
  <c r="L354" i="12"/>
  <c r="M354" i="12"/>
  <c r="N354" i="12"/>
  <c r="O354" i="12"/>
  <c r="L355" i="12"/>
  <c r="M355" i="12"/>
  <c r="N355" i="12"/>
  <c r="O355" i="12"/>
  <c r="L356" i="12"/>
  <c r="M356" i="12"/>
  <c r="N356" i="12"/>
  <c r="O356" i="12"/>
  <c r="L357" i="12"/>
  <c r="M357" i="12"/>
  <c r="N357" i="12"/>
  <c r="O357" i="12"/>
  <c r="L358" i="12"/>
  <c r="M358" i="12"/>
  <c r="N358" i="12"/>
  <c r="O358" i="12"/>
  <c r="L359" i="12"/>
  <c r="M359" i="12"/>
  <c r="N359" i="12"/>
  <c r="O359" i="12"/>
  <c r="L360" i="12"/>
  <c r="M360" i="12"/>
  <c r="N360" i="12"/>
  <c r="O360" i="12"/>
  <c r="L361" i="12"/>
  <c r="M361" i="12"/>
  <c r="N361" i="12"/>
  <c r="O361" i="12"/>
  <c r="L362" i="12"/>
  <c r="M362" i="12"/>
  <c r="N362" i="12"/>
  <c r="O362" i="12"/>
  <c r="L363" i="12"/>
  <c r="M363" i="12"/>
  <c r="N363" i="12"/>
  <c r="O363" i="12"/>
  <c r="L364" i="12"/>
  <c r="M364" i="12"/>
  <c r="N364" i="12"/>
  <c r="O364" i="12"/>
  <c r="L365" i="12"/>
  <c r="M365" i="12"/>
  <c r="N365" i="12"/>
  <c r="O365" i="12"/>
  <c r="L366" i="12"/>
  <c r="M366" i="12"/>
  <c r="N366" i="12"/>
  <c r="O366" i="12"/>
  <c r="L367" i="12"/>
  <c r="M367" i="12"/>
  <c r="N367" i="12"/>
  <c r="O367" i="12"/>
  <c r="L368" i="12"/>
  <c r="M368" i="12"/>
  <c r="N368" i="12"/>
  <c r="O368" i="12"/>
  <c r="L369" i="12"/>
  <c r="M369" i="12"/>
  <c r="N369" i="12"/>
  <c r="O369" i="12"/>
  <c r="L370" i="12"/>
  <c r="M370" i="12"/>
  <c r="N370" i="12"/>
  <c r="O370" i="12"/>
  <c r="L371" i="12"/>
  <c r="M371" i="12"/>
  <c r="N371" i="12"/>
  <c r="O371" i="12"/>
  <c r="L372" i="12"/>
  <c r="M372" i="12"/>
  <c r="N372" i="12"/>
  <c r="O372" i="12"/>
  <c r="L373" i="12"/>
  <c r="M373" i="12"/>
  <c r="N373" i="12"/>
  <c r="O373" i="12"/>
  <c r="L374" i="12"/>
  <c r="M374" i="12"/>
  <c r="N374" i="12"/>
  <c r="O374" i="12"/>
  <c r="L375" i="12"/>
  <c r="M375" i="12"/>
  <c r="N375" i="12"/>
  <c r="O375" i="12"/>
  <c r="L376" i="12"/>
  <c r="M376" i="12"/>
  <c r="N376" i="12"/>
  <c r="O376" i="12"/>
  <c r="L377" i="12"/>
  <c r="M377" i="12"/>
  <c r="N377" i="12"/>
  <c r="O377" i="12"/>
  <c r="L378" i="12"/>
  <c r="M378" i="12"/>
  <c r="N378" i="12"/>
  <c r="O378" i="12"/>
  <c r="L379" i="12"/>
  <c r="M379" i="12"/>
  <c r="N379" i="12"/>
  <c r="O379" i="12"/>
  <c r="L380" i="12"/>
  <c r="M380" i="12"/>
  <c r="N380" i="12"/>
  <c r="O380" i="12"/>
  <c r="L381" i="12"/>
  <c r="M381" i="12"/>
  <c r="N381" i="12"/>
  <c r="O381" i="12"/>
  <c r="L382" i="12"/>
  <c r="M382" i="12"/>
  <c r="N382" i="12"/>
  <c r="O382" i="12"/>
  <c r="L383" i="12"/>
  <c r="M383" i="12"/>
  <c r="N383" i="12"/>
  <c r="O383" i="12"/>
  <c r="L384" i="12"/>
  <c r="M384" i="12"/>
  <c r="N384" i="12"/>
  <c r="O384" i="12"/>
  <c r="L385" i="12"/>
  <c r="M385" i="12"/>
  <c r="N385" i="12"/>
  <c r="O385" i="12"/>
  <c r="L386" i="12"/>
  <c r="M386" i="12"/>
  <c r="N386" i="12"/>
  <c r="O386" i="12"/>
  <c r="L387" i="12"/>
  <c r="M387" i="12"/>
  <c r="N387" i="12"/>
  <c r="O387" i="12"/>
  <c r="L388" i="12"/>
  <c r="M388" i="12"/>
  <c r="N388" i="12"/>
  <c r="O388" i="12"/>
  <c r="L389" i="12"/>
  <c r="M389" i="12"/>
  <c r="N389" i="12"/>
  <c r="O389" i="12"/>
  <c r="L390" i="12"/>
  <c r="M390" i="12"/>
  <c r="N390" i="12"/>
  <c r="O390" i="12"/>
  <c r="L391" i="12"/>
  <c r="M391" i="12"/>
  <c r="N391" i="12"/>
  <c r="O391" i="12"/>
  <c r="L392" i="12"/>
  <c r="M392" i="12"/>
  <c r="N392" i="12"/>
  <c r="O392" i="12"/>
  <c r="L393" i="12"/>
  <c r="M393" i="12"/>
  <c r="N393" i="12"/>
  <c r="O393" i="12"/>
  <c r="L394" i="12"/>
  <c r="M394" i="12"/>
  <c r="N394" i="12"/>
  <c r="O394" i="12"/>
  <c r="L395" i="12"/>
  <c r="M395" i="12"/>
  <c r="N395" i="12"/>
  <c r="O395" i="12"/>
  <c r="L396" i="12"/>
  <c r="M396" i="12"/>
  <c r="N396" i="12"/>
  <c r="O396" i="12"/>
  <c r="L397" i="12"/>
  <c r="M397" i="12"/>
  <c r="N397" i="12"/>
  <c r="O397" i="12"/>
  <c r="L398" i="12"/>
  <c r="M398" i="12"/>
  <c r="N398" i="12"/>
  <c r="O398" i="12"/>
  <c r="L399" i="12"/>
  <c r="M399" i="12"/>
  <c r="N399" i="12"/>
  <c r="O399" i="12"/>
  <c r="L400" i="12"/>
  <c r="M400" i="12"/>
  <c r="N400" i="12"/>
  <c r="O400" i="12"/>
  <c r="L401" i="12"/>
  <c r="M401" i="12"/>
  <c r="N401" i="12"/>
  <c r="O401" i="12"/>
  <c r="L402" i="12"/>
  <c r="M402" i="12"/>
  <c r="N402" i="12"/>
  <c r="O402" i="12"/>
  <c r="L403" i="12"/>
  <c r="M403" i="12"/>
  <c r="N403" i="12"/>
  <c r="O403" i="12"/>
  <c r="L404" i="12"/>
  <c r="M404" i="12"/>
  <c r="N404" i="12"/>
  <c r="O404" i="12"/>
  <c r="L405" i="12"/>
  <c r="M405" i="12"/>
  <c r="N405" i="12"/>
  <c r="O405" i="12"/>
  <c r="L406" i="12"/>
  <c r="M406" i="12"/>
  <c r="N406" i="12"/>
  <c r="O406" i="12"/>
  <c r="L407" i="12"/>
  <c r="M407" i="12"/>
  <c r="N407" i="12"/>
  <c r="O407" i="12"/>
  <c r="L408" i="12"/>
  <c r="M408" i="12"/>
  <c r="N408" i="12"/>
  <c r="O408" i="12"/>
  <c r="L409" i="12"/>
  <c r="M409" i="12"/>
  <c r="N409" i="12"/>
  <c r="O409" i="12"/>
  <c r="L410" i="12"/>
  <c r="M410" i="12"/>
  <c r="N410" i="12"/>
  <c r="O410" i="12"/>
  <c r="L411" i="12"/>
  <c r="M411" i="12"/>
  <c r="N411" i="12"/>
  <c r="O411" i="12"/>
  <c r="L412" i="12"/>
  <c r="M412" i="12"/>
  <c r="N412" i="12"/>
  <c r="O412" i="12"/>
  <c r="L413" i="12"/>
  <c r="M413" i="12"/>
  <c r="N413" i="12"/>
  <c r="O413" i="12"/>
  <c r="L414" i="12"/>
  <c r="M414" i="12"/>
  <c r="N414" i="12"/>
  <c r="O414" i="12"/>
  <c r="L415" i="12"/>
  <c r="M415" i="12"/>
  <c r="N415" i="12"/>
  <c r="O415" i="12"/>
  <c r="L416" i="12"/>
  <c r="M416" i="12"/>
  <c r="N416" i="12"/>
  <c r="O416" i="12"/>
  <c r="L417" i="12"/>
  <c r="M417" i="12"/>
  <c r="N417" i="12"/>
  <c r="O417" i="12"/>
  <c r="L418" i="12"/>
  <c r="M418" i="12"/>
  <c r="N418" i="12"/>
  <c r="O418" i="12"/>
  <c r="L419" i="12"/>
  <c r="M419" i="12"/>
  <c r="N419" i="12"/>
  <c r="O419" i="12"/>
  <c r="L420" i="12"/>
  <c r="M420" i="12"/>
  <c r="N420" i="12"/>
  <c r="O420" i="12"/>
  <c r="L421" i="12"/>
  <c r="M421" i="12"/>
  <c r="N421" i="12"/>
  <c r="O421" i="12"/>
  <c r="L422" i="12"/>
  <c r="M422" i="12"/>
  <c r="N422" i="12"/>
  <c r="O422" i="12"/>
  <c r="L423" i="12"/>
  <c r="M423" i="12"/>
  <c r="N423" i="12"/>
  <c r="O423" i="12"/>
  <c r="L424" i="12"/>
  <c r="M424" i="12"/>
  <c r="N424" i="12"/>
  <c r="O424" i="12"/>
  <c r="L425" i="12"/>
  <c r="M425" i="12"/>
  <c r="N425" i="12"/>
  <c r="O425" i="12"/>
  <c r="L426" i="12"/>
  <c r="M426" i="12"/>
  <c r="N426" i="12"/>
  <c r="O426" i="12"/>
  <c r="L427" i="12"/>
  <c r="M427" i="12"/>
  <c r="N427" i="12"/>
  <c r="O427" i="12"/>
  <c r="L428" i="12"/>
  <c r="M428" i="12"/>
  <c r="N428" i="12"/>
  <c r="O428" i="12"/>
  <c r="L429" i="12"/>
  <c r="M429" i="12"/>
  <c r="N429" i="12"/>
  <c r="O429" i="12"/>
  <c r="L430" i="12"/>
  <c r="M430" i="12"/>
  <c r="N430" i="12"/>
  <c r="O430" i="12"/>
  <c r="L431" i="12"/>
  <c r="M431" i="12"/>
  <c r="N431" i="12"/>
  <c r="O431" i="12"/>
  <c r="L432" i="12"/>
  <c r="M432" i="12"/>
  <c r="N432" i="12"/>
  <c r="O432" i="12"/>
  <c r="L433" i="12"/>
  <c r="M433" i="12"/>
  <c r="N433" i="12"/>
  <c r="O433" i="12"/>
  <c r="L434" i="12"/>
  <c r="M434" i="12"/>
  <c r="N434" i="12"/>
  <c r="O434" i="12"/>
  <c r="L435" i="12"/>
  <c r="M435" i="12"/>
  <c r="N435" i="12"/>
  <c r="O435" i="12"/>
  <c r="L436" i="12"/>
  <c r="M436" i="12"/>
  <c r="N436" i="12"/>
  <c r="O436" i="12"/>
  <c r="L437" i="12"/>
  <c r="M437" i="12"/>
  <c r="N437" i="12"/>
  <c r="O437" i="12"/>
  <c r="L438" i="12"/>
  <c r="M438" i="12"/>
  <c r="N438" i="12"/>
  <c r="O438" i="12"/>
  <c r="L439" i="12"/>
  <c r="M439" i="12"/>
  <c r="N439" i="12"/>
  <c r="O439" i="12"/>
  <c r="L440" i="12"/>
  <c r="M440" i="12"/>
  <c r="N440" i="12"/>
  <c r="O440" i="12"/>
  <c r="L441" i="12"/>
  <c r="M441" i="12"/>
  <c r="N441" i="12"/>
  <c r="O441" i="12"/>
  <c r="L442" i="12"/>
  <c r="M442" i="12"/>
  <c r="N442" i="12"/>
  <c r="O442" i="12"/>
  <c r="L443" i="12"/>
  <c r="M443" i="12"/>
  <c r="N443" i="12"/>
  <c r="O443" i="12"/>
  <c r="L444" i="12"/>
  <c r="M444" i="12"/>
  <c r="N444" i="12"/>
  <c r="O444" i="12"/>
  <c r="L445" i="12"/>
  <c r="M445" i="12"/>
  <c r="N445" i="12"/>
  <c r="O445" i="12"/>
  <c r="L446" i="12"/>
  <c r="M446" i="12"/>
  <c r="N446" i="12"/>
  <c r="O446" i="12"/>
  <c r="L447" i="12"/>
  <c r="M447" i="12"/>
  <c r="N447" i="12"/>
  <c r="O447" i="12"/>
  <c r="L448" i="12"/>
  <c r="M448" i="12"/>
  <c r="N448" i="12"/>
  <c r="O448" i="12"/>
  <c r="L449" i="12"/>
  <c r="M449" i="12"/>
  <c r="N449" i="12"/>
  <c r="O449" i="12"/>
  <c r="L450" i="12"/>
  <c r="M450" i="12"/>
  <c r="N450" i="12"/>
  <c r="O450" i="12"/>
  <c r="L451" i="12"/>
  <c r="M451" i="12"/>
  <c r="N451" i="12"/>
  <c r="O451" i="12"/>
  <c r="L452" i="12"/>
  <c r="M452" i="12"/>
  <c r="N452" i="12"/>
  <c r="O452" i="12"/>
  <c r="L453" i="12"/>
  <c r="M453" i="12"/>
  <c r="N453" i="12"/>
  <c r="O453" i="12"/>
  <c r="L454" i="12"/>
  <c r="M454" i="12"/>
  <c r="N454" i="12"/>
  <c r="O454" i="12"/>
  <c r="L455" i="12"/>
  <c r="M455" i="12"/>
  <c r="N455" i="12"/>
  <c r="O455" i="12"/>
  <c r="L456" i="12"/>
  <c r="M456" i="12"/>
  <c r="N456" i="12"/>
  <c r="O456" i="12"/>
  <c r="L457" i="12"/>
  <c r="M457" i="12"/>
  <c r="N457" i="12"/>
  <c r="O457" i="12"/>
  <c r="L458" i="12"/>
  <c r="M458" i="12"/>
  <c r="N458" i="12"/>
  <c r="O458" i="12"/>
  <c r="L459" i="12"/>
  <c r="M459" i="12"/>
  <c r="N459" i="12"/>
  <c r="O459" i="12"/>
  <c r="L460" i="12"/>
  <c r="M460" i="12"/>
  <c r="N460" i="12"/>
  <c r="O460" i="12"/>
  <c r="L461" i="12"/>
  <c r="M461" i="12"/>
  <c r="N461" i="12"/>
  <c r="O461" i="12"/>
  <c r="L462" i="12"/>
  <c r="M462" i="12"/>
  <c r="N462" i="12"/>
  <c r="O462" i="12"/>
  <c r="L463" i="12"/>
  <c r="M463" i="12"/>
  <c r="N463" i="12"/>
  <c r="O463" i="12"/>
  <c r="L464" i="12"/>
  <c r="M464" i="12"/>
  <c r="N464" i="12"/>
  <c r="O464" i="12"/>
  <c r="L465" i="12"/>
  <c r="M465" i="12"/>
  <c r="N465" i="12"/>
  <c r="O465" i="12"/>
  <c r="L466" i="12"/>
  <c r="M466" i="12"/>
  <c r="N466" i="12"/>
  <c r="O466" i="12"/>
  <c r="L467" i="12"/>
  <c r="M467" i="12"/>
  <c r="N467" i="12"/>
  <c r="O467" i="12"/>
  <c r="L468" i="12"/>
  <c r="M468" i="12"/>
  <c r="N468" i="12"/>
  <c r="O468" i="12"/>
  <c r="L469" i="12"/>
  <c r="M469" i="12"/>
  <c r="N469" i="12"/>
  <c r="O469" i="12"/>
  <c r="L470" i="12"/>
  <c r="M470" i="12"/>
  <c r="N470" i="12"/>
  <c r="O470" i="12"/>
  <c r="L471" i="12"/>
  <c r="M471" i="12"/>
  <c r="N471" i="12"/>
  <c r="O471" i="12"/>
  <c r="L472" i="12"/>
  <c r="M472" i="12"/>
  <c r="N472" i="12"/>
  <c r="O472" i="12"/>
  <c r="L473" i="12"/>
  <c r="M473" i="12"/>
  <c r="N473" i="12"/>
  <c r="O473" i="12"/>
  <c r="L474" i="12"/>
  <c r="M474" i="12"/>
  <c r="N474" i="12"/>
  <c r="O474" i="12"/>
  <c r="L475" i="12"/>
  <c r="M475" i="12"/>
  <c r="N475" i="12"/>
  <c r="O475" i="12"/>
  <c r="L476" i="12"/>
  <c r="M476" i="12"/>
  <c r="N476" i="12"/>
  <c r="O476" i="12"/>
  <c r="L477" i="12"/>
  <c r="M477" i="12"/>
  <c r="N477" i="12"/>
  <c r="O477" i="12"/>
  <c r="L478" i="12"/>
  <c r="M478" i="12"/>
  <c r="N478" i="12"/>
  <c r="O478" i="12"/>
  <c r="L479" i="12"/>
  <c r="M479" i="12"/>
  <c r="N479" i="12"/>
  <c r="O479" i="12"/>
  <c r="L480" i="12"/>
  <c r="M480" i="12"/>
  <c r="N480" i="12"/>
  <c r="O480" i="12"/>
  <c r="L481" i="12"/>
  <c r="M481" i="12"/>
  <c r="N481" i="12"/>
  <c r="O481" i="12"/>
  <c r="L482" i="12"/>
  <c r="M482" i="12"/>
  <c r="N482" i="12"/>
  <c r="O482" i="12"/>
  <c r="L483" i="12"/>
  <c r="M483" i="12"/>
  <c r="N483" i="12"/>
  <c r="O483" i="12"/>
  <c r="L484" i="12"/>
  <c r="M484" i="12"/>
  <c r="N484" i="12"/>
  <c r="O484" i="12"/>
  <c r="L485" i="12"/>
  <c r="M485" i="12"/>
  <c r="N485" i="12"/>
  <c r="O485" i="12"/>
  <c r="L486" i="12"/>
  <c r="M486" i="12"/>
  <c r="N486" i="12"/>
  <c r="O486" i="12"/>
  <c r="L487" i="12"/>
  <c r="M487" i="12"/>
  <c r="N487" i="12"/>
  <c r="O487" i="12"/>
  <c r="L488" i="12"/>
  <c r="M488" i="12"/>
  <c r="N488" i="12"/>
  <c r="O488" i="12"/>
  <c r="L489" i="12"/>
  <c r="M489" i="12"/>
  <c r="N489" i="12"/>
  <c r="O489" i="12"/>
  <c r="L490" i="12"/>
  <c r="M490" i="12"/>
  <c r="N490" i="12"/>
  <c r="O490" i="12"/>
  <c r="L491" i="12"/>
  <c r="M491" i="12"/>
  <c r="N491" i="12"/>
  <c r="O491" i="12"/>
  <c r="L492" i="12"/>
  <c r="M492" i="12"/>
  <c r="N492" i="12"/>
  <c r="O492" i="12"/>
  <c r="L493" i="12"/>
  <c r="M493" i="12"/>
  <c r="N493" i="12"/>
  <c r="O493" i="12"/>
  <c r="L494" i="12"/>
  <c r="M494" i="12"/>
  <c r="N494" i="12"/>
  <c r="O494" i="12"/>
  <c r="L495" i="12"/>
  <c r="M495" i="12"/>
  <c r="N495" i="12"/>
  <c r="O495" i="12"/>
  <c r="L496" i="12"/>
  <c r="M496" i="12"/>
  <c r="N496" i="12"/>
  <c r="O496" i="12"/>
  <c r="L497" i="12"/>
  <c r="M497" i="12"/>
  <c r="N497" i="12"/>
  <c r="O497" i="12"/>
  <c r="L498" i="12"/>
  <c r="M498" i="12"/>
  <c r="N498" i="12"/>
  <c r="O498" i="12"/>
  <c r="L499" i="12"/>
  <c r="M499" i="12"/>
  <c r="N499" i="12"/>
  <c r="O499" i="12"/>
  <c r="L500" i="12"/>
  <c r="M500" i="12"/>
  <c r="N500" i="12"/>
  <c r="O500" i="12"/>
  <c r="L501" i="12"/>
  <c r="M501" i="12"/>
  <c r="N501" i="12"/>
  <c r="O501" i="12"/>
  <c r="L502" i="12"/>
  <c r="M502" i="12"/>
  <c r="N502" i="12"/>
  <c r="O502" i="12"/>
  <c r="L503" i="12"/>
  <c r="M503" i="12"/>
  <c r="N503" i="12"/>
  <c r="O503" i="12"/>
  <c r="L504" i="12"/>
  <c r="M504" i="12"/>
  <c r="N504" i="12"/>
  <c r="O504" i="12"/>
  <c r="L505" i="12"/>
  <c r="M505" i="12"/>
  <c r="N505" i="12"/>
  <c r="O505" i="12"/>
  <c r="L506" i="12"/>
  <c r="M506" i="12"/>
  <c r="N506" i="12"/>
  <c r="O506" i="12"/>
  <c r="L507" i="12"/>
  <c r="M507" i="12"/>
  <c r="N507" i="12"/>
  <c r="O507" i="12"/>
  <c r="L508" i="12"/>
  <c r="M508" i="12"/>
  <c r="N508" i="12"/>
  <c r="O508" i="12"/>
  <c r="L509" i="12"/>
  <c r="M509" i="12"/>
  <c r="N509" i="12"/>
  <c r="O509" i="12"/>
  <c r="L510" i="12"/>
  <c r="M510" i="12"/>
  <c r="N510" i="12"/>
  <c r="O510" i="12"/>
  <c r="L511" i="12"/>
  <c r="M511" i="12"/>
  <c r="N511" i="12"/>
  <c r="O511" i="12"/>
  <c r="L512" i="12"/>
  <c r="M512" i="12"/>
  <c r="N512" i="12"/>
  <c r="O512" i="12"/>
  <c r="L513" i="12"/>
  <c r="M513" i="12"/>
  <c r="N513" i="12"/>
  <c r="O513" i="12"/>
  <c r="L514" i="12"/>
  <c r="M514" i="12"/>
  <c r="N514" i="12"/>
  <c r="O514" i="12"/>
  <c r="L515" i="12"/>
  <c r="M515" i="12"/>
  <c r="N515" i="12"/>
  <c r="O515" i="12"/>
  <c r="L516" i="12"/>
  <c r="M516" i="12"/>
  <c r="N516" i="12"/>
  <c r="O516" i="12"/>
  <c r="L517" i="12"/>
  <c r="M517" i="12"/>
  <c r="N517" i="12"/>
  <c r="O517" i="12"/>
  <c r="L518" i="12"/>
  <c r="M518" i="12"/>
  <c r="N518" i="12"/>
  <c r="O518" i="12"/>
  <c r="L519" i="12"/>
  <c r="M519" i="12"/>
  <c r="N519" i="12"/>
  <c r="O519" i="12"/>
  <c r="L520" i="12"/>
  <c r="M520" i="12"/>
  <c r="N520" i="12"/>
  <c r="O520" i="12"/>
  <c r="L521" i="12"/>
  <c r="M521" i="12"/>
  <c r="N521" i="12"/>
  <c r="O521" i="12"/>
  <c r="L522" i="12"/>
  <c r="M522" i="12"/>
  <c r="N522" i="12"/>
  <c r="O522" i="12"/>
  <c r="L523" i="12"/>
  <c r="M523" i="12"/>
  <c r="N523" i="12"/>
  <c r="O523" i="12"/>
  <c r="L524" i="12"/>
  <c r="M524" i="12"/>
  <c r="N524" i="12"/>
  <c r="O524" i="12"/>
  <c r="L525" i="12"/>
  <c r="M525" i="12"/>
  <c r="N525" i="12"/>
  <c r="O525" i="12"/>
  <c r="L526" i="12"/>
  <c r="M526" i="12"/>
  <c r="N526" i="12"/>
  <c r="O526" i="12"/>
  <c r="L527" i="12"/>
  <c r="M527" i="12"/>
  <c r="N527" i="12"/>
  <c r="O527" i="12"/>
  <c r="L528" i="12"/>
  <c r="M528" i="12"/>
  <c r="N528" i="12"/>
  <c r="O528" i="12"/>
  <c r="L529" i="12"/>
  <c r="M529" i="12"/>
  <c r="N529" i="12"/>
  <c r="O529" i="12"/>
  <c r="L530" i="12"/>
  <c r="M530" i="12"/>
  <c r="N530" i="12"/>
  <c r="O530" i="12"/>
  <c r="L531" i="12"/>
  <c r="M531" i="12"/>
  <c r="N531" i="12"/>
  <c r="O531" i="12"/>
  <c r="L532" i="12"/>
  <c r="M532" i="12"/>
  <c r="N532" i="12"/>
  <c r="O532" i="12"/>
  <c r="L533" i="12"/>
  <c r="M533" i="12"/>
  <c r="N533" i="12"/>
  <c r="O533" i="12"/>
  <c r="L534" i="12"/>
  <c r="M534" i="12"/>
  <c r="N534" i="12"/>
  <c r="O534" i="12"/>
  <c r="L535" i="12"/>
  <c r="M535" i="12"/>
  <c r="N535" i="12"/>
  <c r="O535" i="12"/>
  <c r="L536" i="12"/>
  <c r="M536" i="12"/>
  <c r="N536" i="12"/>
  <c r="O536" i="12"/>
  <c r="L537" i="12"/>
  <c r="M537" i="12"/>
  <c r="N537" i="12"/>
  <c r="O537" i="12"/>
  <c r="L538" i="12"/>
  <c r="M538" i="12"/>
  <c r="N538" i="12"/>
  <c r="O538" i="12"/>
  <c r="L539" i="12"/>
  <c r="M539" i="12"/>
  <c r="N539" i="12"/>
  <c r="O539" i="12"/>
  <c r="L540" i="12"/>
  <c r="M540" i="12"/>
  <c r="N540" i="12"/>
  <c r="O540" i="12"/>
  <c r="L541" i="12"/>
  <c r="M541" i="12"/>
  <c r="N541" i="12"/>
  <c r="O541" i="12"/>
  <c r="L542" i="12"/>
  <c r="M542" i="12"/>
  <c r="N542" i="12"/>
  <c r="O542" i="12"/>
  <c r="L543" i="12"/>
  <c r="M543" i="12"/>
  <c r="N543" i="12"/>
  <c r="O543" i="12"/>
  <c r="L544" i="12"/>
  <c r="M544" i="12"/>
  <c r="N544" i="12"/>
  <c r="O544" i="12"/>
  <c r="L545" i="12"/>
  <c r="M545" i="12"/>
  <c r="N545" i="12"/>
  <c r="O545" i="12"/>
  <c r="L546" i="12"/>
  <c r="M546" i="12"/>
  <c r="N546" i="12"/>
  <c r="O546" i="12"/>
  <c r="L547" i="12"/>
  <c r="M547" i="12"/>
  <c r="N547" i="12"/>
  <c r="O547" i="12"/>
  <c r="L548" i="12"/>
  <c r="M548" i="12"/>
  <c r="N548" i="12"/>
  <c r="O548" i="12"/>
  <c r="L549" i="12"/>
  <c r="M549" i="12"/>
  <c r="N549" i="12"/>
  <c r="O549" i="12"/>
  <c r="L550" i="12"/>
  <c r="M550" i="12"/>
  <c r="N550" i="12"/>
  <c r="O550" i="12"/>
  <c r="L551" i="12"/>
  <c r="M551" i="12"/>
  <c r="N551" i="12"/>
  <c r="O551" i="12"/>
  <c r="L552" i="12"/>
  <c r="M552" i="12"/>
  <c r="N552" i="12"/>
  <c r="O552" i="12"/>
  <c r="L553" i="12"/>
  <c r="M553" i="12"/>
  <c r="N553" i="12"/>
  <c r="O553" i="12"/>
  <c r="L554" i="12"/>
  <c r="M554" i="12"/>
  <c r="N554" i="12"/>
  <c r="O554" i="12"/>
  <c r="L555" i="12"/>
  <c r="M555" i="12"/>
  <c r="N555" i="12"/>
  <c r="O555" i="12"/>
  <c r="L556" i="12"/>
  <c r="M556" i="12"/>
  <c r="N556" i="12"/>
  <c r="O556" i="12"/>
  <c r="L557" i="12"/>
  <c r="M557" i="12"/>
  <c r="N557" i="12"/>
  <c r="O557" i="12"/>
  <c r="L558" i="12"/>
  <c r="M558" i="12"/>
  <c r="N558" i="12"/>
  <c r="O558" i="12"/>
  <c r="L559" i="12"/>
  <c r="M559" i="12"/>
  <c r="N559" i="12"/>
  <c r="O559" i="12"/>
  <c r="L560" i="12"/>
  <c r="M560" i="12"/>
  <c r="N560" i="12"/>
  <c r="O560" i="12"/>
  <c r="L561" i="12"/>
  <c r="M561" i="12"/>
  <c r="N561" i="12"/>
  <c r="O561" i="12"/>
  <c r="L562" i="12"/>
  <c r="M562" i="12"/>
  <c r="N562" i="12"/>
  <c r="O562" i="12"/>
  <c r="L563" i="12"/>
  <c r="M563" i="12"/>
  <c r="N563" i="12"/>
  <c r="O563" i="12"/>
  <c r="L564" i="12"/>
  <c r="M564" i="12"/>
  <c r="N564" i="12"/>
  <c r="O564" i="12"/>
  <c r="L565" i="12"/>
  <c r="M565" i="12"/>
  <c r="N565" i="12"/>
  <c r="O565" i="12"/>
  <c r="L566" i="12"/>
  <c r="M566" i="12"/>
  <c r="N566" i="12"/>
  <c r="O566" i="12"/>
  <c r="L567" i="12"/>
  <c r="M567" i="12"/>
  <c r="N567" i="12"/>
  <c r="O567" i="12"/>
  <c r="L568" i="12"/>
  <c r="M568" i="12"/>
  <c r="N568" i="12"/>
  <c r="O568" i="12"/>
  <c r="L569" i="12"/>
  <c r="M569" i="12"/>
  <c r="N569" i="12"/>
  <c r="O569" i="12"/>
  <c r="L570" i="12"/>
  <c r="M570" i="12"/>
  <c r="N570" i="12"/>
  <c r="O570" i="12"/>
  <c r="L571" i="12"/>
  <c r="M571" i="12"/>
  <c r="N571" i="12"/>
  <c r="O571" i="12"/>
  <c r="L572" i="12"/>
  <c r="M572" i="12"/>
  <c r="N572" i="12"/>
  <c r="O572" i="12"/>
  <c r="L573" i="12"/>
  <c r="M573" i="12"/>
  <c r="N573" i="12"/>
  <c r="O573" i="12"/>
  <c r="L574" i="12"/>
  <c r="M574" i="12"/>
  <c r="N574" i="12"/>
  <c r="O574" i="12"/>
  <c r="L575" i="12"/>
  <c r="M575" i="12"/>
  <c r="N575" i="12"/>
  <c r="O575" i="12"/>
  <c r="L576" i="12"/>
  <c r="M576" i="12"/>
  <c r="N576" i="12"/>
  <c r="O576" i="12"/>
  <c r="L577" i="12"/>
  <c r="M577" i="12"/>
  <c r="N577" i="12"/>
  <c r="O577" i="12"/>
  <c r="L578" i="12"/>
  <c r="M578" i="12"/>
  <c r="N578" i="12"/>
  <c r="O578" i="12"/>
  <c r="L579" i="12"/>
  <c r="M579" i="12"/>
  <c r="N579" i="12"/>
  <c r="O579" i="12"/>
  <c r="L580" i="12"/>
  <c r="M580" i="12"/>
  <c r="N580" i="12"/>
  <c r="O580" i="12"/>
  <c r="L581" i="12"/>
  <c r="M581" i="12"/>
  <c r="N581" i="12"/>
  <c r="O581" i="12"/>
  <c r="L582" i="12"/>
  <c r="M582" i="12"/>
  <c r="N582" i="12"/>
  <c r="O582" i="12"/>
  <c r="L583" i="12"/>
  <c r="M583" i="12"/>
  <c r="N583" i="12"/>
  <c r="O583" i="12"/>
  <c r="L584" i="12"/>
  <c r="M584" i="12"/>
  <c r="N584" i="12"/>
  <c r="O584" i="12"/>
  <c r="L585" i="12"/>
  <c r="M585" i="12"/>
  <c r="N585" i="12"/>
  <c r="O585" i="12"/>
  <c r="L586" i="12"/>
  <c r="M586" i="12"/>
  <c r="N586" i="12"/>
  <c r="O586" i="12"/>
  <c r="L587" i="12"/>
  <c r="M587" i="12"/>
  <c r="N587" i="12"/>
  <c r="O587" i="12"/>
  <c r="L588" i="12"/>
  <c r="M588" i="12"/>
  <c r="N588" i="12"/>
  <c r="O588" i="12"/>
  <c r="L589" i="12"/>
  <c r="M589" i="12"/>
  <c r="N589" i="12"/>
  <c r="O589" i="12"/>
  <c r="L590" i="12"/>
  <c r="M590" i="12"/>
  <c r="N590" i="12"/>
  <c r="O590" i="12"/>
  <c r="L591" i="12"/>
  <c r="M591" i="12"/>
  <c r="N591" i="12"/>
  <c r="O591" i="12"/>
  <c r="L592" i="12"/>
  <c r="M592" i="12"/>
  <c r="N592" i="12"/>
  <c r="O592" i="12"/>
  <c r="L593" i="12"/>
  <c r="M593" i="12"/>
  <c r="N593" i="12"/>
  <c r="O593" i="12"/>
  <c r="L594" i="12"/>
  <c r="M594" i="12"/>
  <c r="N594" i="12"/>
  <c r="O594" i="12"/>
  <c r="L595" i="12"/>
  <c r="M595" i="12"/>
  <c r="N595" i="12"/>
  <c r="O595" i="12"/>
  <c r="L596" i="12"/>
  <c r="M596" i="12"/>
  <c r="N596" i="12"/>
  <c r="O596" i="12"/>
  <c r="L597" i="12"/>
  <c r="M597" i="12"/>
  <c r="N597" i="12"/>
  <c r="O597" i="12"/>
  <c r="L598" i="12"/>
  <c r="M598" i="12"/>
  <c r="N598" i="12"/>
  <c r="O598" i="12"/>
  <c r="L599" i="12"/>
  <c r="M599" i="12"/>
  <c r="N599" i="12"/>
  <c r="O599" i="12"/>
  <c r="L600" i="12"/>
  <c r="M600" i="12"/>
  <c r="N600" i="12"/>
  <c r="O600" i="12"/>
  <c r="L601" i="12"/>
  <c r="M601" i="12"/>
  <c r="N601" i="12"/>
  <c r="O601" i="12"/>
  <c r="L602" i="12"/>
  <c r="M602" i="12"/>
  <c r="N602" i="12"/>
  <c r="O602" i="12"/>
  <c r="L603" i="12"/>
  <c r="M603" i="12"/>
  <c r="N603" i="12"/>
  <c r="O603" i="12"/>
  <c r="L604" i="12"/>
  <c r="M604" i="12"/>
  <c r="N604" i="12"/>
  <c r="O604" i="12"/>
  <c r="L605" i="12"/>
  <c r="M605" i="12"/>
  <c r="N605" i="12"/>
  <c r="O605" i="12"/>
  <c r="L606" i="12"/>
  <c r="M606" i="12"/>
  <c r="N606" i="12"/>
  <c r="O606" i="12"/>
  <c r="L607" i="12"/>
  <c r="M607" i="12"/>
  <c r="N607" i="12"/>
  <c r="O607" i="12"/>
  <c r="L608" i="12"/>
  <c r="M608" i="12"/>
  <c r="N608" i="12"/>
  <c r="O608" i="12"/>
  <c r="L609" i="12"/>
  <c r="M609" i="12"/>
  <c r="N609" i="12"/>
  <c r="O609" i="12"/>
  <c r="L610" i="12"/>
  <c r="M610" i="12"/>
  <c r="N610" i="12"/>
  <c r="O610" i="12"/>
  <c r="L611" i="12"/>
  <c r="M611" i="12"/>
  <c r="N611" i="12"/>
  <c r="O611" i="12"/>
  <c r="L612" i="12"/>
  <c r="M612" i="12"/>
  <c r="N612" i="12"/>
  <c r="O612" i="12"/>
  <c r="L613" i="12"/>
  <c r="M613" i="12"/>
  <c r="N613" i="12"/>
  <c r="O613" i="12"/>
  <c r="L614" i="12"/>
  <c r="M614" i="12"/>
  <c r="N614" i="12"/>
  <c r="O614" i="12"/>
  <c r="L615" i="12"/>
  <c r="M615" i="12"/>
  <c r="N615" i="12"/>
  <c r="O615" i="12"/>
  <c r="L616" i="12"/>
  <c r="M616" i="12"/>
  <c r="N616" i="12"/>
  <c r="O616" i="12"/>
  <c r="L617" i="12"/>
  <c r="M617" i="12"/>
  <c r="N617" i="12"/>
  <c r="O617" i="12"/>
  <c r="L618" i="12"/>
  <c r="M618" i="12"/>
  <c r="N618" i="12"/>
  <c r="O618" i="12"/>
  <c r="L619" i="12"/>
  <c r="M619" i="12"/>
  <c r="N619" i="12"/>
  <c r="O619" i="12"/>
  <c r="L620" i="12"/>
  <c r="M620" i="12"/>
  <c r="N620" i="12"/>
  <c r="O620" i="12"/>
  <c r="L621" i="12"/>
  <c r="M621" i="12"/>
  <c r="N621" i="12"/>
  <c r="O621" i="12"/>
  <c r="L622" i="12"/>
  <c r="M622" i="12"/>
  <c r="N622" i="12"/>
  <c r="O622" i="12"/>
  <c r="L623" i="12"/>
  <c r="M623" i="12"/>
  <c r="N623" i="12"/>
  <c r="O623" i="12"/>
  <c r="L624" i="12"/>
  <c r="M624" i="12"/>
  <c r="N624" i="12"/>
  <c r="O624" i="12"/>
  <c r="L625" i="12"/>
  <c r="M625" i="12"/>
  <c r="N625" i="12"/>
  <c r="O625" i="12"/>
  <c r="L626" i="12"/>
  <c r="M626" i="12"/>
  <c r="N626" i="12"/>
  <c r="O626" i="12"/>
  <c r="L627" i="12"/>
  <c r="M627" i="12"/>
  <c r="N627" i="12"/>
  <c r="O627" i="12"/>
  <c r="L628" i="12"/>
  <c r="M628" i="12"/>
  <c r="N628" i="12"/>
  <c r="O628" i="12"/>
  <c r="L629" i="12"/>
  <c r="M629" i="12"/>
  <c r="N629" i="12"/>
  <c r="O629" i="12"/>
  <c r="L630" i="12"/>
  <c r="M630" i="12"/>
  <c r="N630" i="12"/>
  <c r="O630" i="12"/>
  <c r="L631" i="12"/>
  <c r="M631" i="12"/>
  <c r="N631" i="12"/>
  <c r="O631" i="12"/>
  <c r="L632" i="12"/>
  <c r="M632" i="12"/>
  <c r="N632" i="12"/>
  <c r="O632" i="12"/>
  <c r="L633" i="12"/>
  <c r="M633" i="12"/>
  <c r="N633" i="12"/>
  <c r="O633" i="12"/>
  <c r="L634" i="12"/>
  <c r="M634" i="12"/>
  <c r="N634" i="12"/>
  <c r="O634" i="12"/>
  <c r="L635" i="12"/>
  <c r="M635" i="12"/>
  <c r="N635" i="12"/>
  <c r="O635" i="12"/>
  <c r="L636" i="12"/>
  <c r="M636" i="12"/>
  <c r="N636" i="12"/>
  <c r="O636" i="12"/>
  <c r="L637" i="12"/>
  <c r="M637" i="12"/>
  <c r="N637" i="12"/>
  <c r="O637" i="12"/>
  <c r="L638" i="12"/>
  <c r="M638" i="12"/>
  <c r="N638" i="12"/>
  <c r="O638" i="12"/>
  <c r="L639" i="12"/>
  <c r="M639" i="12"/>
  <c r="N639" i="12"/>
  <c r="O639" i="12"/>
  <c r="L640" i="12"/>
  <c r="M640" i="12"/>
  <c r="N640" i="12"/>
  <c r="O640" i="12"/>
  <c r="L641" i="12"/>
  <c r="M641" i="12"/>
  <c r="N641" i="12"/>
  <c r="O641" i="12"/>
  <c r="L642" i="12"/>
  <c r="M642" i="12"/>
  <c r="N642" i="12"/>
  <c r="O642" i="12"/>
  <c r="L643" i="12"/>
  <c r="M643" i="12"/>
  <c r="N643" i="12"/>
  <c r="O643" i="12"/>
  <c r="L644" i="12"/>
  <c r="M644" i="12"/>
  <c r="N644" i="12"/>
  <c r="O644" i="12"/>
  <c r="L645" i="12"/>
  <c r="M645" i="12"/>
  <c r="N645" i="12"/>
  <c r="O645" i="12"/>
  <c r="L646" i="12"/>
  <c r="M646" i="12"/>
  <c r="N646" i="12"/>
  <c r="O646" i="12"/>
  <c r="L647" i="12"/>
  <c r="M647" i="12"/>
  <c r="N647" i="12"/>
  <c r="O647" i="12"/>
  <c r="L648" i="12"/>
  <c r="M648" i="12"/>
  <c r="N648" i="12"/>
  <c r="O648" i="12"/>
  <c r="L649" i="12"/>
  <c r="M649" i="12"/>
  <c r="N649" i="12"/>
  <c r="O649" i="12"/>
  <c r="L650" i="12"/>
  <c r="M650" i="12"/>
  <c r="N650" i="12"/>
  <c r="O650" i="12"/>
  <c r="L651" i="12"/>
  <c r="M651" i="12"/>
  <c r="N651" i="12"/>
  <c r="O651" i="12"/>
  <c r="L652" i="12"/>
  <c r="M652" i="12"/>
  <c r="N652" i="12"/>
  <c r="O652" i="12"/>
  <c r="L653" i="12"/>
  <c r="M653" i="12"/>
  <c r="N653" i="12"/>
  <c r="O653" i="12"/>
  <c r="L654" i="12"/>
  <c r="M654" i="12"/>
  <c r="N654" i="12"/>
  <c r="O654" i="12"/>
  <c r="L655" i="12"/>
  <c r="M655" i="12"/>
  <c r="N655" i="12"/>
  <c r="O655" i="12"/>
  <c r="L656" i="12"/>
  <c r="M656" i="12"/>
  <c r="N656" i="12"/>
  <c r="O656" i="12"/>
  <c r="L657" i="12"/>
  <c r="M657" i="12"/>
  <c r="N657" i="12"/>
  <c r="O657" i="12"/>
  <c r="L658" i="12"/>
  <c r="M658" i="12"/>
  <c r="N658" i="12"/>
  <c r="O658" i="12"/>
  <c r="L659" i="12"/>
  <c r="M659" i="12"/>
  <c r="N659" i="12"/>
  <c r="O659" i="12"/>
  <c r="L660" i="12"/>
  <c r="M660" i="12"/>
  <c r="N660" i="12"/>
  <c r="O660" i="12"/>
  <c r="L661" i="12"/>
  <c r="M661" i="12"/>
  <c r="N661" i="12"/>
  <c r="O661" i="12"/>
  <c r="L662" i="12"/>
  <c r="M662" i="12"/>
  <c r="N662" i="12"/>
  <c r="O662" i="12"/>
  <c r="L663" i="12"/>
  <c r="M663" i="12"/>
  <c r="N663" i="12"/>
  <c r="O663" i="12"/>
  <c r="L664" i="12"/>
  <c r="M664" i="12"/>
  <c r="N664" i="12"/>
  <c r="O664" i="12"/>
  <c r="L665" i="12"/>
  <c r="M665" i="12"/>
  <c r="N665" i="12"/>
  <c r="O665" i="12"/>
  <c r="L666" i="12"/>
  <c r="M666" i="12"/>
  <c r="N666" i="12"/>
  <c r="O666" i="12"/>
  <c r="L667" i="12"/>
  <c r="M667" i="12"/>
  <c r="N667" i="12"/>
  <c r="O667" i="12"/>
  <c r="L668" i="12"/>
  <c r="M668" i="12"/>
  <c r="N668" i="12"/>
  <c r="O668" i="12"/>
  <c r="L669" i="12"/>
  <c r="M669" i="12"/>
  <c r="N669" i="12"/>
  <c r="O669" i="12"/>
  <c r="L670" i="12"/>
  <c r="M670" i="12"/>
  <c r="N670" i="12"/>
  <c r="O670" i="12"/>
  <c r="L671" i="12"/>
  <c r="M671" i="12"/>
  <c r="N671" i="12"/>
  <c r="O671" i="12"/>
  <c r="L672" i="12"/>
  <c r="M672" i="12"/>
  <c r="N672" i="12"/>
  <c r="O672" i="12"/>
  <c r="L673" i="12"/>
  <c r="M673" i="12"/>
  <c r="N673" i="12"/>
  <c r="O673" i="12"/>
  <c r="L674" i="12"/>
  <c r="M674" i="12"/>
  <c r="N674" i="12"/>
  <c r="O674" i="12"/>
  <c r="L675" i="12"/>
  <c r="M675" i="12"/>
  <c r="N675" i="12"/>
  <c r="O675" i="12"/>
  <c r="L676" i="12"/>
  <c r="M676" i="12"/>
  <c r="N676" i="12"/>
  <c r="O676" i="12"/>
  <c r="L677" i="12"/>
  <c r="M677" i="12"/>
  <c r="N677" i="12"/>
  <c r="O677" i="12"/>
  <c r="L678" i="12"/>
  <c r="M678" i="12"/>
  <c r="N678" i="12"/>
  <c r="O678" i="12"/>
  <c r="L679" i="12"/>
  <c r="M679" i="12"/>
  <c r="N679" i="12"/>
  <c r="O679" i="12"/>
  <c r="L680" i="12"/>
  <c r="M680" i="12"/>
  <c r="N680" i="12"/>
  <c r="O680" i="12"/>
  <c r="L681" i="12"/>
  <c r="M681" i="12"/>
  <c r="N681" i="12"/>
  <c r="O681" i="12"/>
  <c r="L682" i="12"/>
  <c r="M682" i="12"/>
  <c r="N682" i="12"/>
  <c r="O682" i="12"/>
  <c r="L683" i="12"/>
  <c r="M683" i="12"/>
  <c r="N683" i="12"/>
  <c r="O683" i="12"/>
  <c r="L684" i="12"/>
  <c r="M684" i="12"/>
  <c r="N684" i="12"/>
  <c r="O684" i="12"/>
  <c r="L685" i="12"/>
  <c r="M685" i="12"/>
  <c r="N685" i="12"/>
  <c r="O685" i="12"/>
  <c r="L686" i="12"/>
  <c r="M686" i="12"/>
  <c r="N686" i="12"/>
  <c r="O686" i="12"/>
  <c r="L687" i="12"/>
  <c r="M687" i="12"/>
  <c r="N687" i="12"/>
  <c r="O687" i="12"/>
  <c r="L688" i="12"/>
  <c r="M688" i="12"/>
  <c r="N688" i="12"/>
  <c r="O688" i="12"/>
  <c r="L689" i="12"/>
  <c r="M689" i="12"/>
  <c r="N689" i="12"/>
  <c r="O689" i="12"/>
  <c r="L690" i="12"/>
  <c r="M690" i="12"/>
  <c r="N690" i="12"/>
  <c r="O690" i="12"/>
  <c r="L691" i="12"/>
  <c r="M691" i="12"/>
  <c r="N691" i="12"/>
  <c r="O691" i="12"/>
  <c r="L692" i="12"/>
  <c r="M692" i="12"/>
  <c r="N692" i="12"/>
  <c r="O692" i="12"/>
  <c r="L693" i="12"/>
  <c r="M693" i="12"/>
  <c r="N693" i="12"/>
  <c r="O693" i="12"/>
  <c r="L694" i="12"/>
  <c r="M694" i="12"/>
  <c r="N694" i="12"/>
  <c r="O694" i="12"/>
  <c r="L695" i="12"/>
  <c r="M695" i="12"/>
  <c r="N695" i="12"/>
  <c r="O695" i="12"/>
  <c r="L696" i="12"/>
  <c r="M696" i="12"/>
  <c r="N696" i="12"/>
  <c r="O696" i="12"/>
  <c r="L697" i="12"/>
  <c r="M697" i="12"/>
  <c r="N697" i="12"/>
  <c r="O697" i="12"/>
  <c r="L698" i="12"/>
  <c r="M698" i="12"/>
  <c r="N698" i="12"/>
  <c r="O698" i="12"/>
  <c r="L699" i="12"/>
  <c r="M699" i="12"/>
  <c r="N699" i="12"/>
  <c r="O699" i="12"/>
  <c r="L700" i="12"/>
  <c r="M700" i="12"/>
  <c r="N700" i="12"/>
  <c r="O700" i="12"/>
  <c r="L701" i="12"/>
  <c r="M701" i="12"/>
  <c r="N701" i="12"/>
  <c r="O701" i="12"/>
  <c r="L702" i="12"/>
  <c r="M702" i="12"/>
  <c r="N702" i="12"/>
  <c r="O702" i="12"/>
  <c r="L703" i="12"/>
  <c r="M703" i="12"/>
  <c r="N703" i="12"/>
  <c r="O703" i="12"/>
  <c r="L704" i="12"/>
  <c r="M704" i="12"/>
  <c r="N704" i="12"/>
  <c r="O704" i="12"/>
  <c r="L705" i="12"/>
  <c r="M705" i="12"/>
  <c r="N705" i="12"/>
  <c r="O705" i="12"/>
  <c r="L706" i="12"/>
  <c r="M706" i="12"/>
  <c r="N706" i="12"/>
  <c r="O706" i="12"/>
  <c r="L707" i="12"/>
  <c r="M707" i="12"/>
  <c r="N707" i="12"/>
  <c r="O707" i="12"/>
  <c r="L708" i="12"/>
  <c r="M708" i="12"/>
  <c r="N708" i="12"/>
  <c r="O708" i="12"/>
  <c r="L709" i="12"/>
  <c r="M709" i="12"/>
  <c r="N709" i="12"/>
  <c r="O709" i="12"/>
  <c r="L710" i="12"/>
  <c r="M710" i="12"/>
  <c r="N710" i="12"/>
  <c r="O710" i="12"/>
  <c r="L711" i="12"/>
  <c r="M711" i="12"/>
  <c r="N711" i="12"/>
  <c r="O711" i="12"/>
  <c r="L712" i="12"/>
  <c r="M712" i="12"/>
  <c r="N712" i="12"/>
  <c r="O712" i="12"/>
  <c r="L713" i="12"/>
  <c r="M713" i="12"/>
  <c r="N713" i="12"/>
  <c r="O713" i="12"/>
  <c r="L714" i="12"/>
  <c r="M714" i="12"/>
  <c r="N714" i="12"/>
  <c r="O714" i="12"/>
  <c r="L715" i="12"/>
  <c r="M715" i="12"/>
  <c r="N715" i="12"/>
  <c r="O715" i="12"/>
  <c r="L716" i="12"/>
  <c r="M716" i="12"/>
  <c r="N716" i="12"/>
  <c r="O716" i="12"/>
  <c r="L717" i="12"/>
  <c r="M717" i="12"/>
  <c r="N717" i="12"/>
  <c r="O717" i="12"/>
  <c r="L718" i="12"/>
  <c r="M718" i="12"/>
  <c r="N718" i="12"/>
  <c r="O718" i="12"/>
  <c r="L719" i="12"/>
  <c r="M719" i="12"/>
  <c r="N719" i="12"/>
  <c r="O719" i="12"/>
  <c r="L720" i="12"/>
  <c r="M720" i="12"/>
  <c r="N720" i="12"/>
  <c r="O720" i="12"/>
  <c r="L721" i="12"/>
  <c r="M721" i="12"/>
  <c r="N721" i="12"/>
  <c r="O721" i="12"/>
  <c r="L722" i="12"/>
  <c r="M722" i="12"/>
  <c r="N722" i="12"/>
  <c r="O722" i="12"/>
  <c r="L723" i="12"/>
  <c r="M723" i="12"/>
  <c r="N723" i="12"/>
  <c r="O723" i="12"/>
  <c r="L724" i="12"/>
  <c r="M724" i="12"/>
  <c r="N724" i="12"/>
  <c r="O724" i="12"/>
  <c r="L725" i="12"/>
  <c r="M725" i="12"/>
  <c r="N725" i="12"/>
  <c r="O725" i="12"/>
  <c r="L726" i="12"/>
  <c r="M726" i="12"/>
  <c r="N726" i="12"/>
  <c r="O726" i="12"/>
  <c r="L727" i="12"/>
  <c r="M727" i="12"/>
  <c r="N727" i="12"/>
  <c r="O727" i="12"/>
  <c r="L728" i="12"/>
  <c r="M728" i="12"/>
  <c r="N728" i="12"/>
  <c r="O728" i="12"/>
  <c r="L729" i="12"/>
  <c r="M729" i="12"/>
  <c r="N729" i="12"/>
  <c r="O729" i="12"/>
  <c r="L730" i="12"/>
  <c r="M730" i="12"/>
  <c r="N730" i="12"/>
  <c r="O730" i="12"/>
  <c r="L731" i="12"/>
  <c r="M731" i="12"/>
  <c r="N731" i="12"/>
  <c r="O731" i="12"/>
  <c r="L732" i="12"/>
  <c r="M732" i="12"/>
  <c r="N732" i="12"/>
  <c r="O732" i="12"/>
  <c r="L733" i="12"/>
  <c r="M733" i="12"/>
  <c r="N733" i="12"/>
  <c r="O733" i="12"/>
  <c r="L734" i="12"/>
  <c r="M734" i="12"/>
  <c r="N734" i="12"/>
  <c r="O734" i="12"/>
  <c r="L735" i="12"/>
  <c r="M735" i="12"/>
  <c r="N735" i="12"/>
  <c r="O735" i="12"/>
  <c r="L736" i="12"/>
  <c r="M736" i="12"/>
  <c r="N736" i="12"/>
  <c r="O736" i="12"/>
  <c r="L737" i="12"/>
  <c r="M737" i="12"/>
  <c r="N737" i="12"/>
  <c r="O737" i="12"/>
  <c r="L738" i="12"/>
  <c r="M738" i="12"/>
  <c r="N738" i="12"/>
  <c r="O738" i="12"/>
  <c r="L739" i="12"/>
  <c r="M739" i="12"/>
  <c r="N739" i="12"/>
  <c r="O739" i="12"/>
  <c r="L740" i="12"/>
  <c r="M740" i="12"/>
  <c r="N740" i="12"/>
  <c r="O740" i="12"/>
  <c r="L741" i="12"/>
  <c r="M741" i="12"/>
  <c r="N741" i="12"/>
  <c r="O741" i="12"/>
  <c r="L742" i="12"/>
  <c r="M742" i="12"/>
  <c r="N742" i="12"/>
  <c r="O742" i="12"/>
  <c r="L743" i="12"/>
  <c r="M743" i="12"/>
  <c r="N743" i="12"/>
  <c r="O743" i="12"/>
  <c r="L744" i="12"/>
  <c r="M744" i="12"/>
  <c r="N744" i="12"/>
  <c r="O744" i="12"/>
  <c r="L745" i="12"/>
  <c r="M745" i="12"/>
  <c r="N745" i="12"/>
  <c r="O745" i="12"/>
  <c r="L746" i="12"/>
  <c r="M746" i="12"/>
  <c r="N746" i="12"/>
  <c r="O746" i="12"/>
  <c r="L747" i="12"/>
  <c r="M747" i="12"/>
  <c r="N747" i="12"/>
  <c r="O747" i="12"/>
  <c r="L748" i="12"/>
  <c r="M748" i="12"/>
  <c r="N748" i="12"/>
  <c r="O748" i="12"/>
  <c r="L749" i="12"/>
  <c r="M749" i="12"/>
  <c r="N749" i="12"/>
  <c r="O749" i="12"/>
  <c r="L750" i="12"/>
  <c r="M750" i="12"/>
  <c r="N750" i="12"/>
  <c r="O750" i="12"/>
  <c r="L751" i="12"/>
  <c r="M751" i="12"/>
  <c r="N751" i="12"/>
  <c r="O751" i="12"/>
  <c r="L752" i="12"/>
  <c r="M752" i="12"/>
  <c r="N752" i="12"/>
  <c r="O752" i="12"/>
  <c r="L753" i="12"/>
  <c r="M753" i="12"/>
  <c r="N753" i="12"/>
  <c r="O753" i="12"/>
  <c r="L754" i="12"/>
  <c r="M754" i="12"/>
  <c r="N754" i="12"/>
  <c r="O754" i="12"/>
  <c r="L755" i="12"/>
  <c r="M755" i="12"/>
  <c r="N755" i="12"/>
  <c r="O755" i="12"/>
  <c r="L756" i="12"/>
  <c r="M756" i="12"/>
  <c r="N756" i="12"/>
  <c r="O756" i="12"/>
  <c r="L757" i="12"/>
  <c r="M757" i="12"/>
  <c r="N757" i="12"/>
  <c r="O757" i="12"/>
  <c r="L758" i="12"/>
  <c r="M758" i="12"/>
  <c r="N758" i="12"/>
  <c r="O758" i="12"/>
  <c r="L759" i="12"/>
  <c r="M759" i="12"/>
  <c r="N759" i="12"/>
  <c r="O759" i="12"/>
  <c r="L760" i="12"/>
  <c r="M760" i="12"/>
  <c r="N760" i="12"/>
  <c r="O760" i="12"/>
  <c r="L761" i="12"/>
  <c r="M761" i="12"/>
  <c r="N761" i="12"/>
  <c r="O761" i="12"/>
  <c r="L762" i="12"/>
  <c r="M762" i="12"/>
  <c r="N762" i="12"/>
  <c r="O762" i="12"/>
  <c r="L763" i="12"/>
  <c r="M763" i="12"/>
  <c r="N763" i="12"/>
  <c r="O763" i="12"/>
  <c r="L764" i="12"/>
  <c r="M764" i="12"/>
  <c r="N764" i="12"/>
  <c r="O764" i="12"/>
  <c r="L765" i="12"/>
  <c r="M765" i="12"/>
  <c r="N765" i="12"/>
  <c r="O765" i="12"/>
  <c r="L766" i="12"/>
  <c r="M766" i="12"/>
  <c r="N766" i="12"/>
  <c r="O766" i="12"/>
  <c r="L767" i="12"/>
  <c r="M767" i="12"/>
  <c r="N767" i="12"/>
  <c r="O767" i="12"/>
  <c r="L768" i="12"/>
  <c r="M768" i="12"/>
  <c r="N768" i="12"/>
  <c r="O768" i="12"/>
  <c r="L769" i="12"/>
  <c r="M769" i="12"/>
  <c r="N769" i="12"/>
  <c r="O769" i="12"/>
  <c r="L770" i="12"/>
  <c r="M770" i="12"/>
  <c r="N770" i="12"/>
  <c r="O770" i="12"/>
  <c r="L771" i="12"/>
  <c r="M771" i="12"/>
  <c r="N771" i="12"/>
  <c r="O771" i="12"/>
  <c r="L772" i="12"/>
  <c r="M772" i="12"/>
  <c r="N772" i="12"/>
  <c r="O772" i="12"/>
  <c r="L773" i="12"/>
  <c r="M773" i="12"/>
  <c r="N773" i="12"/>
  <c r="O773" i="12"/>
  <c r="L774" i="12"/>
  <c r="M774" i="12"/>
  <c r="N774" i="12"/>
  <c r="O774" i="12"/>
  <c r="L775" i="12"/>
  <c r="M775" i="12"/>
  <c r="N775" i="12"/>
  <c r="O775" i="12"/>
  <c r="L776" i="12"/>
  <c r="M776" i="12"/>
  <c r="N776" i="12"/>
  <c r="O776" i="12"/>
  <c r="L777" i="12"/>
  <c r="M777" i="12"/>
  <c r="N777" i="12"/>
  <c r="O777" i="12"/>
  <c r="L778" i="12"/>
  <c r="M778" i="12"/>
  <c r="N778" i="12"/>
  <c r="O778" i="12"/>
  <c r="L779" i="12"/>
  <c r="M779" i="12"/>
  <c r="N779" i="12"/>
  <c r="O779" i="12"/>
  <c r="L780" i="12"/>
  <c r="M780" i="12"/>
  <c r="N780" i="12"/>
  <c r="O780" i="12"/>
  <c r="L781" i="12"/>
  <c r="M781" i="12"/>
  <c r="N781" i="12"/>
  <c r="O781" i="12"/>
  <c r="L782" i="12"/>
  <c r="M782" i="12"/>
  <c r="N782" i="12"/>
  <c r="O782" i="12"/>
  <c r="L783" i="12"/>
  <c r="M783" i="12"/>
  <c r="N783" i="12"/>
  <c r="O783" i="12"/>
  <c r="L784" i="12"/>
  <c r="M784" i="12"/>
  <c r="N784" i="12"/>
  <c r="O784" i="12"/>
  <c r="L785" i="12"/>
  <c r="M785" i="12"/>
  <c r="N785" i="12"/>
  <c r="O785" i="12"/>
  <c r="L786" i="12"/>
  <c r="M786" i="12"/>
  <c r="N786" i="12"/>
  <c r="O786" i="12"/>
  <c r="L787" i="12"/>
  <c r="M787" i="12"/>
  <c r="N787" i="12"/>
  <c r="O787" i="12"/>
  <c r="L788" i="12"/>
  <c r="M788" i="12"/>
  <c r="N788" i="12"/>
  <c r="O788" i="12"/>
  <c r="L789" i="12"/>
  <c r="M789" i="12"/>
  <c r="N789" i="12"/>
  <c r="O789" i="12"/>
  <c r="L790" i="12"/>
  <c r="M790" i="12"/>
  <c r="N790" i="12"/>
  <c r="O790" i="12"/>
  <c r="L791" i="12"/>
  <c r="M791" i="12"/>
  <c r="N791" i="12"/>
  <c r="O791" i="12"/>
  <c r="L792" i="12"/>
  <c r="M792" i="12"/>
  <c r="N792" i="12"/>
  <c r="O792" i="12" s="1"/>
  <c r="L793" i="12"/>
  <c r="M793" i="12"/>
  <c r="N793" i="12"/>
  <c r="O793" i="12" s="1"/>
  <c r="L794" i="12"/>
  <c r="M794" i="12"/>
  <c r="N794" i="12"/>
  <c r="O794" i="12" s="1"/>
  <c r="L795" i="12"/>
  <c r="M795" i="12"/>
  <c r="N795" i="12"/>
  <c r="O795" i="12" s="1"/>
  <c r="L796" i="12"/>
  <c r="M796" i="12"/>
  <c r="N796" i="12"/>
  <c r="O796" i="12" s="1"/>
  <c r="L797" i="12"/>
  <c r="M797" i="12"/>
  <c r="N797" i="12"/>
  <c r="O797" i="12" s="1"/>
  <c r="L798" i="12"/>
  <c r="M798" i="12"/>
  <c r="N798" i="12"/>
  <c r="O798" i="12" s="1"/>
  <c r="L799" i="12"/>
  <c r="M799" i="12"/>
  <c r="N799" i="12"/>
  <c r="O799" i="12" s="1"/>
  <c r="L800" i="12"/>
  <c r="M800" i="12"/>
  <c r="N800" i="12"/>
  <c r="O800" i="12" s="1"/>
  <c r="L801" i="12"/>
  <c r="M801" i="12"/>
  <c r="N801" i="12"/>
  <c r="O801" i="12" s="1"/>
  <c r="L802" i="12"/>
  <c r="M802" i="12"/>
  <c r="N802" i="12"/>
  <c r="O802" i="12" s="1"/>
  <c r="L803" i="12"/>
  <c r="M803" i="12"/>
  <c r="N803" i="12"/>
  <c r="O803" i="12" s="1"/>
  <c r="L804" i="12"/>
  <c r="M804" i="12"/>
  <c r="N804" i="12"/>
  <c r="O804" i="12" s="1"/>
  <c r="L805" i="12"/>
  <c r="M805" i="12"/>
  <c r="N805" i="12"/>
  <c r="O805" i="12"/>
  <c r="L806" i="12"/>
  <c r="M806" i="12"/>
  <c r="N806" i="12"/>
  <c r="O806" i="12" s="1"/>
  <c r="L807" i="12"/>
  <c r="M807" i="12"/>
  <c r="N807" i="12"/>
  <c r="O807" i="12" s="1"/>
  <c r="L808" i="12"/>
  <c r="M808" i="12"/>
  <c r="N808" i="12"/>
  <c r="O808" i="12" s="1"/>
  <c r="L809" i="12"/>
  <c r="M809" i="12"/>
  <c r="N809" i="12"/>
  <c r="O809" i="12" s="1"/>
  <c r="L810" i="12"/>
  <c r="M810" i="12"/>
  <c r="N810" i="12"/>
  <c r="O810" i="12" s="1"/>
  <c r="L811" i="12"/>
  <c r="M811" i="12"/>
  <c r="N811" i="12"/>
  <c r="O811" i="12" s="1"/>
  <c r="L812" i="12"/>
  <c r="M812" i="12"/>
  <c r="N812" i="12"/>
  <c r="O812" i="12" s="1"/>
  <c r="L813" i="12"/>
  <c r="M813" i="12"/>
  <c r="N813" i="12"/>
  <c r="O813" i="12" s="1"/>
  <c r="L814" i="12"/>
  <c r="M814" i="12"/>
  <c r="N814" i="12"/>
  <c r="O814" i="12" s="1"/>
  <c r="L815" i="12"/>
  <c r="M815" i="12"/>
  <c r="N815" i="12"/>
  <c r="O815" i="12" s="1"/>
  <c r="L816" i="12"/>
  <c r="M816" i="12"/>
  <c r="N816" i="12"/>
  <c r="O816" i="12" s="1"/>
  <c r="L817" i="12"/>
  <c r="M817" i="12"/>
  <c r="N817" i="12"/>
  <c r="O817" i="12" s="1"/>
  <c r="L818" i="12"/>
  <c r="M818" i="12"/>
  <c r="N818" i="12"/>
  <c r="O818" i="12" s="1"/>
  <c r="L819" i="12"/>
  <c r="M819" i="12"/>
  <c r="N819" i="12"/>
  <c r="O819" i="12" s="1"/>
  <c r="L820" i="12"/>
  <c r="M820" i="12"/>
  <c r="N820" i="12"/>
  <c r="O820" i="12" s="1"/>
  <c r="L821" i="12"/>
  <c r="M821" i="12"/>
  <c r="N821" i="12"/>
  <c r="O821" i="12" s="1"/>
  <c r="L822" i="12"/>
  <c r="M822" i="12"/>
  <c r="N822" i="12"/>
  <c r="O822" i="12" s="1"/>
  <c r="L823" i="12"/>
  <c r="M823" i="12"/>
  <c r="N823" i="12"/>
  <c r="O823" i="12" s="1"/>
  <c r="L824" i="12"/>
  <c r="M824" i="12"/>
  <c r="N824" i="12"/>
  <c r="O824" i="12" s="1"/>
  <c r="L825" i="12"/>
  <c r="M825" i="12"/>
  <c r="N825" i="12"/>
  <c r="O825" i="12" s="1"/>
  <c r="L826" i="12"/>
  <c r="M826" i="12"/>
  <c r="N826" i="12"/>
  <c r="O826" i="12" s="1"/>
  <c r="L827" i="12"/>
  <c r="M827" i="12"/>
  <c r="N827" i="12"/>
  <c r="O827" i="12" s="1"/>
  <c r="L828" i="12"/>
  <c r="M828" i="12"/>
  <c r="N828" i="12"/>
  <c r="O828" i="12" s="1"/>
  <c r="L829" i="12"/>
  <c r="M829" i="12"/>
  <c r="N829" i="12"/>
  <c r="O829" i="12" s="1"/>
  <c r="L830" i="12"/>
  <c r="M830" i="12"/>
  <c r="N830" i="12"/>
  <c r="O830" i="12" s="1"/>
  <c r="L831" i="12"/>
  <c r="M831" i="12"/>
  <c r="N831" i="12"/>
  <c r="O831" i="12" s="1"/>
  <c r="L832" i="12"/>
  <c r="M832" i="12"/>
  <c r="N832" i="12"/>
  <c r="O832" i="12" s="1"/>
  <c r="L833" i="12"/>
  <c r="M833" i="12"/>
  <c r="N833" i="12"/>
  <c r="O833" i="12" s="1"/>
  <c r="L834" i="12"/>
  <c r="M834" i="12"/>
  <c r="N834" i="12"/>
  <c r="O834" i="12" s="1"/>
  <c r="L835" i="12"/>
  <c r="M835" i="12"/>
  <c r="N835" i="12"/>
  <c r="O835" i="12" s="1"/>
  <c r="L836" i="12"/>
  <c r="M836" i="12"/>
  <c r="N836" i="12"/>
  <c r="O836" i="12" s="1"/>
  <c r="L837" i="12"/>
  <c r="M837" i="12"/>
  <c r="N837" i="12"/>
  <c r="O837" i="12" s="1"/>
  <c r="L838" i="12"/>
  <c r="M838" i="12"/>
  <c r="N838" i="12"/>
  <c r="O838" i="12" s="1"/>
  <c r="L839" i="12"/>
  <c r="M839" i="12"/>
  <c r="N839" i="12"/>
  <c r="O839" i="12" s="1"/>
  <c r="L840" i="12"/>
  <c r="M840" i="12"/>
  <c r="N840" i="12"/>
  <c r="O840" i="12" s="1"/>
  <c r="L841" i="12"/>
  <c r="M841" i="12"/>
  <c r="N841" i="12"/>
  <c r="O841" i="12" s="1"/>
  <c r="L842" i="12"/>
  <c r="M842" i="12"/>
  <c r="N842" i="12"/>
  <c r="O842" i="12" s="1"/>
  <c r="L843" i="12"/>
  <c r="M843" i="12"/>
  <c r="N843" i="12"/>
  <c r="O843" i="12" s="1"/>
  <c r="L844" i="12"/>
  <c r="M844" i="12"/>
  <c r="N844" i="12"/>
  <c r="O844" i="12" s="1"/>
  <c r="L845" i="12"/>
  <c r="M845" i="12"/>
  <c r="N845" i="12"/>
  <c r="O845" i="12" s="1"/>
  <c r="L846" i="12"/>
  <c r="M846" i="12"/>
  <c r="N846" i="12"/>
  <c r="O846" i="12" s="1"/>
  <c r="L847" i="12"/>
  <c r="M847" i="12"/>
  <c r="N847" i="12"/>
  <c r="O847" i="12" s="1"/>
  <c r="L848" i="12"/>
  <c r="M848" i="12"/>
  <c r="N848" i="12"/>
  <c r="O848" i="12" s="1"/>
  <c r="L849" i="12"/>
  <c r="M849" i="12"/>
  <c r="N849" i="12"/>
  <c r="O849" i="12" s="1"/>
  <c r="L850" i="12"/>
  <c r="M850" i="12"/>
  <c r="N850" i="12"/>
  <c r="O850" i="12" s="1"/>
  <c r="L851" i="12"/>
  <c r="M851" i="12"/>
  <c r="N851" i="12"/>
  <c r="O851" i="12" s="1"/>
  <c r="L852" i="12"/>
  <c r="M852" i="12"/>
  <c r="N852" i="12"/>
  <c r="O852" i="12" s="1"/>
  <c r="L853" i="12"/>
  <c r="M853" i="12"/>
  <c r="N853" i="12"/>
  <c r="O853" i="12" s="1"/>
  <c r="L854" i="12"/>
  <c r="M854" i="12"/>
  <c r="N854" i="12"/>
  <c r="O854" i="12" s="1"/>
  <c r="L855" i="12"/>
  <c r="M855" i="12"/>
  <c r="N855" i="12"/>
  <c r="O855" i="12" s="1"/>
  <c r="L856" i="12"/>
  <c r="M856" i="12"/>
  <c r="N856" i="12"/>
  <c r="O856" i="12" s="1"/>
  <c r="L857" i="12"/>
  <c r="M857" i="12"/>
  <c r="N857" i="12"/>
  <c r="O857" i="12" s="1"/>
  <c r="L858" i="12"/>
  <c r="M858" i="12"/>
  <c r="N858" i="12"/>
  <c r="O858" i="12" s="1"/>
  <c r="L859" i="12"/>
  <c r="M859" i="12"/>
  <c r="N859" i="12"/>
  <c r="O859" i="12" s="1"/>
  <c r="L860" i="12"/>
  <c r="M860" i="12"/>
  <c r="N860" i="12"/>
  <c r="O860" i="12" s="1"/>
  <c r="L861" i="12"/>
  <c r="M861" i="12"/>
  <c r="N861" i="12"/>
  <c r="O861" i="12" s="1"/>
  <c r="L862" i="12"/>
  <c r="M862" i="12"/>
  <c r="N862" i="12"/>
  <c r="O862" i="12" s="1"/>
  <c r="L863" i="12"/>
  <c r="M863" i="12"/>
  <c r="N863" i="12"/>
  <c r="O863" i="12" s="1"/>
  <c r="L864" i="12"/>
  <c r="M864" i="12"/>
  <c r="N864" i="12"/>
  <c r="O864" i="12" s="1"/>
  <c r="L865" i="12"/>
  <c r="M865" i="12"/>
  <c r="N865" i="12"/>
  <c r="O865" i="12"/>
  <c r="L866" i="12"/>
  <c r="M866" i="12"/>
  <c r="N866" i="12"/>
  <c r="O866" i="12" s="1"/>
  <c r="L867" i="12"/>
  <c r="M867" i="12"/>
  <c r="N867" i="12"/>
  <c r="O867" i="12" s="1"/>
  <c r="L868" i="12"/>
  <c r="M868" i="12"/>
  <c r="N868" i="12"/>
  <c r="O868" i="12" s="1"/>
  <c r="L869" i="12"/>
  <c r="M869" i="12"/>
  <c r="N869" i="12"/>
  <c r="O869" i="12" s="1"/>
  <c r="L870" i="12"/>
  <c r="M870" i="12"/>
  <c r="N870" i="12"/>
  <c r="O870" i="12" s="1"/>
  <c r="L871" i="12"/>
  <c r="M871" i="12"/>
  <c r="N871" i="12"/>
  <c r="O871" i="12" s="1"/>
  <c r="L872" i="12"/>
  <c r="M872" i="12"/>
  <c r="N872" i="12"/>
  <c r="O872" i="12"/>
  <c r="L873" i="12"/>
  <c r="M873" i="12"/>
  <c r="N873" i="12"/>
  <c r="O873" i="12"/>
  <c r="L874" i="12"/>
  <c r="M874" i="12"/>
  <c r="N874" i="12"/>
  <c r="O874" i="12" s="1"/>
  <c r="L875" i="12"/>
  <c r="M875" i="12"/>
  <c r="N875" i="12"/>
  <c r="O875" i="12" s="1"/>
  <c r="L876" i="12"/>
  <c r="M876" i="12"/>
  <c r="N876" i="12"/>
  <c r="O876" i="12" s="1"/>
  <c r="L877" i="12"/>
  <c r="M877" i="12"/>
  <c r="N877" i="12"/>
  <c r="O877" i="12" s="1"/>
  <c r="L878" i="12"/>
  <c r="M878" i="12"/>
  <c r="N878" i="12"/>
  <c r="O878" i="12" s="1"/>
  <c r="L879" i="12"/>
  <c r="M879" i="12"/>
  <c r="N879" i="12"/>
  <c r="O879" i="12" s="1"/>
  <c r="L880" i="12"/>
  <c r="M880" i="12"/>
  <c r="N880" i="12"/>
  <c r="O880" i="12" s="1"/>
  <c r="L881" i="12"/>
  <c r="M881" i="12"/>
  <c r="N881" i="12"/>
  <c r="O881" i="12" s="1"/>
  <c r="L882" i="12"/>
  <c r="M882" i="12"/>
  <c r="N882" i="12"/>
  <c r="O882" i="12" s="1"/>
  <c r="L883" i="12"/>
  <c r="M883" i="12"/>
  <c r="N883" i="12"/>
  <c r="O883" i="12" s="1"/>
  <c r="L884" i="12"/>
  <c r="M884" i="12"/>
  <c r="N884" i="12"/>
  <c r="O884" i="12" s="1"/>
  <c r="L885" i="12"/>
  <c r="M885" i="12"/>
  <c r="N885" i="12"/>
  <c r="O885" i="12" s="1"/>
  <c r="L886" i="12"/>
  <c r="M886" i="12"/>
  <c r="N886" i="12"/>
  <c r="O886" i="12" s="1"/>
  <c r="L887" i="12"/>
  <c r="M887" i="12"/>
  <c r="N887" i="12"/>
  <c r="O887" i="12" s="1"/>
  <c r="L888" i="12"/>
  <c r="M888" i="12"/>
  <c r="N888" i="12"/>
  <c r="O888" i="12" s="1"/>
  <c r="L889" i="12"/>
  <c r="M889" i="12"/>
  <c r="N889" i="12"/>
  <c r="O889" i="12" s="1"/>
  <c r="L890" i="12"/>
  <c r="M890" i="12"/>
  <c r="N890" i="12"/>
  <c r="O890" i="12" s="1"/>
  <c r="L891" i="12"/>
  <c r="M891" i="12"/>
  <c r="N891" i="12"/>
  <c r="O891" i="12" s="1"/>
  <c r="L892" i="12"/>
  <c r="M892" i="12"/>
  <c r="N892" i="12"/>
  <c r="O892" i="12" s="1"/>
  <c r="L893" i="12"/>
  <c r="M893" i="12"/>
  <c r="N893" i="12"/>
  <c r="O893" i="12" s="1"/>
  <c r="L894" i="12"/>
  <c r="M894" i="12"/>
  <c r="N894" i="12"/>
  <c r="O894" i="12" s="1"/>
  <c r="L895" i="12"/>
  <c r="M895" i="12"/>
  <c r="N895" i="12"/>
  <c r="O895" i="12" s="1"/>
  <c r="L896" i="12"/>
  <c r="M896" i="12"/>
  <c r="N896" i="12"/>
  <c r="O896" i="12" s="1"/>
  <c r="L897" i="12"/>
  <c r="M897" i="12"/>
  <c r="N897" i="12"/>
  <c r="O897" i="12" s="1"/>
  <c r="L898" i="12"/>
  <c r="M898" i="12"/>
  <c r="N898" i="12"/>
  <c r="O898" i="12" s="1"/>
  <c r="L899" i="12"/>
  <c r="M899" i="12"/>
  <c r="N899" i="12"/>
  <c r="O899" i="12" s="1"/>
  <c r="L900" i="12"/>
  <c r="M900" i="12"/>
  <c r="N900" i="12"/>
  <c r="O900" i="12" s="1"/>
  <c r="L901" i="12"/>
  <c r="M901" i="12"/>
  <c r="N901" i="12"/>
  <c r="O901" i="12" s="1"/>
  <c r="L902" i="12"/>
  <c r="M902" i="12"/>
  <c r="N902" i="12"/>
  <c r="O902" i="12" s="1"/>
  <c r="L903" i="12"/>
  <c r="M903" i="12"/>
  <c r="N903" i="12"/>
  <c r="O903" i="12" s="1"/>
  <c r="L904" i="12"/>
  <c r="M904" i="12"/>
  <c r="N904" i="12"/>
  <c r="O904" i="12" s="1"/>
  <c r="L905" i="12"/>
  <c r="M905" i="12"/>
  <c r="N905" i="12"/>
  <c r="O905" i="12" s="1"/>
  <c r="L906" i="12"/>
  <c r="M906" i="12"/>
  <c r="N906" i="12"/>
  <c r="O906" i="12" s="1"/>
  <c r="L907" i="12"/>
  <c r="M907" i="12"/>
  <c r="N907" i="12"/>
  <c r="O907" i="12" s="1"/>
  <c r="L908" i="12"/>
  <c r="M908" i="12"/>
  <c r="N908" i="12"/>
  <c r="O908" i="12" s="1"/>
  <c r="L909" i="12"/>
  <c r="M909" i="12"/>
  <c r="N909" i="12"/>
  <c r="O909" i="12"/>
  <c r="L910" i="12"/>
  <c r="M910" i="12"/>
  <c r="N910" i="12"/>
  <c r="O910" i="12" s="1"/>
  <c r="L911" i="12"/>
  <c r="M911" i="12"/>
  <c r="N911" i="12"/>
  <c r="O911" i="12" s="1"/>
  <c r="L912" i="12"/>
  <c r="M912" i="12"/>
  <c r="N912" i="12"/>
  <c r="O912" i="12" s="1"/>
  <c r="L913" i="12"/>
  <c r="M913" i="12"/>
  <c r="N913" i="12"/>
  <c r="O913" i="12" s="1"/>
  <c r="L914" i="12"/>
  <c r="M914" i="12"/>
  <c r="N914" i="12"/>
  <c r="O914" i="12" s="1"/>
  <c r="L915" i="12"/>
  <c r="M915" i="12"/>
  <c r="N915" i="12"/>
  <c r="O915" i="12" s="1"/>
  <c r="L916" i="12"/>
  <c r="M916" i="12"/>
  <c r="N916" i="12"/>
  <c r="O916" i="12"/>
  <c r="L917" i="12"/>
  <c r="M917" i="12"/>
  <c r="N917" i="12"/>
  <c r="O917" i="12" s="1"/>
  <c r="L918" i="12"/>
  <c r="M918" i="12"/>
  <c r="N918" i="12"/>
  <c r="O918" i="12" s="1"/>
  <c r="L919" i="12"/>
  <c r="M919" i="12"/>
  <c r="N919" i="12"/>
  <c r="O919" i="12" s="1"/>
  <c r="L920" i="12"/>
  <c r="M920" i="12"/>
  <c r="N920" i="12"/>
  <c r="O920" i="12" s="1"/>
  <c r="L921" i="12"/>
  <c r="M921" i="12"/>
  <c r="N921" i="12"/>
  <c r="O921" i="12" s="1"/>
  <c r="L922" i="12"/>
  <c r="M922" i="12"/>
  <c r="N922" i="12"/>
  <c r="O922" i="12" s="1"/>
  <c r="L923" i="12"/>
  <c r="M923" i="12"/>
  <c r="N923" i="12"/>
  <c r="O923" i="12" s="1"/>
  <c r="L924" i="12"/>
  <c r="M924" i="12"/>
  <c r="N924" i="12"/>
  <c r="O924" i="12" s="1"/>
  <c r="L925" i="12"/>
  <c r="M925" i="12"/>
  <c r="N925" i="12"/>
  <c r="O925" i="12" s="1"/>
  <c r="L926" i="12"/>
  <c r="M926" i="12"/>
  <c r="N926" i="12"/>
  <c r="O926" i="12" s="1"/>
  <c r="L927" i="12"/>
  <c r="M927" i="12"/>
  <c r="N927" i="12"/>
  <c r="O927" i="12" s="1"/>
  <c r="L928" i="12"/>
  <c r="M928" i="12"/>
  <c r="N928" i="12"/>
  <c r="O928" i="12" s="1"/>
  <c r="L929" i="12"/>
  <c r="M929" i="12"/>
  <c r="N929" i="12"/>
  <c r="O929" i="12" s="1"/>
  <c r="L930" i="12"/>
  <c r="M930" i="12"/>
  <c r="N930" i="12"/>
  <c r="O930" i="12" s="1"/>
  <c r="L931" i="12"/>
  <c r="M931" i="12"/>
  <c r="N931" i="12"/>
  <c r="O931" i="12" s="1"/>
  <c r="L932" i="12"/>
  <c r="M932" i="12"/>
  <c r="N932" i="12"/>
  <c r="O932" i="12" s="1"/>
  <c r="L933" i="12"/>
  <c r="M933" i="12"/>
  <c r="N933" i="12"/>
  <c r="O933" i="12"/>
  <c r="L934" i="12"/>
  <c r="M934" i="12"/>
  <c r="N934" i="12"/>
  <c r="O934" i="12" s="1"/>
  <c r="L935" i="12"/>
  <c r="M935" i="12"/>
  <c r="N935" i="12"/>
  <c r="O935" i="12" s="1"/>
  <c r="L936" i="12"/>
  <c r="M936" i="12"/>
  <c r="N936" i="12"/>
  <c r="O936" i="12" s="1"/>
  <c r="L937" i="12"/>
  <c r="M937" i="12"/>
  <c r="N937" i="12"/>
  <c r="O937" i="12" s="1"/>
  <c r="L938" i="12"/>
  <c r="M938" i="12"/>
  <c r="N938" i="12"/>
  <c r="O938" i="12" s="1"/>
  <c r="L939" i="12"/>
  <c r="M939" i="12"/>
  <c r="N939" i="12"/>
  <c r="O939" i="12" s="1"/>
  <c r="L940" i="12"/>
  <c r="M940" i="12"/>
  <c r="N940" i="12"/>
  <c r="O940" i="12" s="1"/>
  <c r="L941" i="12"/>
  <c r="M941" i="12"/>
  <c r="N941" i="12"/>
  <c r="O941" i="12"/>
  <c r="L942" i="12"/>
  <c r="M942" i="12"/>
  <c r="N942" i="12"/>
  <c r="O942" i="12" s="1"/>
  <c r="L943" i="12"/>
  <c r="M943" i="12"/>
  <c r="N943" i="12"/>
  <c r="O943" i="12"/>
  <c r="L944" i="12"/>
  <c r="M944" i="12"/>
  <c r="N944" i="12"/>
  <c r="O944" i="12" s="1"/>
  <c r="L945" i="12"/>
  <c r="M945" i="12"/>
  <c r="N945" i="12"/>
  <c r="O945" i="12" s="1"/>
  <c r="L946" i="12"/>
  <c r="M946" i="12"/>
  <c r="N946" i="12"/>
  <c r="O946" i="12"/>
  <c r="L947" i="12"/>
  <c r="M947" i="12"/>
  <c r="N947" i="12"/>
  <c r="O947" i="12" s="1"/>
  <c r="L948" i="12"/>
  <c r="M948" i="12"/>
  <c r="N948" i="12"/>
  <c r="O948" i="12" s="1"/>
  <c r="L949" i="12"/>
  <c r="M949" i="12"/>
  <c r="N949" i="12"/>
  <c r="O949" i="12" s="1"/>
  <c r="L950" i="12"/>
  <c r="M950" i="12"/>
  <c r="N950" i="12"/>
  <c r="O950" i="12" s="1"/>
  <c r="L951" i="12"/>
  <c r="M951" i="12"/>
  <c r="N951" i="12"/>
  <c r="O951" i="12" s="1"/>
  <c r="L952" i="12"/>
  <c r="M952" i="12"/>
  <c r="N952" i="12"/>
  <c r="O952" i="12" s="1"/>
  <c r="L953" i="12"/>
  <c r="M953" i="12"/>
  <c r="N953" i="12"/>
  <c r="O953" i="12" s="1"/>
  <c r="L954" i="12"/>
  <c r="M954" i="12"/>
  <c r="N954" i="12"/>
  <c r="O954" i="12" s="1"/>
  <c r="L955" i="12"/>
  <c r="M955" i="12"/>
  <c r="N955" i="12"/>
  <c r="O955" i="12" s="1"/>
  <c r="L956" i="12"/>
  <c r="M956" i="12"/>
  <c r="N956" i="12"/>
  <c r="O956" i="12" s="1"/>
  <c r="L957" i="12"/>
  <c r="M957" i="12"/>
  <c r="N957" i="12"/>
  <c r="O957" i="12" s="1"/>
  <c r="L958" i="12"/>
  <c r="M958" i="12"/>
  <c r="N958" i="12"/>
  <c r="O958" i="12" s="1"/>
  <c r="L959" i="12"/>
  <c r="M959" i="12"/>
  <c r="N959" i="12"/>
  <c r="O959" i="12" s="1"/>
  <c r="L960" i="12"/>
  <c r="M960" i="12"/>
  <c r="N960" i="12"/>
  <c r="O960" i="12" s="1"/>
  <c r="L961" i="12"/>
  <c r="M961" i="12"/>
  <c r="N961" i="12"/>
  <c r="O961" i="12" s="1"/>
  <c r="L962" i="12"/>
  <c r="M962" i="12"/>
  <c r="N962" i="12"/>
  <c r="O962" i="12" s="1"/>
  <c r="L963" i="12"/>
  <c r="M963" i="12"/>
  <c r="N963" i="12"/>
  <c r="O963" i="12" s="1"/>
  <c r="L964" i="12"/>
  <c r="M964" i="12"/>
  <c r="N964" i="12"/>
  <c r="O964" i="12" s="1"/>
  <c r="L965" i="12"/>
  <c r="M965" i="12"/>
  <c r="N965" i="12"/>
  <c r="O965" i="12" s="1"/>
  <c r="L966" i="12"/>
  <c r="M966" i="12"/>
  <c r="N966" i="12"/>
  <c r="O966" i="12" s="1"/>
  <c r="L967" i="12"/>
  <c r="M967" i="12"/>
  <c r="N967" i="12"/>
  <c r="O967" i="12" s="1"/>
  <c r="L968" i="12"/>
  <c r="M968" i="12"/>
  <c r="N968" i="12"/>
  <c r="O968" i="12" s="1"/>
  <c r="L969" i="12"/>
  <c r="M969" i="12"/>
  <c r="N969" i="12"/>
  <c r="O969" i="12"/>
  <c r="L970" i="12"/>
  <c r="M970" i="12"/>
  <c r="N970" i="12"/>
  <c r="O970" i="12" s="1"/>
  <c r="L971" i="12"/>
  <c r="M971" i="12"/>
  <c r="N971" i="12"/>
  <c r="O971" i="12" s="1"/>
  <c r="L972" i="12"/>
  <c r="M972" i="12"/>
  <c r="N972" i="12"/>
  <c r="O972" i="12" s="1"/>
  <c r="L973" i="12"/>
  <c r="M973" i="12"/>
  <c r="N973" i="12"/>
  <c r="O973" i="12" s="1"/>
  <c r="L974" i="12"/>
  <c r="M974" i="12"/>
  <c r="N974" i="12"/>
  <c r="O974" i="12" s="1"/>
  <c r="L975" i="12"/>
  <c r="M975" i="12"/>
  <c r="N975" i="12"/>
  <c r="O975" i="12" s="1"/>
  <c r="L976" i="12"/>
  <c r="M976" i="12"/>
  <c r="N976" i="12"/>
  <c r="O976" i="12" s="1"/>
  <c r="L977" i="12"/>
  <c r="M977" i="12"/>
  <c r="N977" i="12"/>
  <c r="O977" i="12" s="1"/>
  <c r="L978" i="12"/>
  <c r="M978" i="12"/>
  <c r="N978" i="12"/>
  <c r="O978" i="12" s="1"/>
  <c r="L979" i="12"/>
  <c r="M979" i="12"/>
  <c r="N979" i="12"/>
  <c r="O979" i="12" s="1"/>
  <c r="L980" i="12"/>
  <c r="M980" i="12"/>
  <c r="N980" i="12"/>
  <c r="O980" i="12" s="1"/>
  <c r="L981" i="12"/>
  <c r="M981" i="12"/>
  <c r="N981" i="12"/>
  <c r="O981" i="12" s="1"/>
  <c r="L982" i="12"/>
  <c r="M982" i="12"/>
  <c r="N982" i="12"/>
  <c r="O982" i="12" s="1"/>
  <c r="L983" i="12"/>
  <c r="M983" i="12"/>
  <c r="N983" i="12"/>
  <c r="O983" i="12" s="1"/>
  <c r="L984" i="12"/>
  <c r="M984" i="12"/>
  <c r="N984" i="12"/>
  <c r="O984" i="12" s="1"/>
  <c r="L985" i="12"/>
  <c r="M985" i="12"/>
  <c r="N985" i="12"/>
  <c r="O985" i="12" s="1"/>
  <c r="L986" i="12"/>
  <c r="M986" i="12"/>
  <c r="N986" i="12"/>
  <c r="O986" i="12" s="1"/>
  <c r="L987" i="12"/>
  <c r="M987" i="12"/>
  <c r="N987" i="12"/>
  <c r="O987" i="12" s="1"/>
  <c r="L988" i="12"/>
  <c r="M988" i="12"/>
  <c r="N988" i="12"/>
  <c r="O988" i="12" s="1"/>
  <c r="L989" i="12"/>
  <c r="M989" i="12"/>
  <c r="N989" i="12"/>
  <c r="O989" i="12" s="1"/>
  <c r="L990" i="12"/>
  <c r="M990" i="12"/>
  <c r="N990" i="12"/>
  <c r="O990" i="12" s="1"/>
  <c r="L991" i="12"/>
  <c r="M991" i="12"/>
  <c r="N991" i="12"/>
  <c r="O991" i="12" s="1"/>
  <c r="L992" i="12"/>
  <c r="M992" i="12"/>
  <c r="N992" i="12"/>
  <c r="O992" i="12" s="1"/>
  <c r="L993" i="12"/>
  <c r="M993" i="12"/>
  <c r="N993" i="12"/>
  <c r="O993" i="12" s="1"/>
  <c r="L994" i="12"/>
  <c r="M994" i="12"/>
  <c r="N994" i="12"/>
  <c r="O994" i="12" s="1"/>
  <c r="L995" i="12"/>
  <c r="M995" i="12"/>
  <c r="N995" i="12"/>
  <c r="O995" i="12" s="1"/>
  <c r="L996" i="12"/>
  <c r="M996" i="12"/>
  <c r="N996" i="12"/>
  <c r="O996" i="12" s="1"/>
  <c r="L997" i="12"/>
  <c r="M997" i="12"/>
  <c r="N997" i="12"/>
  <c r="O997" i="12" s="1"/>
  <c r="L998" i="12"/>
  <c r="M998" i="12"/>
  <c r="N998" i="12"/>
  <c r="O998" i="12" s="1"/>
  <c r="L999" i="12"/>
  <c r="M999" i="12"/>
  <c r="N999" i="12"/>
  <c r="O999" i="12" s="1"/>
  <c r="L1000" i="12"/>
  <c r="M1000" i="12"/>
  <c r="N1000" i="12"/>
  <c r="O1000" i="12" s="1"/>
  <c r="L1001" i="12"/>
  <c r="M1001" i="12"/>
  <c r="N1001" i="12"/>
  <c r="O1001" i="12" s="1"/>
  <c r="L1002" i="12"/>
  <c r="M1002" i="12"/>
  <c r="N1002" i="12"/>
  <c r="O1002" i="12" s="1"/>
  <c r="L1003" i="12"/>
  <c r="M1003" i="12"/>
  <c r="N1003" i="12"/>
  <c r="O1003" i="12" s="1"/>
  <c r="L1004" i="12"/>
  <c r="M1004" i="12"/>
  <c r="N1004" i="12"/>
  <c r="O1004" i="12" s="1"/>
  <c r="L1005" i="12"/>
  <c r="M1005" i="12"/>
  <c r="N1005" i="12"/>
  <c r="O1005" i="12" s="1"/>
  <c r="L1006" i="12"/>
  <c r="M1006" i="12"/>
  <c r="N1006" i="12"/>
  <c r="O1006" i="12" s="1"/>
  <c r="L1007" i="12"/>
  <c r="M1007" i="12"/>
  <c r="N1007" i="12"/>
  <c r="O1007" i="12" s="1"/>
  <c r="L1008" i="12"/>
  <c r="M1008" i="12"/>
  <c r="N1008" i="12"/>
  <c r="O1008" i="12"/>
  <c r="L1009" i="12"/>
  <c r="M1009" i="12"/>
  <c r="N1009" i="12"/>
  <c r="O1009" i="12" s="1"/>
  <c r="L1010" i="12"/>
  <c r="M1010" i="12"/>
  <c r="N1010" i="12"/>
  <c r="O1010" i="12" s="1"/>
  <c r="L1011" i="12"/>
  <c r="M1011" i="12"/>
  <c r="N1011" i="12"/>
  <c r="O1011" i="12" s="1"/>
  <c r="L1012" i="12"/>
  <c r="M1012" i="12"/>
  <c r="N1012" i="12"/>
  <c r="O1012" i="12" s="1"/>
  <c r="L1013" i="12"/>
  <c r="M1013" i="12"/>
  <c r="N1013" i="12"/>
  <c r="O1013" i="12" s="1"/>
  <c r="L1014" i="12"/>
  <c r="M1014" i="12"/>
  <c r="N1014" i="12"/>
  <c r="O1014" i="12" s="1"/>
  <c r="L1015" i="12"/>
  <c r="M1015" i="12"/>
  <c r="N1015" i="12"/>
  <c r="O1015" i="12" s="1"/>
  <c r="L1016" i="12"/>
  <c r="M1016" i="12"/>
  <c r="N1016" i="12"/>
  <c r="O1016" i="12" s="1"/>
  <c r="L1017" i="12"/>
  <c r="M1017" i="12"/>
  <c r="N1017" i="12"/>
  <c r="O1017" i="12" s="1"/>
  <c r="L1018" i="12"/>
  <c r="M1018" i="12"/>
  <c r="N1018" i="12"/>
  <c r="O1018" i="12" s="1"/>
  <c r="L1019" i="12"/>
  <c r="M1019" i="12"/>
  <c r="N1019" i="12"/>
  <c r="O1019" i="12" s="1"/>
  <c r="L1020" i="12"/>
  <c r="M1020" i="12"/>
  <c r="N1020" i="12"/>
  <c r="O1020" i="12" s="1"/>
  <c r="L1021" i="12"/>
  <c r="M1021" i="12"/>
  <c r="N1021" i="12"/>
  <c r="O1021" i="12" s="1"/>
  <c r="L1022" i="12"/>
  <c r="M1022" i="12"/>
  <c r="N1022" i="12"/>
  <c r="O1022" i="12" s="1"/>
  <c r="L1023" i="12"/>
  <c r="M1023" i="12"/>
  <c r="N1023" i="12"/>
  <c r="O1023" i="12" s="1"/>
  <c r="L1024" i="12"/>
  <c r="M1024" i="12"/>
  <c r="N1024" i="12"/>
  <c r="O1024" i="12" s="1"/>
  <c r="L1025" i="12"/>
  <c r="M1025" i="12"/>
  <c r="N1025" i="12"/>
  <c r="O1025" i="12" s="1"/>
  <c r="L1026" i="12"/>
  <c r="M1026" i="12"/>
  <c r="N1026" i="12"/>
  <c r="O1026" i="12" s="1"/>
  <c r="L1027" i="12"/>
  <c r="M1027" i="12"/>
  <c r="N1027" i="12"/>
  <c r="O1027" i="12" s="1"/>
  <c r="L1028" i="12"/>
  <c r="M1028" i="12"/>
  <c r="N1028" i="12"/>
  <c r="O1028" i="12"/>
  <c r="L1029" i="12"/>
  <c r="M1029" i="12"/>
  <c r="N1029" i="12"/>
  <c r="O1029" i="12" s="1"/>
  <c r="L1030" i="12"/>
  <c r="M1030" i="12"/>
  <c r="N1030" i="12"/>
  <c r="O1030" i="12"/>
  <c r="L1031" i="12"/>
  <c r="M1031" i="12"/>
  <c r="N1031" i="12"/>
  <c r="O1031" i="12" s="1"/>
  <c r="L1032" i="12"/>
  <c r="M1032" i="12"/>
  <c r="N1032" i="12"/>
  <c r="O1032" i="12" s="1"/>
  <c r="L1033" i="12"/>
  <c r="M1033" i="12"/>
  <c r="N1033" i="12"/>
  <c r="O1033" i="12" s="1"/>
  <c r="L1034" i="12"/>
  <c r="M1034" i="12"/>
  <c r="N1034" i="12"/>
  <c r="O1034" i="12" s="1"/>
  <c r="L1035" i="12"/>
  <c r="M1035" i="12"/>
  <c r="N1035" i="12"/>
  <c r="O1035" i="12" s="1"/>
  <c r="L1036" i="12"/>
  <c r="M1036" i="12"/>
  <c r="N1036" i="12"/>
  <c r="O1036" i="12" s="1"/>
  <c r="L1037" i="12"/>
  <c r="M1037" i="12"/>
  <c r="N1037" i="12"/>
  <c r="O1037" i="12" s="1"/>
  <c r="L1038" i="12"/>
  <c r="M1038" i="12"/>
  <c r="N1038" i="12"/>
  <c r="O1038" i="12"/>
  <c r="L1039" i="12"/>
  <c r="M1039" i="12"/>
  <c r="N1039" i="12"/>
  <c r="O1039" i="12" s="1"/>
  <c r="L1040" i="12"/>
  <c r="M1040" i="12"/>
  <c r="N1040" i="12"/>
  <c r="O1040" i="12" s="1"/>
  <c r="L1041" i="12"/>
  <c r="M1041" i="12"/>
  <c r="N1041" i="12"/>
  <c r="O1041" i="12" s="1"/>
  <c r="L1042" i="12"/>
  <c r="M1042" i="12"/>
  <c r="N1042" i="12"/>
  <c r="O1042" i="12" s="1"/>
  <c r="L1043" i="12"/>
  <c r="M1043" i="12"/>
  <c r="N1043" i="12"/>
  <c r="O1043" i="12" s="1"/>
  <c r="L1044" i="12"/>
  <c r="M1044" i="12"/>
  <c r="N1044" i="12"/>
  <c r="O1044" i="12" s="1"/>
  <c r="L1045" i="12"/>
  <c r="M1045" i="12"/>
  <c r="N1045" i="12"/>
  <c r="O1045" i="12" s="1"/>
  <c r="L1046" i="12"/>
  <c r="M1046" i="12"/>
  <c r="N1046" i="12"/>
  <c r="O1046" i="12" s="1"/>
  <c r="L1047" i="12"/>
  <c r="M1047" i="12"/>
  <c r="N1047" i="12"/>
  <c r="O1047" i="12" s="1"/>
  <c r="L1048" i="12"/>
  <c r="M1048" i="12"/>
  <c r="N1048" i="12"/>
  <c r="O1048" i="12" s="1"/>
  <c r="L1049" i="12"/>
  <c r="M1049" i="12"/>
  <c r="N1049" i="12"/>
  <c r="O1049" i="12" s="1"/>
  <c r="L1050" i="12"/>
  <c r="M1050" i="12"/>
  <c r="N1050" i="12"/>
  <c r="O1050" i="12" s="1"/>
  <c r="L1051" i="12"/>
  <c r="M1051" i="12"/>
  <c r="N1051" i="12"/>
  <c r="O1051" i="12" s="1"/>
  <c r="L1052" i="12"/>
  <c r="M1052" i="12"/>
  <c r="N1052" i="12"/>
  <c r="O1052" i="12" s="1"/>
  <c r="L1053" i="12"/>
  <c r="M1053" i="12"/>
  <c r="N1053" i="12"/>
  <c r="O1053" i="12" s="1"/>
  <c r="L1054" i="12"/>
  <c r="M1054" i="12"/>
  <c r="N1054" i="12"/>
  <c r="O1054" i="12" s="1"/>
  <c r="L1055" i="12"/>
  <c r="M1055" i="12"/>
  <c r="N1055" i="12"/>
  <c r="O1055" i="12" s="1"/>
  <c r="L1056" i="12"/>
  <c r="M1056" i="12"/>
  <c r="N1056" i="12"/>
  <c r="O1056" i="12" s="1"/>
  <c r="L1057" i="12"/>
  <c r="M1057" i="12"/>
  <c r="N1057" i="12"/>
  <c r="O1057" i="12" s="1"/>
  <c r="L1058" i="12"/>
  <c r="M1058" i="12"/>
  <c r="N1058" i="12"/>
  <c r="O1058" i="12" s="1"/>
  <c r="L1059" i="12"/>
  <c r="M1059" i="12"/>
  <c r="N1059" i="12"/>
  <c r="O1059" i="12" s="1"/>
  <c r="L1060" i="12"/>
  <c r="M1060" i="12"/>
  <c r="N1060" i="12"/>
  <c r="O1060" i="12" s="1"/>
  <c r="L1061" i="12"/>
  <c r="M1061" i="12"/>
  <c r="N1061" i="12"/>
  <c r="O1061" i="12" s="1"/>
  <c r="L1062" i="12"/>
  <c r="M1062" i="12"/>
  <c r="N1062" i="12"/>
  <c r="O1062" i="12" s="1"/>
  <c r="L1063" i="12"/>
  <c r="M1063" i="12"/>
  <c r="N1063" i="12"/>
  <c r="O1063" i="12" s="1"/>
  <c r="L1064" i="12"/>
  <c r="M1064" i="12"/>
  <c r="N1064" i="12"/>
  <c r="O1064" i="12" s="1"/>
  <c r="L1065" i="12"/>
  <c r="M1065" i="12"/>
  <c r="N1065" i="12"/>
  <c r="O1065" i="12" s="1"/>
  <c r="L1066" i="12"/>
  <c r="M1066" i="12"/>
  <c r="N1066" i="12"/>
  <c r="O1066" i="12" s="1"/>
  <c r="L1067" i="12"/>
  <c r="M1067" i="12"/>
  <c r="N1067" i="12"/>
  <c r="O1067" i="12" s="1"/>
  <c r="L1068" i="12"/>
  <c r="M1068" i="12"/>
  <c r="N1068" i="12"/>
  <c r="O1068" i="12" s="1"/>
  <c r="L1069" i="12"/>
  <c r="M1069" i="12"/>
  <c r="N1069" i="12"/>
  <c r="O1069" i="12" s="1"/>
  <c r="L1070" i="12"/>
  <c r="M1070" i="12"/>
  <c r="N1070" i="12"/>
  <c r="O1070" i="12" s="1"/>
  <c r="L1071" i="12"/>
  <c r="M1071" i="12"/>
  <c r="N1071" i="12"/>
  <c r="O1071" i="12" s="1"/>
  <c r="L1072" i="12"/>
  <c r="M1072" i="12"/>
  <c r="N1072" i="12"/>
  <c r="O1072" i="12" s="1"/>
  <c r="L1073" i="12"/>
  <c r="M1073" i="12"/>
  <c r="N1073" i="12"/>
  <c r="O1073" i="12"/>
  <c r="L1074" i="12"/>
  <c r="M1074" i="12"/>
  <c r="N1074" i="12"/>
  <c r="O1074" i="12" s="1"/>
  <c r="L1075" i="12"/>
  <c r="M1075" i="12"/>
  <c r="N1075" i="12"/>
  <c r="O1075" i="12" s="1"/>
  <c r="L1076" i="12"/>
  <c r="M1076" i="12"/>
  <c r="N1076" i="12"/>
  <c r="O1076" i="12" s="1"/>
  <c r="L1077" i="12"/>
  <c r="M1077" i="12"/>
  <c r="N1077" i="12"/>
  <c r="O1077" i="12" s="1"/>
  <c r="L1078" i="12"/>
  <c r="M1078" i="12"/>
  <c r="N1078" i="12"/>
  <c r="O1078" i="12" s="1"/>
  <c r="L1079" i="12"/>
  <c r="M1079" i="12"/>
  <c r="N1079" i="12"/>
  <c r="O1079" i="12"/>
  <c r="L1080" i="12"/>
  <c r="M1080" i="12"/>
  <c r="N1080" i="12"/>
  <c r="O1080" i="12" s="1"/>
  <c r="L1081" i="12"/>
  <c r="M1081" i="12"/>
  <c r="N1081" i="12"/>
  <c r="O1081" i="12" s="1"/>
  <c r="L1082" i="12"/>
  <c r="M1082" i="12"/>
  <c r="N1082" i="12"/>
  <c r="O1082" i="12" s="1"/>
  <c r="L1083" i="12"/>
  <c r="M1083" i="12"/>
  <c r="N1083" i="12"/>
  <c r="O1083" i="12" s="1"/>
  <c r="L1084" i="12"/>
  <c r="M1084" i="12"/>
  <c r="N1084" i="12"/>
  <c r="O1084" i="12" s="1"/>
  <c r="L1085" i="12"/>
  <c r="M1085" i="12"/>
  <c r="N1085" i="12"/>
  <c r="O1085" i="12" s="1"/>
  <c r="L1086" i="12"/>
  <c r="M1086" i="12"/>
  <c r="N1086" i="12"/>
  <c r="O1086" i="12" s="1"/>
  <c r="L1087" i="12"/>
  <c r="M1087" i="12"/>
  <c r="N1087" i="12"/>
  <c r="O1087" i="12" s="1"/>
  <c r="L1088" i="12"/>
  <c r="M1088" i="12"/>
  <c r="N1088" i="12"/>
  <c r="O1088" i="12" s="1"/>
  <c r="L1089" i="12"/>
  <c r="M1089" i="12"/>
  <c r="N1089" i="12"/>
  <c r="O1089" i="12" s="1"/>
  <c r="L1090" i="12"/>
  <c r="M1090" i="12"/>
  <c r="N1090" i="12"/>
  <c r="O1090" i="12"/>
  <c r="L1091" i="12"/>
  <c r="M1091" i="12"/>
  <c r="N1091" i="12"/>
  <c r="O1091" i="12"/>
  <c r="L1092" i="12"/>
  <c r="M1092" i="12"/>
  <c r="N1092" i="12"/>
  <c r="O1092" i="12"/>
  <c r="L1093" i="12"/>
  <c r="M1093" i="12"/>
  <c r="N1093" i="12"/>
  <c r="O1093" i="12"/>
  <c r="L1094" i="12"/>
  <c r="M1094" i="12"/>
  <c r="N1094" i="12"/>
  <c r="O1094" i="12"/>
  <c r="L1095" i="12"/>
  <c r="M1095" i="12"/>
  <c r="N1095" i="12"/>
  <c r="O1095" i="12"/>
  <c r="L1096" i="12"/>
  <c r="M1096" i="12"/>
  <c r="N1096" i="12"/>
  <c r="O1096" i="12"/>
  <c r="L1097" i="12"/>
  <c r="M1097" i="12"/>
  <c r="N1097" i="12"/>
  <c r="O1097" i="12"/>
  <c r="L1098" i="12"/>
  <c r="M1098" i="12"/>
  <c r="N1098" i="12"/>
  <c r="O1098" i="12"/>
  <c r="L1099" i="12"/>
  <c r="M1099" i="12"/>
  <c r="N1099" i="12"/>
  <c r="O1099" i="12"/>
  <c r="L1100" i="12"/>
  <c r="M1100" i="12"/>
  <c r="N1100" i="12"/>
  <c r="O1100" i="12"/>
  <c r="L1101" i="12"/>
  <c r="M1101" i="12"/>
  <c r="N1101" i="12"/>
  <c r="O1101" i="12"/>
  <c r="L1102" i="12"/>
  <c r="M1102" i="12"/>
  <c r="N1102" i="12"/>
  <c r="O1102" i="12"/>
  <c r="L1103" i="12"/>
  <c r="M1103" i="12"/>
  <c r="N1103" i="12"/>
  <c r="O1103" i="12"/>
  <c r="L1104" i="12"/>
  <c r="M1104" i="12"/>
  <c r="N1104" i="12"/>
  <c r="O1104" i="12"/>
  <c r="L1105" i="12"/>
  <c r="M1105" i="12"/>
  <c r="N1105" i="12"/>
  <c r="O1105" i="12"/>
  <c r="L1106" i="12"/>
  <c r="M1106" i="12"/>
  <c r="N1106" i="12"/>
  <c r="O1106" i="12"/>
  <c r="L1107" i="12"/>
  <c r="M1107" i="12"/>
  <c r="N1107" i="12"/>
  <c r="O1107" i="12"/>
  <c r="L1108" i="12"/>
  <c r="M1108" i="12"/>
  <c r="N1108" i="12"/>
  <c r="O1108" i="12"/>
  <c r="L1109" i="12"/>
  <c r="M1109" i="12"/>
  <c r="N1109" i="12"/>
  <c r="O1109" i="12"/>
  <c r="L1110" i="12"/>
  <c r="M1110" i="12"/>
  <c r="N1110" i="12"/>
  <c r="O1110" i="12"/>
  <c r="L1111" i="12"/>
  <c r="M1111" i="12"/>
  <c r="N1111" i="12"/>
  <c r="O1111" i="12"/>
  <c r="L1112" i="12"/>
  <c r="M1112" i="12"/>
  <c r="N1112" i="12"/>
  <c r="O1112" i="12"/>
  <c r="L1113" i="12"/>
  <c r="M1113" i="12"/>
  <c r="N1113" i="12"/>
  <c r="O1113" i="12"/>
  <c r="L1114" i="12"/>
  <c r="M1114" i="12"/>
  <c r="N1114" i="12"/>
  <c r="O1114" i="12"/>
  <c r="L1115" i="12"/>
  <c r="M1115" i="12"/>
  <c r="N1115" i="12"/>
  <c r="O1115" i="12"/>
  <c r="L1116" i="12"/>
  <c r="M1116" i="12"/>
  <c r="N1116" i="12"/>
  <c r="O1116" i="12"/>
  <c r="L1117" i="12"/>
  <c r="M1117" i="12"/>
  <c r="N1117" i="12"/>
  <c r="O1117" i="12"/>
  <c r="L1118" i="12"/>
  <c r="M1118" i="12"/>
  <c r="N1118" i="12"/>
  <c r="O1118" i="12"/>
  <c r="L1119" i="12"/>
  <c r="M1119" i="12"/>
  <c r="N1119" i="12"/>
  <c r="O1119" i="12"/>
  <c r="L1120" i="12"/>
  <c r="M1120" i="12"/>
  <c r="N1120" i="12"/>
  <c r="O1120" i="12"/>
  <c r="L1121" i="12"/>
  <c r="M1121" i="12"/>
  <c r="N1121" i="12"/>
  <c r="O1121" i="12"/>
  <c r="L1122" i="12"/>
  <c r="M1122" i="12"/>
  <c r="N1122" i="12"/>
  <c r="O1122" i="12"/>
  <c r="L1123" i="12"/>
  <c r="M1123" i="12"/>
  <c r="N1123" i="12"/>
  <c r="O1123" i="12"/>
  <c r="L1124" i="12"/>
  <c r="M1124" i="12"/>
  <c r="N1124" i="12"/>
  <c r="O1124" i="12"/>
  <c r="L1125" i="12"/>
  <c r="M1125" i="12"/>
  <c r="N1125" i="12"/>
  <c r="O1125" i="12"/>
  <c r="L1126" i="12"/>
  <c r="M1126" i="12"/>
  <c r="N1126" i="12"/>
  <c r="O1126" i="12"/>
  <c r="L1127" i="12"/>
  <c r="M1127" i="12"/>
  <c r="N1127" i="12"/>
  <c r="O1127" i="12"/>
  <c r="L1128" i="12"/>
  <c r="M1128" i="12"/>
  <c r="N1128" i="12"/>
  <c r="O1128" i="12"/>
  <c r="L1129" i="12"/>
  <c r="M1129" i="12"/>
  <c r="N1129" i="12"/>
  <c r="O1129" i="12"/>
  <c r="L1130" i="12"/>
  <c r="M1130" i="12"/>
  <c r="N1130" i="12"/>
  <c r="O1130" i="12"/>
  <c r="L1131" i="12"/>
  <c r="M1131" i="12"/>
  <c r="N1131" i="12"/>
  <c r="O1131" i="12"/>
  <c r="L1132" i="12"/>
  <c r="M1132" i="12"/>
  <c r="N1132" i="12"/>
  <c r="O1132" i="12"/>
  <c r="L1133" i="12"/>
  <c r="M1133" i="12"/>
  <c r="N1133" i="12"/>
  <c r="O1133" i="12"/>
  <c r="L1134" i="12"/>
  <c r="M1134" i="12"/>
  <c r="N1134" i="12"/>
  <c r="O1134" i="12"/>
  <c r="L1135" i="12"/>
  <c r="M1135" i="12"/>
  <c r="N1135" i="12"/>
  <c r="O1135" i="12"/>
  <c r="L1136" i="12"/>
  <c r="M1136" i="12"/>
  <c r="N1136" i="12"/>
  <c r="O1136" i="12"/>
  <c r="L1137" i="12"/>
  <c r="M1137" i="12"/>
  <c r="N1137" i="12"/>
  <c r="O1137" i="12"/>
  <c r="L1138" i="12"/>
  <c r="M1138" i="12"/>
  <c r="N1138" i="12"/>
  <c r="O1138" i="12"/>
  <c r="L1139" i="12"/>
  <c r="M1139" i="12"/>
  <c r="N1139" i="12"/>
  <c r="O1139" i="12"/>
  <c r="L1140" i="12"/>
  <c r="M1140" i="12"/>
  <c r="N1140" i="12"/>
  <c r="O1140" i="12"/>
  <c r="L1141" i="12"/>
  <c r="M1141" i="12"/>
  <c r="N1141" i="12"/>
  <c r="O1141" i="12"/>
  <c r="L1142" i="12"/>
  <c r="M1142" i="12"/>
  <c r="N1142" i="12"/>
  <c r="O1142" i="12"/>
  <c r="L1143" i="12"/>
  <c r="M1143" i="12"/>
  <c r="N1143" i="12"/>
  <c r="O1143" i="12"/>
  <c r="L1144" i="12"/>
  <c r="M1144" i="12"/>
  <c r="N1144" i="12"/>
  <c r="O1144" i="12"/>
  <c r="L1145" i="12"/>
  <c r="M1145" i="12"/>
  <c r="N1145" i="12"/>
  <c r="O1145" i="12"/>
  <c r="L1146" i="12"/>
  <c r="M1146" i="12"/>
  <c r="N1146" i="12"/>
  <c r="O1146" i="12"/>
  <c r="L1147" i="12"/>
  <c r="M1147" i="12"/>
  <c r="N1147" i="12"/>
  <c r="O1147" i="12"/>
  <c r="L1148" i="12"/>
  <c r="M1148" i="12"/>
  <c r="N1148" i="12"/>
  <c r="O1148" i="12"/>
  <c r="L1149" i="12"/>
  <c r="M1149" i="12"/>
  <c r="N1149" i="12"/>
  <c r="O1149" i="12"/>
  <c r="L1150" i="12"/>
  <c r="M1150" i="12"/>
  <c r="N1150" i="12"/>
  <c r="O1150" i="12"/>
  <c r="L1151" i="12"/>
  <c r="M1151" i="12"/>
  <c r="N1151" i="12"/>
  <c r="O1151" i="12"/>
  <c r="L1152" i="12"/>
  <c r="M1152" i="12"/>
  <c r="N1152" i="12"/>
  <c r="O1152" i="12"/>
  <c r="L1153" i="12"/>
  <c r="M1153" i="12"/>
  <c r="N1153" i="12"/>
  <c r="O1153" i="12"/>
  <c r="L1154" i="12"/>
  <c r="M1154" i="12"/>
  <c r="N1154" i="12"/>
  <c r="O1154" i="12"/>
  <c r="L1155" i="12"/>
  <c r="M1155" i="12"/>
  <c r="N1155" i="12"/>
  <c r="O1155" i="12"/>
  <c r="L1156" i="12"/>
  <c r="M1156" i="12"/>
  <c r="N1156" i="12"/>
  <c r="O1156" i="12"/>
  <c r="L1157" i="12"/>
  <c r="M1157" i="12"/>
  <c r="N1157" i="12"/>
  <c r="O1157" i="12"/>
  <c r="L1158" i="12"/>
  <c r="M1158" i="12"/>
  <c r="N1158" i="12"/>
  <c r="O1158" i="12"/>
  <c r="L1159" i="12"/>
  <c r="M1159" i="12"/>
  <c r="N1159" i="12"/>
  <c r="O1159" i="12"/>
  <c r="L1160" i="12"/>
  <c r="M1160" i="12"/>
  <c r="N1160" i="12"/>
  <c r="O1160" i="12"/>
  <c r="L1161" i="12"/>
  <c r="M1161" i="12"/>
  <c r="N1161" i="12"/>
  <c r="O1161" i="12"/>
  <c r="L1162" i="12"/>
  <c r="M1162" i="12"/>
  <c r="N1162" i="12"/>
  <c r="O1162" i="12"/>
  <c r="L1163" i="12"/>
  <c r="M1163" i="12"/>
  <c r="N1163" i="12"/>
  <c r="O1163" i="12"/>
  <c r="L1164" i="12"/>
  <c r="M1164" i="12"/>
  <c r="N1164" i="12"/>
  <c r="O1164" i="12"/>
  <c r="L1165" i="12"/>
  <c r="M1165" i="12"/>
  <c r="N1165" i="12"/>
  <c r="O1165" i="12"/>
  <c r="L1166" i="12"/>
  <c r="M1166" i="12"/>
  <c r="N1166" i="12"/>
  <c r="O1166" i="12"/>
  <c r="L1167" i="12"/>
  <c r="M1167" i="12"/>
  <c r="N1167" i="12"/>
  <c r="O1167" i="12"/>
  <c r="L1168" i="12"/>
  <c r="M1168" i="12"/>
  <c r="N1168" i="12"/>
  <c r="O1168" i="12"/>
  <c r="L1169" i="12"/>
  <c r="M1169" i="12"/>
  <c r="N1169" i="12"/>
  <c r="O1169" i="12"/>
  <c r="L1170" i="12"/>
  <c r="M1170" i="12"/>
  <c r="N1170" i="12"/>
  <c r="O1170" i="12"/>
  <c r="L1171" i="12"/>
  <c r="M1171" i="12"/>
  <c r="N1171" i="12"/>
  <c r="O1171" i="12"/>
  <c r="L1172" i="12"/>
  <c r="M1172" i="12"/>
  <c r="N1172" i="12"/>
  <c r="O1172" i="12"/>
  <c r="L1173" i="12"/>
  <c r="M1173" i="12"/>
  <c r="N1173" i="12"/>
  <c r="O1173" i="12"/>
  <c r="L1174" i="12"/>
  <c r="M1174" i="12"/>
  <c r="N1174" i="12"/>
  <c r="O1174" i="12"/>
  <c r="L1175" i="12"/>
  <c r="M1175" i="12"/>
  <c r="N1175" i="12"/>
  <c r="O1175" i="12"/>
  <c r="L1176" i="12"/>
  <c r="M1176" i="12"/>
  <c r="N1176" i="12"/>
  <c r="O1176" i="12"/>
  <c r="L1177" i="12"/>
  <c r="M1177" i="12"/>
  <c r="N1177" i="12"/>
  <c r="O1177" i="12"/>
  <c r="L1178" i="12"/>
  <c r="M1178" i="12"/>
  <c r="N1178" i="12"/>
  <c r="O1178" i="12"/>
  <c r="L1179" i="12"/>
  <c r="M1179" i="12"/>
  <c r="N1179" i="12"/>
  <c r="O1179" i="12"/>
  <c r="L1180" i="12"/>
  <c r="M1180" i="12"/>
  <c r="N1180" i="12"/>
  <c r="O1180" i="12"/>
  <c r="L1181" i="12"/>
  <c r="M1181" i="12"/>
  <c r="N1181" i="12"/>
  <c r="O1181" i="12"/>
  <c r="L1182" i="12"/>
  <c r="M1182" i="12"/>
  <c r="N1182" i="12"/>
  <c r="O1182" i="12"/>
  <c r="L1183" i="12"/>
  <c r="M1183" i="12"/>
  <c r="N1183" i="12"/>
  <c r="O1183" i="12"/>
  <c r="L1184" i="12"/>
  <c r="M1184" i="12"/>
  <c r="N1184" i="12"/>
  <c r="O1184" i="12"/>
  <c r="L1185" i="12"/>
  <c r="M1185" i="12"/>
  <c r="N1185" i="12"/>
  <c r="O1185" i="12"/>
  <c r="L1186" i="12"/>
  <c r="M1186" i="12"/>
  <c r="N1186" i="12"/>
  <c r="O1186" i="12"/>
  <c r="L1187" i="12"/>
  <c r="M1187" i="12"/>
  <c r="N1187" i="12"/>
  <c r="O1187" i="12"/>
  <c r="L1188" i="12"/>
  <c r="M1188" i="12"/>
  <c r="N1188" i="12"/>
  <c r="O1188" i="12"/>
  <c r="L1189" i="12"/>
  <c r="M1189" i="12"/>
  <c r="N1189" i="12"/>
  <c r="O1189" i="12"/>
  <c r="L1190" i="12"/>
  <c r="M1190" i="12"/>
  <c r="N1190" i="12"/>
  <c r="O1190" i="12"/>
  <c r="L1191" i="12"/>
  <c r="M1191" i="12"/>
  <c r="N1191" i="12"/>
  <c r="O1191" i="12"/>
  <c r="L1192" i="12"/>
  <c r="M1192" i="12"/>
  <c r="N1192" i="12"/>
  <c r="O1192" i="12"/>
  <c r="L1193" i="12"/>
  <c r="M1193" i="12"/>
  <c r="N1193" i="12"/>
  <c r="O1193" i="12"/>
  <c r="L1194" i="12"/>
  <c r="M1194" i="12"/>
  <c r="N1194" i="12"/>
  <c r="O1194" i="12"/>
  <c r="L1195" i="12"/>
  <c r="M1195" i="12"/>
  <c r="N1195" i="12"/>
  <c r="O1195" i="12"/>
  <c r="L1196" i="12"/>
  <c r="M1196" i="12"/>
  <c r="N1196" i="12"/>
  <c r="O1196" i="12"/>
  <c r="L1197" i="12"/>
  <c r="M1197" i="12"/>
  <c r="N1197" i="12"/>
  <c r="O1197" i="12"/>
  <c r="L1198" i="12"/>
  <c r="M1198" i="12"/>
  <c r="N1198" i="12"/>
  <c r="O1198" i="12"/>
  <c r="L1199" i="12"/>
  <c r="M1199" i="12"/>
  <c r="N1199" i="12"/>
  <c r="O1199" i="12"/>
  <c r="L1200" i="12"/>
  <c r="M1200" i="12"/>
  <c r="N1200" i="12"/>
  <c r="O1200" i="12"/>
  <c r="L1201" i="12"/>
  <c r="M1201" i="12"/>
  <c r="N1201" i="12"/>
  <c r="O1201" i="12"/>
  <c r="L1202" i="12"/>
  <c r="M1202" i="12"/>
  <c r="N1202" i="12"/>
  <c r="O1202" i="12"/>
  <c r="L1203" i="12"/>
  <c r="M1203" i="12"/>
  <c r="N1203" i="12"/>
  <c r="O1203" i="12"/>
  <c r="L1204" i="12"/>
  <c r="M1204" i="12"/>
  <c r="N1204" i="12"/>
  <c r="O1204" i="12"/>
  <c r="L1205" i="12"/>
  <c r="M1205" i="12"/>
  <c r="N1205" i="12"/>
  <c r="O1205" i="12"/>
  <c r="L1206" i="12"/>
  <c r="M1206" i="12"/>
  <c r="N1206" i="12"/>
  <c r="O1206" i="12"/>
  <c r="L1207" i="12"/>
  <c r="M1207" i="12"/>
  <c r="N1207" i="12"/>
  <c r="O1207" i="12"/>
  <c r="L1208" i="12"/>
  <c r="M1208" i="12"/>
  <c r="N1208" i="12"/>
  <c r="O1208" i="12"/>
  <c r="L1209" i="12"/>
  <c r="M1209" i="12"/>
  <c r="N1209" i="12"/>
  <c r="O1209" i="12"/>
  <c r="L1210" i="12"/>
  <c r="M1210" i="12"/>
  <c r="N1210" i="12"/>
  <c r="O1210" i="12"/>
  <c r="L1211" i="12"/>
  <c r="M1211" i="12"/>
  <c r="N1211" i="12"/>
  <c r="O1211" i="12"/>
  <c r="L1212" i="12"/>
  <c r="M1212" i="12"/>
  <c r="N1212" i="12"/>
  <c r="O1212" i="12"/>
  <c r="L1213" i="12"/>
  <c r="M1213" i="12"/>
  <c r="N1213" i="12"/>
  <c r="O1213" i="12"/>
  <c r="L1214" i="12"/>
  <c r="M1214" i="12"/>
  <c r="N1214" i="12"/>
  <c r="O1214" i="12"/>
  <c r="L1215" i="12"/>
  <c r="M1215" i="12"/>
  <c r="N1215" i="12"/>
  <c r="O1215" i="12"/>
  <c r="L1216" i="12"/>
  <c r="M1216" i="12"/>
  <c r="N1216" i="12"/>
  <c r="O1216" i="12"/>
  <c r="L1217" i="12"/>
  <c r="M1217" i="12"/>
  <c r="N1217" i="12"/>
  <c r="O1217" i="12"/>
  <c r="L1218" i="12"/>
  <c r="M1218" i="12"/>
  <c r="N1218" i="12"/>
  <c r="O1218" i="12"/>
  <c r="L1219" i="12"/>
  <c r="M1219" i="12"/>
  <c r="N1219" i="12"/>
  <c r="O1219" i="12"/>
  <c r="L1220" i="12"/>
  <c r="M1220" i="12"/>
  <c r="N1220" i="12"/>
  <c r="O1220" i="12"/>
  <c r="L1221" i="12"/>
  <c r="M1221" i="12"/>
  <c r="N1221" i="12"/>
  <c r="O1221" i="12"/>
  <c r="L1222" i="12"/>
  <c r="M1222" i="12"/>
  <c r="N1222" i="12"/>
  <c r="O1222" i="12"/>
  <c r="L1223" i="12"/>
  <c r="M1223" i="12"/>
  <c r="N1223" i="12"/>
  <c r="O1223" i="12"/>
  <c r="L1224" i="12"/>
  <c r="M1224" i="12"/>
  <c r="N1224" i="12"/>
  <c r="O1224" i="12"/>
  <c r="L1225" i="12"/>
  <c r="M1225" i="12"/>
  <c r="N1225" i="12"/>
  <c r="O1225" i="12"/>
  <c r="L1226" i="12"/>
  <c r="M1226" i="12"/>
  <c r="N1226" i="12"/>
  <c r="O1226" i="12"/>
  <c r="L1227" i="12"/>
  <c r="M1227" i="12"/>
  <c r="N1227" i="12"/>
  <c r="O1227" i="12"/>
  <c r="L1228" i="12"/>
  <c r="M1228" i="12"/>
  <c r="N1228" i="12"/>
  <c r="O1228" i="12"/>
  <c r="L1229" i="12"/>
  <c r="M1229" i="12"/>
  <c r="N1229" i="12"/>
  <c r="O1229" i="12"/>
  <c r="L1230" i="12"/>
  <c r="M1230" i="12"/>
  <c r="N1230" i="12"/>
  <c r="O1230" i="12"/>
  <c r="L1231" i="12"/>
  <c r="M1231" i="12"/>
  <c r="N1231" i="12"/>
  <c r="O1231" i="12"/>
  <c r="L1232" i="12"/>
  <c r="M1232" i="12"/>
  <c r="N1232" i="12"/>
  <c r="O1232" i="12"/>
  <c r="L1233" i="12"/>
  <c r="M1233" i="12"/>
  <c r="N1233" i="12"/>
  <c r="O1233" i="12"/>
  <c r="L1234" i="12"/>
  <c r="M1234" i="12"/>
  <c r="N1234" i="12"/>
  <c r="O1234" i="12"/>
  <c r="L1235" i="12"/>
  <c r="M1235" i="12"/>
  <c r="N1235" i="12"/>
  <c r="O1235" i="12"/>
  <c r="L1236" i="12"/>
  <c r="M1236" i="12"/>
  <c r="N1236" i="12"/>
  <c r="O1236" i="12"/>
  <c r="L1237" i="12"/>
  <c r="M1237" i="12"/>
  <c r="N1237" i="12"/>
  <c r="O1237" i="12"/>
  <c r="L1238" i="12"/>
  <c r="M1238" i="12"/>
  <c r="N1238" i="12"/>
  <c r="O1238" i="12"/>
  <c r="L1239" i="12"/>
  <c r="M1239" i="12"/>
  <c r="N1239" i="12"/>
  <c r="O1239" i="12"/>
  <c r="L1240" i="12"/>
  <c r="M1240" i="12"/>
  <c r="N1240" i="12"/>
  <c r="O1240" i="12"/>
  <c r="L1241" i="12"/>
  <c r="M1241" i="12"/>
  <c r="N1241" i="12"/>
  <c r="O1241" i="12"/>
  <c r="L1242" i="12"/>
  <c r="M1242" i="12"/>
  <c r="N1242" i="12"/>
  <c r="O1242" i="12"/>
  <c r="L1243" i="12"/>
  <c r="M1243" i="12"/>
  <c r="N1243" i="12"/>
  <c r="O1243" i="12"/>
  <c r="L1244" i="12"/>
  <c r="M1244" i="12"/>
  <c r="N1244" i="12"/>
  <c r="O1244" i="12"/>
  <c r="L1245" i="12"/>
  <c r="M1245" i="12"/>
  <c r="N1245" i="12"/>
  <c r="O1245" i="12"/>
  <c r="L1246" i="12"/>
  <c r="M1246" i="12"/>
  <c r="N1246" i="12"/>
  <c r="O1246" i="12"/>
  <c r="L1247" i="12"/>
  <c r="M1247" i="12"/>
  <c r="N1247" i="12"/>
  <c r="O1247" i="12"/>
  <c r="L1248" i="12"/>
  <c r="M1248" i="12"/>
  <c r="N1248" i="12"/>
  <c r="O1248" i="12"/>
  <c r="L1249" i="12"/>
  <c r="M1249" i="12"/>
  <c r="N1249" i="12"/>
  <c r="O1249" i="12"/>
  <c r="L1250" i="12"/>
  <c r="M1250" i="12"/>
  <c r="N1250" i="12"/>
  <c r="O1250" i="12"/>
  <c r="L1251" i="12"/>
  <c r="M1251" i="12"/>
  <c r="N1251" i="12"/>
  <c r="O1251" i="12"/>
  <c r="L1252" i="12"/>
  <c r="M1252" i="12"/>
  <c r="N1252" i="12"/>
  <c r="O1252" i="12"/>
  <c r="L1253" i="12"/>
  <c r="M1253" i="12"/>
  <c r="N1253" i="12"/>
  <c r="O1253" i="12"/>
  <c r="L1254" i="12"/>
  <c r="M1254" i="12"/>
  <c r="N1254" i="12"/>
  <c r="O1254" i="12"/>
  <c r="L1255" i="12"/>
  <c r="M1255" i="12"/>
  <c r="N1255" i="12"/>
  <c r="O1255" i="12"/>
  <c r="L1256" i="12"/>
  <c r="M1256" i="12"/>
  <c r="N1256" i="12"/>
  <c r="O1256" i="12"/>
  <c r="L1257" i="12"/>
  <c r="M1257" i="12"/>
  <c r="N1257" i="12"/>
  <c r="O1257" i="12"/>
  <c r="L1258" i="12"/>
  <c r="M1258" i="12"/>
  <c r="N1258" i="12"/>
  <c r="O1258" i="12"/>
  <c r="L1259" i="12"/>
  <c r="M1259" i="12"/>
  <c r="N1259" i="12"/>
  <c r="O1259" i="12"/>
  <c r="L1260" i="12"/>
  <c r="M1260" i="12"/>
  <c r="N1260" i="12"/>
  <c r="O1260" i="12"/>
  <c r="L1261" i="12"/>
  <c r="M1261" i="12"/>
  <c r="N1261" i="12"/>
  <c r="O1261" i="12"/>
  <c r="L1262" i="12"/>
  <c r="M1262" i="12"/>
  <c r="N1262" i="12"/>
  <c r="O1262" i="12"/>
  <c r="L1263" i="12"/>
  <c r="M1263" i="12"/>
  <c r="N1263" i="12"/>
  <c r="O1263" i="12"/>
  <c r="L1264" i="12"/>
  <c r="M1264" i="12"/>
  <c r="N1264" i="12"/>
  <c r="O1264" i="12"/>
  <c r="L1265" i="12"/>
  <c r="M1265" i="12"/>
  <c r="N1265" i="12"/>
  <c r="O1265" i="12"/>
  <c r="L1266" i="12"/>
  <c r="M1266" i="12"/>
  <c r="N1266" i="12"/>
  <c r="O1266" i="12"/>
  <c r="L1267" i="12"/>
  <c r="M1267" i="12"/>
  <c r="N1267" i="12"/>
  <c r="O1267" i="12"/>
  <c r="L1268" i="12"/>
  <c r="M1268" i="12"/>
  <c r="N1268" i="12"/>
  <c r="O1268" i="12"/>
  <c r="L1269" i="12"/>
  <c r="M1269" i="12"/>
  <c r="N1269" i="12"/>
  <c r="O1269" i="12"/>
  <c r="L1270" i="12"/>
  <c r="M1270" i="12"/>
  <c r="N1270" i="12"/>
  <c r="O1270" i="12"/>
  <c r="L1271" i="12"/>
  <c r="M1271" i="12"/>
  <c r="N1271" i="12"/>
  <c r="O1271" i="12"/>
  <c r="L1272" i="12"/>
  <c r="M1272" i="12"/>
  <c r="N1272" i="12"/>
  <c r="O1272" i="12"/>
  <c r="L1273" i="12"/>
  <c r="M1273" i="12"/>
  <c r="N1273" i="12"/>
  <c r="O1273" i="12"/>
  <c r="L1274" i="12"/>
  <c r="M1274" i="12"/>
  <c r="N1274" i="12"/>
  <c r="O1274" i="12"/>
  <c r="L1275" i="12"/>
  <c r="M1275" i="12"/>
  <c r="N1275" i="12"/>
  <c r="O1275" i="12"/>
  <c r="L1276" i="12"/>
  <c r="M1276" i="12"/>
  <c r="N1276" i="12"/>
  <c r="O1276" i="12"/>
  <c r="L1277" i="12"/>
  <c r="M1277" i="12"/>
  <c r="N1277" i="12"/>
  <c r="O1277" i="12"/>
  <c r="L1278" i="12"/>
  <c r="M1278" i="12"/>
  <c r="N1278" i="12"/>
  <c r="O1278" i="12"/>
  <c r="L1279" i="12"/>
  <c r="M1279" i="12"/>
  <c r="N1279" i="12"/>
  <c r="O1279" i="12"/>
  <c r="L1280" i="12"/>
  <c r="M1280" i="12"/>
  <c r="N1280" i="12"/>
  <c r="O1280" i="12"/>
  <c r="L1281" i="12"/>
  <c r="M1281" i="12"/>
  <c r="N1281" i="12"/>
  <c r="O1281" i="12"/>
  <c r="L1282" i="12"/>
  <c r="M1282" i="12"/>
  <c r="N1282" i="12"/>
  <c r="O1282" i="12"/>
  <c r="L1283" i="12"/>
  <c r="M1283" i="12"/>
  <c r="N1283" i="12"/>
  <c r="O1283" i="12"/>
  <c r="L1284" i="12"/>
  <c r="M1284" i="12"/>
  <c r="N1284" i="12"/>
  <c r="O1284" i="12"/>
  <c r="L1285" i="12"/>
  <c r="M1285" i="12"/>
  <c r="N1285" i="12"/>
  <c r="O1285" i="12"/>
  <c r="L1286" i="12"/>
  <c r="M1286" i="12"/>
  <c r="N1286" i="12"/>
  <c r="O1286" i="12"/>
  <c r="L1287" i="12"/>
  <c r="M1287" i="12"/>
  <c r="N1287" i="12"/>
  <c r="O1287" i="12"/>
  <c r="L1288" i="12"/>
  <c r="M1288" i="12"/>
  <c r="N1288" i="12"/>
  <c r="O1288" i="12"/>
  <c r="L1289" i="12"/>
  <c r="M1289" i="12"/>
  <c r="N1289" i="12"/>
  <c r="O1289" i="12"/>
  <c r="L1290" i="12"/>
  <c r="M1290" i="12"/>
  <c r="N1290" i="12"/>
  <c r="O1290" i="12"/>
  <c r="L1291" i="12"/>
  <c r="M1291" i="12"/>
  <c r="N1291" i="12"/>
  <c r="O1291" i="12"/>
  <c r="L1292" i="12"/>
  <c r="M1292" i="12"/>
  <c r="N1292" i="12"/>
  <c r="O1292" i="12"/>
  <c r="L1293" i="12"/>
  <c r="M1293" i="12"/>
  <c r="N1293" i="12"/>
  <c r="O1293" i="12"/>
  <c r="L1294" i="12"/>
  <c r="M1294" i="12"/>
  <c r="N1294" i="12"/>
  <c r="O1294" i="12"/>
  <c r="L1295" i="12"/>
  <c r="M1295" i="12"/>
  <c r="N1295" i="12"/>
  <c r="O1295" i="12"/>
  <c r="L1296" i="12"/>
  <c r="M1296" i="12"/>
  <c r="N1296" i="12"/>
  <c r="O1296" i="12"/>
  <c r="L1297" i="12"/>
  <c r="M1297" i="12"/>
  <c r="N1297" i="12"/>
  <c r="O1297" i="12"/>
  <c r="L1298" i="12"/>
  <c r="M1298" i="12"/>
  <c r="N1298" i="12"/>
  <c r="O1298" i="12"/>
  <c r="L1299" i="12"/>
  <c r="M1299" i="12"/>
  <c r="N1299" i="12"/>
  <c r="O1299" i="12"/>
  <c r="L1300" i="12"/>
  <c r="M1300" i="12"/>
  <c r="N1300" i="12"/>
  <c r="O1300" i="12"/>
  <c r="L1301" i="12"/>
  <c r="M1301" i="12"/>
  <c r="N1301" i="12"/>
  <c r="O1301" i="12"/>
  <c r="L1302" i="12"/>
  <c r="M1302" i="12"/>
  <c r="N1302" i="12"/>
  <c r="O1302" i="12"/>
  <c r="L1303" i="12"/>
  <c r="M1303" i="12"/>
  <c r="N1303" i="12"/>
  <c r="O1303" i="12"/>
  <c r="L1304" i="12"/>
  <c r="M1304" i="12"/>
  <c r="N1304" i="12"/>
  <c r="O1304" i="12"/>
  <c r="L1305" i="12"/>
  <c r="M1305" i="12"/>
  <c r="N1305" i="12"/>
  <c r="O1305" i="12"/>
  <c r="L1306" i="12"/>
  <c r="M1306" i="12"/>
  <c r="N1306" i="12"/>
  <c r="O1306" i="12"/>
  <c r="L1307" i="12"/>
  <c r="M1307" i="12"/>
  <c r="N1307" i="12"/>
  <c r="O1307" i="12"/>
  <c r="L1308" i="12"/>
  <c r="M1308" i="12"/>
  <c r="N1308" i="12"/>
  <c r="O1308" i="12"/>
  <c r="L1309" i="12"/>
  <c r="M1309" i="12"/>
  <c r="N1309" i="12"/>
  <c r="O1309" i="12"/>
  <c r="L1310" i="12"/>
  <c r="M1310" i="12"/>
  <c r="N1310" i="12"/>
  <c r="O1310" i="12"/>
  <c r="L1311" i="12"/>
  <c r="M1311" i="12"/>
  <c r="N1311" i="12"/>
  <c r="O1311" i="12"/>
  <c r="L1312" i="12"/>
  <c r="M1312" i="12"/>
  <c r="N1312" i="12"/>
  <c r="O1312" i="12"/>
  <c r="L1313" i="12"/>
  <c r="M1313" i="12"/>
  <c r="N1313" i="12"/>
  <c r="O1313" i="12"/>
  <c r="L1314" i="12"/>
  <c r="M1314" i="12"/>
  <c r="N1314" i="12"/>
  <c r="O1314" i="12"/>
  <c r="L1315" i="12"/>
  <c r="M1315" i="12"/>
  <c r="N1315" i="12"/>
  <c r="O1315" i="12"/>
  <c r="L1316" i="12"/>
  <c r="M1316" i="12"/>
  <c r="N1316" i="12"/>
  <c r="O1316" i="12"/>
  <c r="L1317" i="12"/>
  <c r="M1317" i="12"/>
  <c r="N1317" i="12"/>
  <c r="O1317" i="12"/>
  <c r="L1318" i="12"/>
  <c r="M1318" i="12"/>
  <c r="N1318" i="12"/>
  <c r="O1318" i="12"/>
  <c r="L1319" i="12"/>
  <c r="M1319" i="12"/>
  <c r="N1319" i="12"/>
  <c r="O1319" i="12"/>
  <c r="L1320" i="12"/>
  <c r="M1320" i="12"/>
  <c r="N1320" i="12"/>
  <c r="O1320" i="12"/>
  <c r="L1321" i="12"/>
  <c r="M1321" i="12"/>
  <c r="N1321" i="12"/>
  <c r="O1321" i="12"/>
  <c r="L1322" i="12"/>
  <c r="M1322" i="12"/>
  <c r="N1322" i="12"/>
  <c r="O1322" i="12"/>
  <c r="L1323" i="12"/>
  <c r="M1323" i="12"/>
  <c r="N1323" i="12"/>
  <c r="O1323" i="12"/>
  <c r="L1324" i="12"/>
  <c r="M1324" i="12"/>
  <c r="N1324" i="12"/>
  <c r="O1324" i="12"/>
  <c r="L1325" i="12"/>
  <c r="M1325" i="12"/>
  <c r="N1325" i="12"/>
  <c r="O1325" i="12"/>
  <c r="L1326" i="12"/>
  <c r="M1326" i="12"/>
  <c r="N1326" i="12"/>
  <c r="O1326" i="12"/>
  <c r="L1327" i="12"/>
  <c r="M1327" i="12"/>
  <c r="N1327" i="12"/>
  <c r="O1327" i="12"/>
  <c r="L1328" i="12"/>
  <c r="M1328" i="12"/>
  <c r="N1328" i="12"/>
  <c r="O1328" i="12"/>
  <c r="L1329" i="12"/>
  <c r="M1329" i="12"/>
  <c r="N1329" i="12"/>
  <c r="O1329" i="12"/>
  <c r="L1330" i="12"/>
  <c r="M1330" i="12"/>
  <c r="N1330" i="12"/>
  <c r="O1330" i="12"/>
  <c r="L1331" i="12"/>
  <c r="M1331" i="12"/>
  <c r="N1331" i="12"/>
  <c r="O1331" i="12"/>
  <c r="L1332" i="12"/>
  <c r="M1332" i="12"/>
  <c r="N1332" i="12"/>
  <c r="O1332" i="12"/>
  <c r="L1333" i="12"/>
  <c r="M1333" i="12"/>
  <c r="N1333" i="12"/>
  <c r="O1333" i="12"/>
  <c r="L1334" i="12"/>
  <c r="M1334" i="12"/>
  <c r="N1334" i="12"/>
  <c r="O1334" i="12"/>
  <c r="L1335" i="12"/>
  <c r="M1335" i="12"/>
  <c r="N1335" i="12"/>
  <c r="O1335" i="12"/>
  <c r="L1336" i="12"/>
  <c r="M1336" i="12"/>
  <c r="N1336" i="12"/>
  <c r="O1336" i="12"/>
  <c r="L1337" i="12"/>
  <c r="M1337" i="12"/>
  <c r="N1337" i="12"/>
  <c r="O1337" i="12"/>
  <c r="L1338" i="12"/>
  <c r="M1338" i="12"/>
  <c r="N1338" i="12"/>
  <c r="O1338" i="12"/>
  <c r="L1339" i="12"/>
  <c r="M1339" i="12"/>
  <c r="N1339" i="12"/>
  <c r="O1339" i="12"/>
  <c r="L1340" i="12"/>
  <c r="M1340" i="12"/>
  <c r="N1340" i="12"/>
  <c r="O1340" i="12"/>
  <c r="L1341" i="12"/>
  <c r="M1341" i="12"/>
  <c r="N1341" i="12"/>
  <c r="O1341" i="12"/>
  <c r="L1342" i="12"/>
  <c r="M1342" i="12"/>
  <c r="N1342" i="12"/>
  <c r="O1342" i="12"/>
  <c r="L1343" i="12"/>
  <c r="M1343" i="12"/>
  <c r="N1343" i="12"/>
  <c r="O1343" i="12"/>
  <c r="L1344" i="12"/>
  <c r="M1344" i="12"/>
  <c r="N1344" i="12"/>
  <c r="O1344" i="12"/>
  <c r="L1345" i="12"/>
  <c r="M1345" i="12"/>
  <c r="N1345" i="12"/>
  <c r="O1345" i="12"/>
  <c r="L1346" i="12"/>
  <c r="M1346" i="12"/>
  <c r="N1346" i="12"/>
  <c r="O1346" i="12"/>
  <c r="L1347" i="12"/>
  <c r="M1347" i="12"/>
  <c r="N1347" i="12"/>
  <c r="O1347" i="12"/>
  <c r="L1348" i="12"/>
  <c r="M1348" i="12"/>
  <c r="N1348" i="12"/>
  <c r="O1348" i="12"/>
  <c r="L1349" i="12"/>
  <c r="M1349" i="12"/>
  <c r="N1349" i="12"/>
  <c r="O1349" i="12"/>
  <c r="L1350" i="12"/>
  <c r="M1350" i="12"/>
  <c r="N1350" i="12"/>
  <c r="O1350" i="12"/>
  <c r="L1351" i="12"/>
  <c r="M1351" i="12"/>
  <c r="N1351" i="12"/>
  <c r="O1351" i="12"/>
  <c r="L1352" i="12"/>
  <c r="M1352" i="12"/>
  <c r="N1352" i="12"/>
  <c r="O1352" i="12"/>
  <c r="L1353" i="12"/>
  <c r="M1353" i="12"/>
  <c r="N1353" i="12"/>
  <c r="O1353" i="12"/>
  <c r="L1354" i="12"/>
  <c r="M1354" i="12"/>
  <c r="N1354" i="12"/>
  <c r="O1354" i="12"/>
  <c r="L1355" i="12"/>
  <c r="M1355" i="12"/>
  <c r="N1355" i="12"/>
  <c r="O1355" i="12"/>
  <c r="L1356" i="12"/>
  <c r="M1356" i="12"/>
  <c r="N1356" i="12"/>
  <c r="O1356" i="12"/>
  <c r="L1357" i="12"/>
  <c r="M1357" i="12"/>
  <c r="N1357" i="12"/>
  <c r="O1357" i="12"/>
  <c r="L1358" i="12"/>
  <c r="M1358" i="12"/>
  <c r="N1358" i="12"/>
  <c r="O1358" i="12"/>
  <c r="L1359" i="12"/>
  <c r="M1359" i="12"/>
  <c r="N1359" i="12"/>
  <c r="O1359" i="12"/>
  <c r="L1360" i="12"/>
  <c r="M1360" i="12"/>
  <c r="N1360" i="12"/>
  <c r="O1360" i="12"/>
  <c r="L1361" i="12"/>
  <c r="M1361" i="12"/>
  <c r="N1361" i="12"/>
  <c r="O1361" i="12"/>
  <c r="L1362" i="12"/>
  <c r="M1362" i="12"/>
  <c r="N1362" i="12"/>
  <c r="O1362" i="12"/>
  <c r="L1363" i="12"/>
  <c r="M1363" i="12"/>
  <c r="N1363" i="12"/>
  <c r="O1363" i="12"/>
  <c r="L1364" i="12"/>
  <c r="M1364" i="12"/>
  <c r="N1364" i="12"/>
  <c r="O1364" i="12"/>
  <c r="L1365" i="12"/>
  <c r="M1365" i="12"/>
  <c r="N1365" i="12"/>
  <c r="O1365" i="12"/>
  <c r="L1366" i="12"/>
  <c r="M1366" i="12"/>
  <c r="N1366" i="12"/>
  <c r="O1366" i="12"/>
  <c r="L1367" i="12"/>
  <c r="M1367" i="12"/>
  <c r="N1367" i="12"/>
  <c r="O1367" i="12"/>
  <c r="L1368" i="12"/>
  <c r="M1368" i="12"/>
  <c r="N1368" i="12"/>
  <c r="O1368" i="12"/>
  <c r="L1369" i="12"/>
  <c r="M1369" i="12"/>
  <c r="N1369" i="12"/>
  <c r="O1369" i="12"/>
  <c r="L1370" i="12"/>
  <c r="M1370" i="12"/>
  <c r="N1370" i="12"/>
  <c r="O1370" i="12"/>
  <c r="L1371" i="12"/>
  <c r="M1371" i="12"/>
  <c r="N1371" i="12"/>
  <c r="O1371" i="12"/>
  <c r="L1372" i="12"/>
  <c r="M1372" i="12"/>
  <c r="N1372" i="12"/>
  <c r="O1372" i="12"/>
  <c r="L1373" i="12"/>
  <c r="M1373" i="12"/>
  <c r="N1373" i="12"/>
  <c r="O1373" i="12"/>
  <c r="L1374" i="12"/>
  <c r="M1374" i="12"/>
  <c r="N1374" i="12"/>
  <c r="O1374" i="12"/>
  <c r="L1375" i="12"/>
  <c r="M1375" i="12"/>
  <c r="N1375" i="12"/>
  <c r="O1375" i="12"/>
  <c r="L1376" i="12"/>
  <c r="M1376" i="12"/>
  <c r="N1376" i="12"/>
  <c r="O1376" i="12"/>
  <c r="L1377" i="12"/>
  <c r="M1377" i="12"/>
  <c r="N1377" i="12"/>
  <c r="O1377" i="12"/>
  <c r="L1378" i="12"/>
  <c r="M1378" i="12"/>
  <c r="N1378" i="12"/>
  <c r="O1378" i="12"/>
  <c r="L1379" i="12"/>
  <c r="M1379" i="12"/>
  <c r="N1379" i="12"/>
  <c r="O1379" i="12"/>
  <c r="L1380" i="12"/>
  <c r="M1380" i="12"/>
  <c r="N1380" i="12"/>
  <c r="O1380" i="12"/>
  <c r="L1381" i="12"/>
  <c r="M1381" i="12"/>
  <c r="N1381" i="12"/>
  <c r="O1381" i="12"/>
  <c r="L1382" i="12"/>
  <c r="M1382" i="12"/>
  <c r="N1382" i="12"/>
  <c r="O1382" i="12"/>
  <c r="L1383" i="12"/>
  <c r="M1383" i="12"/>
  <c r="N1383" i="12"/>
  <c r="O1383" i="12"/>
  <c r="L1384" i="12"/>
  <c r="M1384" i="12"/>
  <c r="N1384" i="12"/>
  <c r="O1384" i="12"/>
  <c r="L1385" i="12"/>
  <c r="M1385" i="12"/>
  <c r="N1385" i="12"/>
  <c r="O1385" i="12"/>
  <c r="L1386" i="12"/>
  <c r="M1386" i="12"/>
  <c r="N1386" i="12"/>
  <c r="O1386" i="12"/>
  <c r="L1387" i="12"/>
  <c r="M1387" i="12"/>
  <c r="N1387" i="12"/>
  <c r="O1387" i="12"/>
  <c r="L1388" i="12"/>
  <c r="M1388" i="12"/>
  <c r="N1388" i="12"/>
  <c r="O1388" i="12"/>
  <c r="L1389" i="12"/>
  <c r="M1389" i="12"/>
  <c r="N1389" i="12"/>
  <c r="O1389" i="12"/>
  <c r="L1390" i="12"/>
  <c r="M1390" i="12"/>
  <c r="N1390" i="12"/>
  <c r="O1390" i="12"/>
  <c r="L1391" i="12"/>
  <c r="M1391" i="12"/>
  <c r="N1391" i="12"/>
  <c r="O1391" i="12"/>
  <c r="L1392" i="12"/>
  <c r="M1392" i="12"/>
  <c r="N1392" i="12"/>
  <c r="O1392" i="12"/>
  <c r="L1393" i="12"/>
  <c r="M1393" i="12"/>
  <c r="N1393" i="12"/>
  <c r="O1393" i="12"/>
  <c r="L1394" i="12"/>
  <c r="M1394" i="12"/>
  <c r="N1394" i="12"/>
  <c r="O1394" i="12"/>
  <c r="L1395" i="12"/>
  <c r="M1395" i="12"/>
  <c r="N1395" i="12"/>
  <c r="O1395" i="12"/>
  <c r="L1396" i="12"/>
  <c r="M1396" i="12"/>
  <c r="N1396" i="12"/>
  <c r="O1396" i="12"/>
  <c r="L1397" i="12"/>
  <c r="M1397" i="12"/>
  <c r="N1397" i="12"/>
  <c r="O1397" i="12"/>
  <c r="L1398" i="12"/>
  <c r="M1398" i="12"/>
  <c r="N1398" i="12"/>
  <c r="O1398" i="12"/>
  <c r="L1399" i="12"/>
  <c r="M1399" i="12"/>
  <c r="N1399" i="12"/>
  <c r="O1399" i="12"/>
  <c r="L1400" i="12"/>
  <c r="M1400" i="12"/>
  <c r="N1400" i="12"/>
  <c r="O1400" i="12"/>
  <c r="L1401" i="12"/>
  <c r="M1401" i="12"/>
  <c r="N1401" i="12"/>
  <c r="O1401" i="12"/>
  <c r="L1402" i="12"/>
  <c r="M1402" i="12"/>
  <c r="N1402" i="12"/>
  <c r="O1402" i="12"/>
  <c r="L1403" i="12"/>
  <c r="M1403" i="12"/>
  <c r="N1403" i="12"/>
  <c r="O1403" i="12"/>
  <c r="L1404" i="12"/>
  <c r="M1404" i="12"/>
  <c r="N1404" i="12"/>
  <c r="O1404" i="12"/>
  <c r="L1405" i="12"/>
  <c r="M1405" i="12"/>
  <c r="N1405" i="12"/>
  <c r="O1405" i="12"/>
  <c r="L1406" i="12"/>
  <c r="M1406" i="12"/>
  <c r="N1406" i="12"/>
  <c r="O1406" i="12"/>
  <c r="L1407" i="12"/>
  <c r="M1407" i="12"/>
  <c r="N1407" i="12"/>
  <c r="O1407" i="12"/>
  <c r="L1408" i="12"/>
  <c r="M1408" i="12"/>
  <c r="N1408" i="12"/>
  <c r="O1408" i="12"/>
  <c r="L1409" i="12"/>
  <c r="M1409" i="12"/>
  <c r="N1409" i="12"/>
  <c r="O1409" i="12"/>
  <c r="L1410" i="12"/>
  <c r="M1410" i="12"/>
  <c r="N1410" i="12"/>
  <c r="O1410" i="12"/>
  <c r="L1411" i="12"/>
  <c r="M1411" i="12"/>
  <c r="N1411" i="12"/>
  <c r="O1411" i="12"/>
  <c r="L1412" i="12"/>
  <c r="M1412" i="12"/>
  <c r="N1412" i="12"/>
  <c r="O1412" i="12"/>
  <c r="L1413" i="12"/>
  <c r="M1413" i="12"/>
  <c r="N1413" i="12"/>
  <c r="O1413" i="12"/>
  <c r="L1414" i="12"/>
  <c r="M1414" i="12"/>
  <c r="N1414" i="12"/>
  <c r="O1414" i="12"/>
  <c r="L1415" i="12"/>
  <c r="M1415" i="12"/>
  <c r="N1415" i="12"/>
  <c r="O1415" i="12"/>
  <c r="L1416" i="12"/>
  <c r="M1416" i="12"/>
  <c r="N1416" i="12"/>
  <c r="O1416" i="12"/>
  <c r="L1417" i="12"/>
  <c r="M1417" i="12"/>
  <c r="N1417" i="12"/>
  <c r="O1417" i="12"/>
  <c r="L1418" i="12"/>
  <c r="M1418" i="12"/>
  <c r="N1418" i="12"/>
  <c r="O1418" i="12"/>
  <c r="L1419" i="12"/>
  <c r="M1419" i="12"/>
  <c r="N1419" i="12"/>
  <c r="O1419" i="12"/>
  <c r="L1420" i="12"/>
  <c r="M1420" i="12"/>
  <c r="N1420" i="12"/>
  <c r="O1420" i="12"/>
  <c r="L1421" i="12"/>
  <c r="M1421" i="12"/>
  <c r="N1421" i="12"/>
  <c r="O1421" i="12"/>
  <c r="L1422" i="12"/>
  <c r="M1422" i="12"/>
  <c r="N1422" i="12"/>
  <c r="O1422" i="12"/>
  <c r="L1423" i="12"/>
  <c r="M1423" i="12"/>
  <c r="N1423" i="12"/>
  <c r="O1423" i="12"/>
  <c r="L1424" i="12"/>
  <c r="M1424" i="12"/>
  <c r="N1424" i="12"/>
  <c r="O1424" i="12"/>
  <c r="L1425" i="12"/>
  <c r="M1425" i="12"/>
  <c r="N1425" i="12"/>
  <c r="O1425" i="12"/>
  <c r="L1426" i="12"/>
  <c r="M1426" i="12"/>
  <c r="N1426" i="12"/>
  <c r="O1426" i="12"/>
  <c r="L1427" i="12"/>
  <c r="M1427" i="12"/>
  <c r="N1427" i="12"/>
  <c r="O1427" i="12"/>
  <c r="L1428" i="12"/>
  <c r="M1428" i="12"/>
  <c r="N1428" i="12"/>
  <c r="O1428" i="12"/>
  <c r="L1429" i="12"/>
  <c r="M1429" i="12"/>
  <c r="N1429" i="12"/>
  <c r="O1429" i="12"/>
  <c r="L1430" i="12"/>
  <c r="M1430" i="12"/>
  <c r="N1430" i="12"/>
  <c r="O1430" i="12"/>
  <c r="L1431" i="12"/>
  <c r="M1431" i="12"/>
  <c r="N1431" i="12"/>
  <c r="O1431" i="12"/>
  <c r="L1432" i="12"/>
  <c r="M1432" i="12"/>
  <c r="N1432" i="12"/>
  <c r="O1432" i="12"/>
  <c r="L1433" i="12"/>
  <c r="M1433" i="12"/>
  <c r="N1433" i="12"/>
  <c r="O1433" i="12"/>
  <c r="L1434" i="12"/>
  <c r="M1434" i="12"/>
  <c r="N1434" i="12"/>
  <c r="O1434" i="12"/>
  <c r="L1435" i="12"/>
  <c r="M1435" i="12"/>
  <c r="N1435" i="12"/>
  <c r="O1435" i="12"/>
  <c r="L1436" i="12"/>
  <c r="M1436" i="12"/>
  <c r="N1436" i="12"/>
  <c r="O1436" i="12"/>
  <c r="L1437" i="12"/>
  <c r="M1437" i="12"/>
  <c r="N1437" i="12"/>
  <c r="O1437" i="12"/>
  <c r="L1438" i="12"/>
  <c r="M1438" i="12"/>
  <c r="N1438" i="12"/>
  <c r="O1438" i="12"/>
  <c r="L1439" i="12"/>
  <c r="M1439" i="12"/>
  <c r="N1439" i="12"/>
  <c r="O1439" i="12"/>
  <c r="L1440" i="12"/>
  <c r="M1440" i="12"/>
  <c r="N1440" i="12"/>
  <c r="O1440" i="12"/>
  <c r="L1441" i="12"/>
  <c r="M1441" i="12"/>
  <c r="N1441" i="12"/>
  <c r="O1441" i="12"/>
  <c r="L1442" i="12"/>
  <c r="M1442" i="12"/>
  <c r="N1442" i="12"/>
  <c r="O1442" i="12"/>
  <c r="L1443" i="12"/>
  <c r="M1443" i="12"/>
  <c r="N1443" i="12"/>
  <c r="O1443" i="12"/>
  <c r="L1444" i="12"/>
  <c r="M1444" i="12"/>
  <c r="N1444" i="12"/>
  <c r="O1444" i="12"/>
  <c r="L1445" i="12"/>
  <c r="M1445" i="12"/>
  <c r="N1445" i="12"/>
  <c r="O1445" i="12"/>
  <c r="L1446" i="12"/>
  <c r="M1446" i="12"/>
  <c r="N1446" i="12"/>
  <c r="O1446" i="12"/>
  <c r="L1447" i="12"/>
  <c r="M1447" i="12"/>
  <c r="N1447" i="12"/>
  <c r="O1447" i="12"/>
  <c r="L1448" i="12"/>
  <c r="M1448" i="12"/>
  <c r="N1448" i="12"/>
  <c r="O1448" i="12"/>
  <c r="L1449" i="12"/>
  <c r="M1449" i="12"/>
  <c r="N1449" i="12"/>
  <c r="O1449" i="12"/>
  <c r="L1450" i="12"/>
  <c r="M1450" i="12"/>
  <c r="N1450" i="12"/>
  <c r="O1450" i="12"/>
  <c r="L1451" i="12"/>
  <c r="M1451" i="12"/>
  <c r="N1451" i="12"/>
  <c r="O1451" i="12"/>
  <c r="L1452" i="12"/>
  <c r="M1452" i="12"/>
  <c r="N1452" i="12"/>
  <c r="O1452" i="12"/>
  <c r="L1453" i="12"/>
  <c r="M1453" i="12"/>
  <c r="N1453" i="12"/>
  <c r="O1453" i="12"/>
  <c r="L1454" i="12"/>
  <c r="M1454" i="12"/>
  <c r="N1454" i="12"/>
  <c r="O1454" i="12"/>
  <c r="L1455" i="12"/>
  <c r="M1455" i="12"/>
  <c r="N1455" i="12"/>
  <c r="O1455" i="12"/>
  <c r="L1456" i="12"/>
  <c r="M1456" i="12"/>
  <c r="N1456" i="12"/>
  <c r="O1456" i="12"/>
  <c r="L1457" i="12"/>
  <c r="M1457" i="12"/>
  <c r="N1457" i="12"/>
  <c r="O1457" i="12"/>
  <c r="L1458" i="12"/>
  <c r="M1458" i="12"/>
  <c r="N1458" i="12"/>
  <c r="O1458" i="12"/>
  <c r="L1459" i="12"/>
  <c r="M1459" i="12"/>
  <c r="N1459" i="12"/>
  <c r="O1459" i="12"/>
  <c r="L1460" i="12"/>
  <c r="M1460" i="12"/>
  <c r="N1460" i="12"/>
  <c r="O1460" i="12"/>
  <c r="L1461" i="12"/>
  <c r="M1461" i="12"/>
  <c r="N1461" i="12"/>
  <c r="O1461" i="12"/>
  <c r="L1462" i="12"/>
  <c r="M1462" i="12"/>
  <c r="N1462" i="12"/>
  <c r="O1462" i="12"/>
  <c r="L1463" i="12"/>
  <c r="M1463" i="12"/>
  <c r="N1463" i="12"/>
  <c r="O1463" i="12"/>
  <c r="L1464" i="12"/>
  <c r="M1464" i="12"/>
  <c r="N1464" i="12"/>
  <c r="O1464" i="12"/>
  <c r="L1465" i="12"/>
  <c r="M1465" i="12"/>
  <c r="N1465" i="12"/>
  <c r="O1465" i="12"/>
  <c r="L1466" i="12"/>
  <c r="M1466" i="12"/>
  <c r="N1466" i="12"/>
  <c r="O1466" i="12"/>
  <c r="L1467" i="12"/>
  <c r="M1467" i="12"/>
  <c r="N1467" i="12"/>
  <c r="O1467" i="12"/>
  <c r="L1468" i="12"/>
  <c r="M1468" i="12"/>
  <c r="N1468" i="12"/>
  <c r="O1468" i="12"/>
  <c r="L1469" i="12"/>
  <c r="M1469" i="12"/>
  <c r="N1469" i="12"/>
  <c r="O1469" i="12"/>
  <c r="L1470" i="12"/>
  <c r="M1470" i="12"/>
  <c r="N1470" i="12"/>
  <c r="O1470" i="12"/>
  <c r="L1471" i="12"/>
  <c r="M1471" i="12"/>
  <c r="N1471" i="12"/>
  <c r="O1471" i="12"/>
  <c r="L1472" i="12"/>
  <c r="M1472" i="12"/>
  <c r="N1472" i="12"/>
  <c r="O1472" i="12"/>
  <c r="L1473" i="12"/>
  <c r="M1473" i="12"/>
  <c r="N1473" i="12"/>
  <c r="O1473" i="12"/>
  <c r="L1474" i="12"/>
  <c r="M1474" i="12"/>
  <c r="N1474" i="12"/>
  <c r="O1474" i="12"/>
  <c r="L1475" i="12"/>
  <c r="M1475" i="12"/>
  <c r="N1475" i="12"/>
  <c r="O1475" i="12"/>
  <c r="L1476" i="12"/>
  <c r="M1476" i="12"/>
  <c r="N1476" i="12"/>
  <c r="O1476" i="12"/>
  <c r="L1477" i="12"/>
  <c r="M1477" i="12"/>
  <c r="N1477" i="12"/>
  <c r="O1477" i="12"/>
  <c r="L1478" i="12"/>
  <c r="M1478" i="12"/>
  <c r="N1478" i="12"/>
  <c r="O1478" i="12"/>
  <c r="L1479" i="12"/>
  <c r="M1479" i="12"/>
  <c r="N1479" i="12"/>
  <c r="O1479" i="12"/>
  <c r="L1480" i="12"/>
  <c r="M1480" i="12"/>
  <c r="N1480" i="12"/>
  <c r="O1480" i="12"/>
  <c r="L1481" i="12"/>
  <c r="M1481" i="12"/>
  <c r="N1481" i="12"/>
  <c r="O1481" i="12"/>
  <c r="L1482" i="12"/>
  <c r="M1482" i="12"/>
  <c r="N1482" i="12"/>
  <c r="O1482" i="12"/>
  <c r="L1483" i="12"/>
  <c r="M1483" i="12"/>
  <c r="N1483" i="12"/>
  <c r="O1483" i="12"/>
  <c r="L1484" i="12"/>
  <c r="M1484" i="12"/>
  <c r="N1484" i="12"/>
  <c r="O1484" i="12"/>
  <c r="L1485" i="12"/>
  <c r="M1485" i="12"/>
  <c r="N1485" i="12"/>
  <c r="O1485" i="12"/>
  <c r="L1486" i="12"/>
  <c r="M1486" i="12"/>
  <c r="N1486" i="12"/>
  <c r="O1486" i="12"/>
  <c r="L1487" i="12"/>
  <c r="M1487" i="12"/>
  <c r="N1487" i="12"/>
  <c r="O1487" i="12"/>
  <c r="L1488" i="12"/>
  <c r="M1488" i="12"/>
  <c r="N1488" i="12"/>
  <c r="O1488" i="12"/>
  <c r="L1489" i="12"/>
  <c r="M1489" i="12"/>
  <c r="N1489" i="12"/>
  <c r="O1489" i="12"/>
  <c r="L1490" i="12"/>
  <c r="M1490" i="12"/>
  <c r="N1490" i="12"/>
  <c r="O1490" i="12"/>
  <c r="L1491" i="12"/>
  <c r="M1491" i="12"/>
  <c r="N1491" i="12"/>
  <c r="O1491" i="12"/>
  <c r="L1492" i="12"/>
  <c r="M1492" i="12"/>
  <c r="N1492" i="12"/>
  <c r="O1492" i="12"/>
  <c r="L1493" i="12"/>
  <c r="M1493" i="12"/>
  <c r="N1493" i="12"/>
  <c r="O1493" i="12"/>
  <c r="L1494" i="12"/>
  <c r="M1494" i="12"/>
  <c r="N1494" i="12"/>
  <c r="O1494" i="12"/>
  <c r="L1495" i="12"/>
  <c r="M1495" i="12"/>
  <c r="N1495" i="12"/>
  <c r="O1495" i="12"/>
  <c r="L1496" i="12"/>
  <c r="M1496" i="12"/>
  <c r="N1496" i="12"/>
  <c r="O1496" i="12"/>
  <c r="L1497" i="12"/>
  <c r="M1497" i="12"/>
  <c r="N1497" i="12"/>
  <c r="O1497" i="12"/>
  <c r="L1498" i="12"/>
  <c r="M1498" i="12"/>
  <c r="N1498" i="12"/>
  <c r="O1498" i="12"/>
  <c r="L1499" i="12"/>
  <c r="M1499" i="12"/>
  <c r="N1499" i="12"/>
  <c r="O1499" i="12"/>
  <c r="L1500" i="12"/>
  <c r="M1500" i="12"/>
  <c r="N1500" i="12"/>
  <c r="O1500" i="12"/>
  <c r="L1501" i="12"/>
  <c r="M1501" i="12"/>
  <c r="N1501" i="12"/>
  <c r="O1501" i="12"/>
  <c r="L1502" i="12"/>
  <c r="M1502" i="12"/>
  <c r="N1502" i="12"/>
  <c r="O1502" i="12"/>
  <c r="L1503" i="12"/>
  <c r="M1503" i="12"/>
  <c r="N1503" i="12"/>
  <c r="O1503" i="12"/>
  <c r="L1504" i="12"/>
  <c r="M1504" i="12"/>
  <c r="N1504" i="12"/>
  <c r="O1504" i="12"/>
  <c r="L1505" i="12"/>
  <c r="M1505" i="12"/>
  <c r="N1505" i="12"/>
  <c r="O1505" i="12"/>
  <c r="L1506" i="12"/>
  <c r="M1506" i="12"/>
  <c r="N1506" i="12"/>
  <c r="O1506" i="12"/>
  <c r="L1507" i="12"/>
  <c r="M1507" i="12"/>
  <c r="N1507" i="12"/>
  <c r="O1507" i="12"/>
  <c r="L1508" i="12"/>
  <c r="M1508" i="12"/>
  <c r="N1508" i="12"/>
  <c r="O1508" i="12"/>
  <c r="L1509" i="12"/>
  <c r="M1509" i="12"/>
  <c r="N1509" i="12"/>
  <c r="O1509" i="12"/>
  <c r="L1510" i="12"/>
  <c r="M1510" i="12"/>
  <c r="N1510" i="12"/>
  <c r="O1510" i="12"/>
  <c r="L1511" i="12"/>
  <c r="M1511" i="12"/>
  <c r="N1511" i="12"/>
  <c r="O1511" i="12"/>
  <c r="L1512" i="12"/>
  <c r="M1512" i="12"/>
  <c r="N1512" i="12"/>
  <c r="O1512" i="12"/>
  <c r="L1513" i="12"/>
  <c r="M1513" i="12"/>
  <c r="N1513" i="12"/>
  <c r="O1513" i="12"/>
  <c r="L1514" i="12"/>
  <c r="M1514" i="12"/>
  <c r="N1514" i="12"/>
  <c r="O1514" i="12"/>
  <c r="L1515" i="12"/>
  <c r="M1515" i="12"/>
  <c r="N1515" i="12"/>
  <c r="O1515" i="12"/>
  <c r="L1516" i="12"/>
  <c r="M1516" i="12"/>
  <c r="N1516" i="12"/>
  <c r="O1516" i="12"/>
  <c r="L1517" i="12"/>
  <c r="M1517" i="12"/>
  <c r="N1517" i="12"/>
  <c r="O1517" i="12"/>
  <c r="L1518" i="12"/>
  <c r="M1518" i="12"/>
  <c r="N1518" i="12"/>
  <c r="O1518" i="12"/>
  <c r="L1519" i="12"/>
  <c r="M1519" i="12"/>
  <c r="N1519" i="12"/>
  <c r="O1519" i="12"/>
  <c r="L1520" i="12"/>
  <c r="M1520" i="12"/>
  <c r="N1520" i="12"/>
  <c r="O1520" i="12"/>
  <c r="L1521" i="12"/>
  <c r="M1521" i="12"/>
  <c r="N1521" i="12"/>
  <c r="O1521" i="12"/>
  <c r="L1522" i="12"/>
  <c r="M1522" i="12"/>
  <c r="N1522" i="12"/>
  <c r="O1522" i="12"/>
  <c r="L1523" i="12"/>
  <c r="M1523" i="12"/>
  <c r="N1523" i="12"/>
  <c r="O1523" i="12"/>
  <c r="L1524" i="12"/>
  <c r="M1524" i="12"/>
  <c r="N1524" i="12"/>
  <c r="O1524" i="12"/>
  <c r="L1525" i="12"/>
  <c r="M1525" i="12"/>
  <c r="N1525" i="12"/>
  <c r="O1525" i="12"/>
  <c r="L1526" i="12"/>
  <c r="M1526" i="12"/>
  <c r="N1526" i="12"/>
  <c r="O1526" i="12"/>
  <c r="L1527" i="12"/>
  <c r="M1527" i="12"/>
  <c r="N1527" i="12"/>
  <c r="O1527" i="12"/>
  <c r="L1528" i="12"/>
  <c r="M1528" i="12"/>
  <c r="N1528" i="12"/>
  <c r="O1528" i="12"/>
  <c r="L1529" i="12"/>
  <c r="M1529" i="12"/>
  <c r="N1529" i="12"/>
  <c r="O1529" i="12"/>
  <c r="L1530" i="12"/>
  <c r="M1530" i="12"/>
  <c r="N1530" i="12"/>
  <c r="O1530" i="12"/>
  <c r="L1531" i="12"/>
  <c r="M1531" i="12"/>
  <c r="N1531" i="12"/>
  <c r="O1531" i="12"/>
  <c r="L1532" i="12"/>
  <c r="M1532" i="12"/>
  <c r="N1532" i="12"/>
  <c r="O1532" i="12"/>
  <c r="L1533" i="12"/>
  <c r="M1533" i="12"/>
  <c r="N1533" i="12"/>
  <c r="O1533" i="12"/>
  <c r="L1534" i="12"/>
  <c r="M1534" i="12"/>
  <c r="N1534" i="12"/>
  <c r="O1534" i="12"/>
  <c r="L1535" i="12"/>
  <c r="M1535" i="12"/>
  <c r="N1535" i="12"/>
  <c r="O1535" i="12"/>
  <c r="L1536" i="12"/>
  <c r="M1536" i="12"/>
  <c r="N1536" i="12"/>
  <c r="O1536" i="12"/>
  <c r="L1537" i="12"/>
  <c r="M1537" i="12"/>
  <c r="N1537" i="12"/>
  <c r="O1537" i="12"/>
  <c r="L1538" i="12"/>
  <c r="M1538" i="12"/>
  <c r="N1538" i="12"/>
  <c r="O1538" i="12"/>
  <c r="L1539" i="12"/>
  <c r="M1539" i="12"/>
  <c r="N1539" i="12"/>
  <c r="O1539" i="12"/>
  <c r="L1540" i="12"/>
  <c r="M1540" i="12"/>
  <c r="N1540" i="12"/>
  <c r="O1540" i="12"/>
  <c r="L1541" i="12"/>
  <c r="M1541" i="12"/>
  <c r="N1541" i="12"/>
  <c r="O1541" i="12"/>
  <c r="L1542" i="12"/>
  <c r="M1542" i="12"/>
  <c r="N1542" i="12"/>
  <c r="O1542" i="12"/>
  <c r="L1543" i="12"/>
  <c r="M1543" i="12"/>
  <c r="N1543" i="12"/>
  <c r="O1543" i="12"/>
  <c r="L1544" i="12"/>
  <c r="M1544" i="12"/>
  <c r="N1544" i="12"/>
  <c r="O1544" i="12"/>
  <c r="L1545" i="12"/>
  <c r="M1545" i="12"/>
  <c r="N1545" i="12"/>
  <c r="O1545" i="12"/>
  <c r="L1546" i="12"/>
  <c r="M1546" i="12"/>
  <c r="N1546" i="12"/>
  <c r="O1546" i="12"/>
  <c r="L1547" i="12"/>
  <c r="M1547" i="12"/>
  <c r="N1547" i="12"/>
  <c r="O1547" i="12"/>
  <c r="L1548" i="12"/>
  <c r="M1548" i="12"/>
  <c r="N1548" i="12"/>
  <c r="O1548" i="12"/>
  <c r="L1549" i="12"/>
  <c r="M1549" i="12"/>
  <c r="N1549" i="12"/>
  <c r="O1549" i="12"/>
  <c r="L1550" i="12"/>
  <c r="M1550" i="12"/>
  <c r="N1550" i="12"/>
  <c r="O1550" i="12"/>
  <c r="L1551" i="12"/>
  <c r="M1551" i="12"/>
  <c r="N1551" i="12"/>
  <c r="O1551" i="12"/>
  <c r="L1552" i="12"/>
  <c r="M1552" i="12"/>
  <c r="N1552" i="12"/>
  <c r="O1552" i="12"/>
  <c r="L1553" i="12"/>
  <c r="M1553" i="12"/>
  <c r="N1553" i="12"/>
  <c r="O1553" i="12"/>
  <c r="L1554" i="12"/>
  <c r="M1554" i="12"/>
  <c r="N1554" i="12"/>
  <c r="O1554" i="12"/>
  <c r="L1555" i="12"/>
  <c r="M1555" i="12"/>
  <c r="N1555" i="12"/>
  <c r="O1555" i="12"/>
  <c r="L1556" i="12"/>
  <c r="M1556" i="12"/>
  <c r="N1556" i="12"/>
  <c r="O1556" i="12"/>
  <c r="L1557" i="12"/>
  <c r="M1557" i="12"/>
  <c r="N1557" i="12"/>
  <c r="O1557" i="12"/>
  <c r="L1558" i="12"/>
  <c r="M1558" i="12"/>
  <c r="N1558" i="12"/>
  <c r="O1558" i="12"/>
  <c r="L1559" i="12"/>
  <c r="M1559" i="12"/>
  <c r="N1559" i="12"/>
  <c r="O1559" i="12"/>
  <c r="L1560" i="12"/>
  <c r="M1560" i="12"/>
  <c r="N1560" i="12"/>
  <c r="O1560" i="12"/>
  <c r="L1561" i="12"/>
  <c r="M1561" i="12"/>
  <c r="N1561" i="12"/>
  <c r="O1561" i="12"/>
  <c r="L1562" i="12"/>
  <c r="M1562" i="12"/>
  <c r="N1562" i="12"/>
  <c r="O1562" i="12"/>
  <c r="L1563" i="12"/>
  <c r="M1563" i="12"/>
  <c r="N1563" i="12"/>
  <c r="O1563" i="12"/>
  <c r="L1564" i="12"/>
  <c r="M1564" i="12"/>
  <c r="N1564" i="12"/>
  <c r="O1564" i="12"/>
  <c r="L1565" i="12"/>
  <c r="M1565" i="12"/>
  <c r="N1565" i="12"/>
  <c r="O1565" i="12"/>
  <c r="L1566" i="12"/>
  <c r="M1566" i="12"/>
  <c r="N1566" i="12"/>
  <c r="O1566" i="12"/>
  <c r="L1567" i="12"/>
  <c r="M1567" i="12"/>
  <c r="N1567" i="12"/>
  <c r="O1567" i="12"/>
  <c r="L1568" i="12"/>
  <c r="M1568" i="12"/>
  <c r="N1568" i="12"/>
  <c r="O1568" i="12"/>
  <c r="L1569" i="12"/>
  <c r="M1569" i="12"/>
  <c r="N1569" i="12"/>
  <c r="O1569" i="12"/>
  <c r="L1570" i="12"/>
  <c r="M1570" i="12"/>
  <c r="N1570" i="12"/>
  <c r="O1570" i="12"/>
  <c r="L1571" i="12"/>
  <c r="M1571" i="12"/>
  <c r="N1571" i="12"/>
  <c r="O1571" i="12"/>
  <c r="L1572" i="12"/>
  <c r="M1572" i="12"/>
  <c r="N1572" i="12"/>
  <c r="O1572" i="12"/>
  <c r="L1573" i="12"/>
  <c r="M1573" i="12"/>
  <c r="N1573" i="12"/>
  <c r="O1573" i="12"/>
  <c r="L1574" i="12"/>
  <c r="M1574" i="12"/>
  <c r="N1574" i="12"/>
  <c r="O1574" i="12"/>
  <c r="L1575" i="12"/>
  <c r="M1575" i="12"/>
  <c r="N1575" i="12"/>
  <c r="O1575" i="12"/>
  <c r="L1576" i="12"/>
  <c r="M1576" i="12"/>
  <c r="N1576" i="12"/>
  <c r="O1576" i="12"/>
  <c r="L1577" i="12"/>
  <c r="M1577" i="12"/>
  <c r="N1577" i="12"/>
  <c r="O1577" i="12"/>
  <c r="L1578" i="12"/>
  <c r="M1578" i="12"/>
  <c r="N1578" i="12"/>
  <c r="O1578" i="12"/>
  <c r="L1579" i="12"/>
  <c r="M1579" i="12"/>
  <c r="N1579" i="12"/>
  <c r="O1579" i="12"/>
  <c r="L1580" i="12"/>
  <c r="M1580" i="12"/>
  <c r="N1580" i="12"/>
  <c r="O1580" i="12"/>
  <c r="L1581" i="12"/>
  <c r="M1581" i="12"/>
  <c r="N1581" i="12"/>
  <c r="O1581" i="12"/>
  <c r="L1582" i="12"/>
  <c r="M1582" i="12"/>
  <c r="N1582" i="12"/>
  <c r="O1582" i="12"/>
  <c r="L1583" i="12"/>
  <c r="M1583" i="12"/>
  <c r="N1583" i="12"/>
  <c r="O1583" i="12"/>
  <c r="L1584" i="12"/>
  <c r="M1584" i="12"/>
  <c r="N1584" i="12"/>
  <c r="O1584" i="12"/>
  <c r="L1585" i="12"/>
  <c r="M1585" i="12"/>
  <c r="N1585" i="12"/>
  <c r="O1585" i="12"/>
  <c r="L1586" i="12"/>
  <c r="M1586" i="12"/>
  <c r="N1586" i="12"/>
  <c r="O1586" i="12"/>
  <c r="L1587" i="12"/>
  <c r="M1587" i="12"/>
  <c r="N1587" i="12"/>
  <c r="O1587" i="12"/>
  <c r="L1588" i="12"/>
  <c r="M1588" i="12"/>
  <c r="N1588" i="12"/>
  <c r="O1588" i="12"/>
  <c r="L1589" i="12"/>
  <c r="M1589" i="12"/>
  <c r="N1589" i="12"/>
  <c r="O1589" i="12"/>
  <c r="L1590" i="12"/>
  <c r="M1590" i="12"/>
  <c r="N1590" i="12"/>
  <c r="O1590" i="12"/>
  <c r="L1591" i="12"/>
  <c r="M1591" i="12"/>
  <c r="N1591" i="12"/>
  <c r="O1591" i="12"/>
  <c r="L1592" i="12"/>
  <c r="M1592" i="12"/>
  <c r="N1592" i="12"/>
  <c r="O1592" i="12"/>
  <c r="L1593" i="12"/>
  <c r="M1593" i="12"/>
  <c r="N1593" i="12"/>
  <c r="O1593" i="12"/>
  <c r="L1594" i="12"/>
  <c r="M1594" i="12"/>
  <c r="N1594" i="12"/>
  <c r="O1594" i="12"/>
  <c r="L1595" i="12"/>
  <c r="M1595" i="12"/>
  <c r="N1595" i="12"/>
  <c r="O1595" i="12"/>
  <c r="L1596" i="12"/>
  <c r="M1596" i="12"/>
  <c r="N1596" i="12"/>
  <c r="O1596" i="12"/>
  <c r="L1597" i="12"/>
  <c r="M1597" i="12"/>
  <c r="N1597" i="12"/>
  <c r="O1597" i="12"/>
  <c r="L1598" i="12"/>
  <c r="M1598" i="12"/>
  <c r="N1598" i="12"/>
  <c r="O1598" i="12"/>
  <c r="L1599" i="12"/>
  <c r="M1599" i="12"/>
  <c r="N1599" i="12"/>
  <c r="O1599" i="12"/>
  <c r="L1600" i="12"/>
  <c r="M1600" i="12"/>
  <c r="N1600" i="12"/>
  <c r="O1600" i="12"/>
  <c r="L1601" i="12"/>
  <c r="M1601" i="12"/>
  <c r="N1601" i="12"/>
  <c r="O1601" i="12"/>
  <c r="L1602" i="12"/>
  <c r="M1602" i="12"/>
  <c r="N1602" i="12"/>
  <c r="O1602" i="12"/>
  <c r="L1603" i="12"/>
  <c r="M1603" i="12"/>
  <c r="N1603" i="12"/>
  <c r="O1603" i="12"/>
  <c r="L1604" i="12"/>
  <c r="M1604" i="12"/>
  <c r="N1604" i="12"/>
  <c r="O1604" i="12"/>
  <c r="L1605" i="12"/>
  <c r="M1605" i="12"/>
  <c r="N1605" i="12"/>
  <c r="O1605" i="12"/>
  <c r="L1606" i="12"/>
  <c r="M1606" i="12"/>
  <c r="N1606" i="12"/>
  <c r="O1606" i="12"/>
  <c r="L1607" i="12"/>
  <c r="M1607" i="12"/>
  <c r="N1607" i="12"/>
  <c r="O1607" i="12"/>
  <c r="L1608" i="12"/>
  <c r="M1608" i="12"/>
  <c r="N1608" i="12"/>
  <c r="O1608" i="12"/>
  <c r="L1609" i="12"/>
  <c r="M1609" i="12"/>
  <c r="N1609" i="12"/>
  <c r="O1609" i="12"/>
  <c r="L1610" i="12"/>
  <c r="M1610" i="12"/>
  <c r="N1610" i="12"/>
  <c r="O1610" i="12"/>
  <c r="L1611" i="12"/>
  <c r="M1611" i="12"/>
  <c r="N1611" i="12"/>
  <c r="O1611" i="12"/>
  <c r="L1612" i="12"/>
  <c r="M1612" i="12"/>
  <c r="N1612" i="12"/>
  <c r="O1612" i="12"/>
  <c r="L1613" i="12"/>
  <c r="M1613" i="12"/>
  <c r="N1613" i="12"/>
  <c r="O1613" i="12"/>
  <c r="L1614" i="12"/>
  <c r="M1614" i="12"/>
  <c r="N1614" i="12"/>
  <c r="O1614" i="12"/>
  <c r="L1615" i="12"/>
  <c r="M1615" i="12"/>
  <c r="N1615" i="12"/>
  <c r="O1615" i="12"/>
  <c r="L1616" i="12"/>
  <c r="M1616" i="12"/>
  <c r="N1616" i="12"/>
  <c r="O1616" i="12"/>
  <c r="L1617" i="12"/>
  <c r="M1617" i="12"/>
  <c r="N1617" i="12"/>
  <c r="O1617" i="12"/>
  <c r="L1618" i="12"/>
  <c r="M1618" i="12"/>
  <c r="N1618" i="12"/>
  <c r="O1618" i="12"/>
  <c r="L1619" i="12"/>
  <c r="M1619" i="12"/>
  <c r="N1619" i="12"/>
  <c r="O1619" i="12"/>
  <c r="L1620" i="12"/>
  <c r="M1620" i="12"/>
  <c r="N1620" i="12"/>
  <c r="O1620" i="12"/>
  <c r="L1621" i="12"/>
  <c r="M1621" i="12"/>
  <c r="N1621" i="12"/>
  <c r="O1621" i="12"/>
  <c r="L1622" i="12"/>
  <c r="M1622" i="12"/>
  <c r="N1622" i="12"/>
  <c r="O1622" i="12"/>
  <c r="L1623" i="12"/>
  <c r="M1623" i="12"/>
  <c r="N1623" i="12"/>
  <c r="O1623" i="12"/>
  <c r="L1624" i="12"/>
  <c r="M1624" i="12"/>
  <c r="N1624" i="12"/>
  <c r="O1624" i="12"/>
  <c r="L1625" i="12"/>
  <c r="M1625" i="12"/>
  <c r="N1625" i="12"/>
  <c r="O1625" i="12"/>
  <c r="L1626" i="12"/>
  <c r="M1626" i="12"/>
  <c r="N1626" i="12"/>
  <c r="O1626" i="12"/>
  <c r="L1627" i="12"/>
  <c r="M1627" i="12"/>
  <c r="N1627" i="12"/>
  <c r="O1627" i="12"/>
  <c r="L1628" i="12"/>
  <c r="M1628" i="12"/>
  <c r="N1628" i="12"/>
  <c r="O1628" i="12"/>
  <c r="L1629" i="12"/>
  <c r="M1629" i="12"/>
  <c r="N1629" i="12"/>
  <c r="O1629" i="12"/>
  <c r="L1630" i="12"/>
  <c r="M1630" i="12"/>
  <c r="N1630" i="12"/>
  <c r="O1630" i="12"/>
  <c r="L1631" i="12"/>
  <c r="M1631" i="12"/>
  <c r="N1631" i="12"/>
  <c r="O1631" i="12"/>
  <c r="L1632" i="12"/>
  <c r="M1632" i="12"/>
  <c r="N1632" i="12"/>
  <c r="O1632" i="12"/>
  <c r="L1633" i="12"/>
  <c r="M1633" i="12"/>
  <c r="N1633" i="12"/>
  <c r="O1633" i="12"/>
  <c r="L1634" i="12"/>
  <c r="M1634" i="12"/>
  <c r="N1634" i="12"/>
  <c r="O1634" i="12"/>
  <c r="L1635" i="12"/>
  <c r="M1635" i="12"/>
  <c r="N1635" i="12"/>
  <c r="O1635" i="12"/>
  <c r="L1636" i="12"/>
  <c r="M1636" i="12"/>
  <c r="N1636" i="12"/>
  <c r="O1636" i="12"/>
  <c r="L1637" i="12"/>
  <c r="M1637" i="12"/>
  <c r="N1637" i="12"/>
  <c r="O1637" i="12"/>
  <c r="L1638" i="12"/>
  <c r="M1638" i="12"/>
  <c r="N1638" i="12"/>
  <c r="O1638" i="12"/>
  <c r="L1639" i="12"/>
  <c r="M1639" i="12"/>
  <c r="N1639" i="12"/>
  <c r="O1639" i="12"/>
  <c r="L1640" i="12"/>
  <c r="M1640" i="12"/>
  <c r="N1640" i="12"/>
  <c r="O1640" i="12"/>
  <c r="L1641" i="12"/>
  <c r="M1641" i="12"/>
  <c r="N1641" i="12"/>
  <c r="O1641" i="12"/>
  <c r="L1642" i="12"/>
  <c r="M1642" i="12"/>
  <c r="N1642" i="12"/>
  <c r="O1642" i="12"/>
  <c r="L1643" i="12"/>
  <c r="M1643" i="12"/>
  <c r="N1643" i="12"/>
  <c r="O1643" i="12"/>
  <c r="L1644" i="12"/>
  <c r="M1644" i="12"/>
  <c r="N1644" i="12"/>
  <c r="O1644" i="12"/>
  <c r="L1645" i="12"/>
  <c r="M1645" i="12"/>
  <c r="N1645" i="12"/>
  <c r="O1645" i="12"/>
  <c r="L1646" i="12"/>
  <c r="M1646" i="12"/>
  <c r="N1646" i="12"/>
  <c r="O1646" i="12"/>
  <c r="L1647" i="12"/>
  <c r="M1647" i="12"/>
  <c r="N1647" i="12"/>
  <c r="O1647" i="12"/>
  <c r="L1648" i="12"/>
  <c r="M1648" i="12"/>
  <c r="N1648" i="12"/>
  <c r="O1648" i="12"/>
  <c r="L1649" i="12"/>
  <c r="M1649" i="12"/>
  <c r="N1649" i="12"/>
  <c r="O1649" i="12"/>
  <c r="L1650" i="12"/>
  <c r="M1650" i="12"/>
  <c r="N1650" i="12"/>
  <c r="O1650" i="12"/>
  <c r="L1651" i="12"/>
  <c r="M1651" i="12"/>
  <c r="N1651" i="12"/>
  <c r="O1651" i="12"/>
  <c r="L1652" i="12"/>
  <c r="M1652" i="12"/>
  <c r="N1652" i="12"/>
  <c r="O1652" i="12"/>
  <c r="L1653" i="12"/>
  <c r="M1653" i="12"/>
  <c r="N1653" i="12"/>
  <c r="O1653" i="12"/>
  <c r="L1654" i="12"/>
  <c r="M1654" i="12"/>
  <c r="N1654" i="12"/>
  <c r="O1654" i="12"/>
  <c r="L1655" i="12"/>
  <c r="M1655" i="12"/>
  <c r="N1655" i="12"/>
  <c r="O1655" i="12"/>
  <c r="L1656" i="12"/>
  <c r="M1656" i="12"/>
  <c r="N1656" i="12"/>
  <c r="O1656" i="12"/>
  <c r="L1657" i="12"/>
  <c r="M1657" i="12"/>
  <c r="N1657" i="12"/>
  <c r="O1657" i="12"/>
  <c r="L1658" i="12"/>
  <c r="M1658" i="12"/>
  <c r="N1658" i="12"/>
  <c r="O1658" i="12"/>
  <c r="L1659" i="12"/>
  <c r="M1659" i="12"/>
  <c r="N1659" i="12"/>
  <c r="O1659" i="12"/>
  <c r="L1660" i="12"/>
  <c r="M1660" i="12"/>
  <c r="N1660" i="12"/>
  <c r="O1660" i="12"/>
  <c r="L1661" i="12"/>
  <c r="M1661" i="12"/>
  <c r="N1661" i="12"/>
  <c r="O1661" i="12"/>
  <c r="L1662" i="12"/>
  <c r="M1662" i="12"/>
  <c r="N1662" i="12"/>
  <c r="O1662" i="12"/>
  <c r="L1663" i="12"/>
  <c r="M1663" i="12"/>
  <c r="N1663" i="12"/>
  <c r="O1663" i="12"/>
  <c r="L1664" i="12"/>
  <c r="M1664" i="12"/>
  <c r="N1664" i="12"/>
  <c r="O1664" i="12"/>
  <c r="L1665" i="12"/>
  <c r="M1665" i="12"/>
  <c r="N1665" i="12"/>
  <c r="O1665" i="12"/>
  <c r="L1666" i="12"/>
  <c r="M1666" i="12"/>
  <c r="N1666" i="12"/>
  <c r="O1666" i="12"/>
  <c r="L1667" i="12"/>
  <c r="M1667" i="12"/>
  <c r="N1667" i="12"/>
  <c r="O1667" i="12"/>
  <c r="L1668" i="12"/>
  <c r="M1668" i="12"/>
  <c r="N1668" i="12"/>
  <c r="O1668" i="12"/>
  <c r="L1669" i="12"/>
  <c r="M1669" i="12"/>
  <c r="N1669" i="12"/>
  <c r="O1669" i="12"/>
  <c r="L1670" i="12"/>
  <c r="M1670" i="12"/>
  <c r="N1670" i="12"/>
  <c r="O1670" i="12"/>
  <c r="L1671" i="12"/>
  <c r="M1671" i="12"/>
  <c r="N1671" i="12"/>
  <c r="O1671" i="12"/>
  <c r="L1672" i="12"/>
  <c r="M1672" i="12"/>
  <c r="N1672" i="12"/>
  <c r="O1672" i="12"/>
  <c r="L1673" i="12"/>
  <c r="M1673" i="12"/>
  <c r="N1673" i="12"/>
  <c r="O1673" i="12"/>
  <c r="L1674" i="12"/>
  <c r="M1674" i="12"/>
  <c r="N1674" i="12"/>
  <c r="O1674" i="12"/>
  <c r="L1675" i="12"/>
  <c r="M1675" i="12"/>
  <c r="N1675" i="12"/>
  <c r="O1675" i="12"/>
  <c r="L1676" i="12"/>
  <c r="M1676" i="12"/>
  <c r="N1676" i="12"/>
  <c r="O1676" i="12"/>
  <c r="L1677" i="12"/>
  <c r="M1677" i="12"/>
  <c r="N1677" i="12"/>
  <c r="O1677" i="12"/>
  <c r="L1678" i="12"/>
  <c r="M1678" i="12"/>
  <c r="N1678" i="12"/>
  <c r="O1678" i="12"/>
  <c r="L1679" i="12"/>
  <c r="M1679" i="12"/>
  <c r="N1679" i="12"/>
  <c r="O1679" i="12"/>
  <c r="L1680" i="12"/>
  <c r="M1680" i="12"/>
  <c r="N1680" i="12"/>
  <c r="O1680" i="12"/>
  <c r="L1681" i="12"/>
  <c r="M1681" i="12"/>
  <c r="N1681" i="12"/>
  <c r="O1681" i="12"/>
  <c r="L1682" i="12"/>
  <c r="M1682" i="12"/>
  <c r="N1682" i="12"/>
  <c r="O1682" i="12"/>
  <c r="L1683" i="12"/>
  <c r="M1683" i="12"/>
  <c r="N1683" i="12"/>
  <c r="O1683" i="12"/>
  <c r="L1684" i="12"/>
  <c r="M1684" i="12"/>
  <c r="N1684" i="12"/>
  <c r="O1684" i="12"/>
  <c r="L1685" i="12"/>
  <c r="M1685" i="12"/>
  <c r="N1685" i="12"/>
  <c r="O1685" i="12"/>
  <c r="L1686" i="12"/>
  <c r="M1686" i="12"/>
  <c r="N1686" i="12"/>
  <c r="O1686" i="12"/>
  <c r="L1687" i="12"/>
  <c r="M1687" i="12"/>
  <c r="N1687" i="12"/>
  <c r="O1687" i="12"/>
  <c r="L1688" i="12"/>
  <c r="M1688" i="12"/>
  <c r="N1688" i="12"/>
  <c r="O1688" i="12"/>
  <c r="L1689" i="12"/>
  <c r="M1689" i="12"/>
  <c r="N1689" i="12"/>
  <c r="O1689" i="12"/>
  <c r="L1690" i="12"/>
  <c r="M1690" i="12"/>
  <c r="N1690" i="12"/>
  <c r="O1690" i="12"/>
  <c r="L1691" i="12"/>
  <c r="M1691" i="12"/>
  <c r="N1691" i="12"/>
  <c r="O1691" i="12"/>
  <c r="L1692" i="12"/>
  <c r="M1692" i="12"/>
  <c r="N1692" i="12"/>
  <c r="O1692" i="12"/>
  <c r="L1693" i="12"/>
  <c r="M1693" i="12"/>
  <c r="N1693" i="12"/>
  <c r="O1693" i="12"/>
  <c r="L1694" i="12"/>
  <c r="M1694" i="12"/>
  <c r="N1694" i="12"/>
  <c r="O1694" i="12"/>
  <c r="L1695" i="12"/>
  <c r="M1695" i="12"/>
  <c r="N1695" i="12"/>
  <c r="O1695" i="12"/>
  <c r="L1696" i="12"/>
  <c r="M1696" i="12"/>
  <c r="N1696" i="12"/>
  <c r="O1696" i="12"/>
  <c r="L1697" i="12"/>
  <c r="M1697" i="12"/>
  <c r="N1697" i="12"/>
  <c r="O1697" i="12"/>
  <c r="L1698" i="12"/>
  <c r="M1698" i="12"/>
  <c r="N1698" i="12"/>
  <c r="O1698" i="12"/>
  <c r="L1699" i="12"/>
  <c r="M1699" i="12"/>
  <c r="N1699" i="12"/>
  <c r="O1699" i="12"/>
  <c r="L1700" i="12"/>
  <c r="M1700" i="12"/>
  <c r="N1700" i="12"/>
  <c r="O1700" i="12"/>
  <c r="L1701" i="12"/>
  <c r="M1701" i="12"/>
  <c r="N1701" i="12"/>
  <c r="O1701" i="12"/>
  <c r="L1702" i="12"/>
  <c r="M1702" i="12"/>
  <c r="N1702" i="12"/>
  <c r="O1702" i="12"/>
  <c r="L1703" i="12"/>
  <c r="M1703" i="12"/>
  <c r="N1703" i="12"/>
  <c r="O1703" i="12"/>
  <c r="L1704" i="12"/>
  <c r="M1704" i="12"/>
  <c r="N1704" i="12"/>
  <c r="O1704" i="12"/>
  <c r="L1705" i="12"/>
  <c r="M1705" i="12"/>
  <c r="N1705" i="12"/>
  <c r="O1705" i="12"/>
  <c r="L1706" i="12"/>
  <c r="M1706" i="12"/>
  <c r="N1706" i="12"/>
  <c r="O1706" i="12"/>
  <c r="L1707" i="12"/>
  <c r="M1707" i="12"/>
  <c r="N1707" i="12"/>
  <c r="O1707" i="12"/>
  <c r="L1708" i="12"/>
  <c r="M1708" i="12"/>
  <c r="N1708" i="12"/>
  <c r="O1708" i="12"/>
  <c r="L1709" i="12"/>
  <c r="M1709" i="12"/>
  <c r="N1709" i="12"/>
  <c r="O1709" i="12"/>
  <c r="L1710" i="12"/>
  <c r="M1710" i="12"/>
  <c r="N1710" i="12"/>
  <c r="O1710" i="12"/>
  <c r="L1711" i="12"/>
  <c r="M1711" i="12"/>
  <c r="N1711" i="12"/>
  <c r="O1711" i="12"/>
  <c r="L1712" i="12"/>
  <c r="M1712" i="12"/>
  <c r="N1712" i="12"/>
  <c r="O1712" i="12"/>
  <c r="L1713" i="12"/>
  <c r="M1713" i="12"/>
  <c r="N1713" i="12"/>
  <c r="O1713" i="12"/>
  <c r="L1714" i="12"/>
  <c r="M1714" i="12"/>
  <c r="N1714" i="12"/>
  <c r="O1714" i="12"/>
  <c r="L1715" i="12"/>
  <c r="M1715" i="12"/>
  <c r="N1715" i="12"/>
  <c r="O1715" i="12"/>
  <c r="L1716" i="12"/>
  <c r="M1716" i="12"/>
  <c r="N1716" i="12"/>
  <c r="O1716" i="12"/>
  <c r="L1717" i="12"/>
  <c r="M1717" i="12"/>
  <c r="N1717" i="12"/>
  <c r="O1717" i="12"/>
  <c r="L1718" i="12"/>
  <c r="M1718" i="12"/>
  <c r="N1718" i="12"/>
  <c r="O1718" i="12"/>
  <c r="L1719" i="12"/>
  <c r="M1719" i="12"/>
  <c r="N1719" i="12"/>
  <c r="O1719" i="12"/>
  <c r="L1720" i="12"/>
  <c r="M1720" i="12"/>
  <c r="N1720" i="12"/>
  <c r="O1720" i="12"/>
  <c r="L1721" i="12"/>
  <c r="M1721" i="12"/>
  <c r="N1721" i="12"/>
  <c r="O1721" i="12"/>
  <c r="L1722" i="12"/>
  <c r="M1722" i="12"/>
  <c r="N1722" i="12"/>
  <c r="O1722" i="12"/>
  <c r="L1723" i="12"/>
  <c r="M1723" i="12"/>
  <c r="N1723" i="12"/>
  <c r="O1723" i="12"/>
  <c r="L1724" i="12"/>
  <c r="M1724" i="12"/>
  <c r="N1724" i="12"/>
  <c r="O1724" i="12"/>
  <c r="L1725" i="12"/>
  <c r="M1725" i="12"/>
  <c r="N1725" i="12"/>
  <c r="O1725" i="12"/>
  <c r="L1726" i="12"/>
  <c r="M1726" i="12"/>
  <c r="N1726" i="12"/>
  <c r="O1726" i="12"/>
  <c r="L1727" i="12"/>
  <c r="M1727" i="12"/>
  <c r="N1727" i="12"/>
  <c r="O1727" i="12"/>
  <c r="L1728" i="12"/>
  <c r="M1728" i="12"/>
  <c r="N1728" i="12"/>
  <c r="O1728" i="12"/>
  <c r="L1729" i="12"/>
  <c r="M1729" i="12"/>
  <c r="N1729" i="12"/>
  <c r="O1729" i="12"/>
  <c r="L1730" i="12"/>
  <c r="M1730" i="12"/>
  <c r="N1730" i="12"/>
  <c r="O1730" i="12"/>
  <c r="L1731" i="12"/>
  <c r="M1731" i="12"/>
  <c r="N1731" i="12"/>
  <c r="O1731" i="12"/>
  <c r="L1732" i="12"/>
  <c r="M1732" i="12"/>
  <c r="N1732" i="12"/>
  <c r="O1732" i="12"/>
  <c r="L1733" i="12"/>
  <c r="M1733" i="12"/>
  <c r="N1733" i="12"/>
  <c r="O1733" i="12"/>
  <c r="L1734" i="12"/>
  <c r="M1734" i="12"/>
  <c r="N1734" i="12"/>
  <c r="O1734" i="12"/>
  <c r="L1735" i="12"/>
  <c r="M1735" i="12"/>
  <c r="N1735" i="12"/>
  <c r="O1735" i="12"/>
  <c r="L1736" i="12"/>
  <c r="M1736" i="12"/>
  <c r="N1736" i="12"/>
  <c r="O1736" i="12"/>
  <c r="L1737" i="12"/>
  <c r="M1737" i="12"/>
  <c r="N1737" i="12"/>
  <c r="O1737" i="12"/>
  <c r="L1738" i="12"/>
  <c r="M1738" i="12"/>
  <c r="N1738" i="12"/>
  <c r="O1738" i="12"/>
  <c r="L1739" i="12"/>
  <c r="M1739" i="12"/>
  <c r="N1739" i="12"/>
  <c r="O1739" i="12"/>
  <c r="L1740" i="12"/>
  <c r="M1740" i="12"/>
  <c r="N1740" i="12"/>
  <c r="O1740" i="12"/>
  <c r="L1741" i="12"/>
  <c r="M1741" i="12"/>
  <c r="N1741" i="12"/>
  <c r="O1741" i="12"/>
  <c r="L1742" i="12"/>
  <c r="M1742" i="12"/>
  <c r="N1742" i="12"/>
  <c r="O1742" i="12"/>
  <c r="L1743" i="12"/>
  <c r="M1743" i="12"/>
  <c r="N1743" i="12"/>
  <c r="O1743" i="12"/>
  <c r="L1744" i="12"/>
  <c r="M1744" i="12"/>
  <c r="N1744" i="12"/>
  <c r="O1744" i="12"/>
  <c r="L1745" i="12"/>
  <c r="M1745" i="12"/>
  <c r="N1745" i="12"/>
  <c r="O1745" i="12"/>
  <c r="L1746" i="12"/>
  <c r="M1746" i="12"/>
  <c r="N1746" i="12"/>
  <c r="O1746" i="12"/>
  <c r="L1747" i="12"/>
  <c r="M1747" i="12"/>
  <c r="N1747" i="12"/>
  <c r="O1747" i="12"/>
  <c r="L1748" i="12"/>
  <c r="M1748" i="12"/>
  <c r="N1748" i="12"/>
  <c r="O1748" i="12"/>
  <c r="L1749" i="12"/>
  <c r="M1749" i="12"/>
  <c r="N1749" i="12"/>
  <c r="O1749" i="12"/>
  <c r="L1750" i="12"/>
  <c r="M1750" i="12"/>
  <c r="N1750" i="12"/>
  <c r="O1750" i="12"/>
  <c r="L1751" i="12"/>
  <c r="M1751" i="12"/>
  <c r="N1751" i="12"/>
  <c r="O1751" i="12"/>
  <c r="L1752" i="12"/>
  <c r="M1752" i="12"/>
  <c r="N1752" i="12"/>
  <c r="O1752" i="12"/>
  <c r="L1753" i="12"/>
  <c r="M1753" i="12"/>
  <c r="N1753" i="12"/>
  <c r="O1753" i="12"/>
  <c r="L1754" i="12"/>
  <c r="M1754" i="12"/>
  <c r="N1754" i="12"/>
  <c r="O1754" i="12"/>
  <c r="L1755" i="12"/>
  <c r="M1755" i="12"/>
  <c r="N1755" i="12"/>
  <c r="O1755" i="12"/>
  <c r="L1756" i="12"/>
  <c r="M1756" i="12"/>
  <c r="N1756" i="12"/>
  <c r="O1756" i="12"/>
  <c r="L1757" i="12"/>
  <c r="M1757" i="12"/>
  <c r="N1757" i="12"/>
  <c r="O1757" i="12"/>
  <c r="L1758" i="12"/>
  <c r="M1758" i="12"/>
  <c r="N1758" i="12"/>
  <c r="O1758" i="12"/>
  <c r="L1759" i="12"/>
  <c r="M1759" i="12"/>
  <c r="N1759" i="12"/>
  <c r="O1759" i="12"/>
  <c r="L1760" i="12"/>
  <c r="M1760" i="12"/>
  <c r="N1760" i="12"/>
  <c r="O1760" i="12"/>
  <c r="L1761" i="12"/>
  <c r="M1761" i="12"/>
  <c r="N1761" i="12"/>
  <c r="O1761" i="12"/>
  <c r="L1762" i="12"/>
  <c r="M1762" i="12"/>
  <c r="N1762" i="12"/>
  <c r="O1762" i="12"/>
  <c r="L1763" i="12"/>
  <c r="M1763" i="12"/>
  <c r="N1763" i="12"/>
  <c r="O1763" i="12"/>
  <c r="L1764" i="12"/>
  <c r="M1764" i="12"/>
  <c r="N1764" i="12"/>
  <c r="O1764" i="12"/>
  <c r="L1765" i="12"/>
  <c r="M1765" i="12"/>
  <c r="N1765" i="12"/>
  <c r="O1765" i="12"/>
  <c r="L1766" i="12"/>
  <c r="M1766" i="12"/>
  <c r="N1766" i="12"/>
  <c r="O1766" i="12"/>
  <c r="L1767" i="12"/>
  <c r="M1767" i="12"/>
  <c r="N1767" i="12"/>
  <c r="O1767" i="12" s="1"/>
  <c r="L1768" i="12"/>
  <c r="M1768" i="12"/>
  <c r="N1768" i="12"/>
  <c r="O1768" i="12" s="1"/>
  <c r="L1769" i="12"/>
  <c r="M1769" i="12"/>
  <c r="N1769" i="12"/>
  <c r="O1769" i="12" s="1"/>
  <c r="L1770" i="12"/>
  <c r="M1770" i="12"/>
  <c r="N1770" i="12"/>
  <c r="O1770" i="12" s="1"/>
  <c r="L1771" i="12"/>
  <c r="M1771" i="12"/>
  <c r="N1771" i="12"/>
  <c r="O1771" i="12" s="1"/>
  <c r="L1772" i="12"/>
  <c r="M1772" i="12"/>
  <c r="N1772" i="12"/>
  <c r="O1772" i="12" s="1"/>
  <c r="L1773" i="12"/>
  <c r="M1773" i="12"/>
  <c r="N1773" i="12"/>
  <c r="O1773" i="12" s="1"/>
  <c r="L1774" i="12"/>
  <c r="M1774" i="12"/>
  <c r="N1774" i="12"/>
  <c r="O1774" i="12" s="1"/>
  <c r="L1775" i="12"/>
  <c r="M1775" i="12"/>
  <c r="N1775" i="12"/>
  <c r="O1775" i="12" s="1"/>
  <c r="L1776" i="12"/>
  <c r="M1776" i="12"/>
  <c r="N1776" i="12"/>
  <c r="O1776" i="12" s="1"/>
  <c r="L1777" i="12"/>
  <c r="M1777" i="12"/>
  <c r="N1777" i="12"/>
  <c r="O1777" i="12" s="1"/>
  <c r="L1778" i="12"/>
  <c r="M1778" i="12"/>
  <c r="N1778" i="12"/>
  <c r="O1778" i="12" s="1"/>
  <c r="L1779" i="12"/>
  <c r="M1779" i="12"/>
  <c r="N1779" i="12"/>
  <c r="O1779" i="12" s="1"/>
  <c r="L1780" i="12"/>
  <c r="M1780" i="12"/>
  <c r="N1780" i="12"/>
  <c r="O1780" i="12" s="1"/>
  <c r="L1781" i="12"/>
  <c r="M1781" i="12"/>
  <c r="N1781" i="12"/>
  <c r="O1781" i="12" s="1"/>
  <c r="L1782" i="12"/>
  <c r="M1782" i="12"/>
  <c r="N1782" i="12"/>
  <c r="O1782" i="12" s="1"/>
  <c r="L1783" i="12"/>
  <c r="M1783" i="12"/>
  <c r="N1783" i="12"/>
  <c r="O1783" i="12" s="1"/>
  <c r="L1784" i="12"/>
  <c r="M1784" i="12"/>
  <c r="N1784" i="12"/>
  <c r="O1784" i="12" s="1"/>
  <c r="L1785" i="12"/>
  <c r="M1785" i="12"/>
  <c r="N1785" i="12"/>
  <c r="O1785" i="12" s="1"/>
  <c r="L1786" i="12"/>
  <c r="M1786" i="12"/>
  <c r="N1786" i="12"/>
  <c r="O1786" i="12" s="1"/>
  <c r="L1787" i="12"/>
  <c r="M1787" i="12"/>
  <c r="N1787" i="12"/>
  <c r="O1787" i="12" s="1"/>
  <c r="L1788" i="12"/>
  <c r="M1788" i="12"/>
  <c r="N1788" i="12"/>
  <c r="O1788" i="12" s="1"/>
  <c r="L1789" i="12"/>
  <c r="M1789" i="12"/>
  <c r="N1789" i="12"/>
  <c r="O1789" i="12" s="1"/>
  <c r="L1790" i="12"/>
  <c r="M1790" i="12"/>
  <c r="N1790" i="12"/>
  <c r="O1790" i="12" s="1"/>
  <c r="L1791" i="12"/>
  <c r="M1791" i="12"/>
  <c r="N1791" i="12"/>
  <c r="O1791" i="12" s="1"/>
  <c r="L1792" i="12"/>
  <c r="M1792" i="12"/>
  <c r="N1792" i="12"/>
  <c r="O1792" i="12" s="1"/>
  <c r="L1793" i="12"/>
  <c r="M1793" i="12"/>
  <c r="N1793" i="12"/>
  <c r="O1793" i="12" s="1"/>
  <c r="L1794" i="12"/>
  <c r="M1794" i="12"/>
  <c r="N1794" i="12"/>
  <c r="O1794" i="12" s="1"/>
  <c r="L1795" i="12"/>
  <c r="M1795" i="12"/>
  <c r="N1795" i="12"/>
  <c r="O1795" i="12" s="1"/>
  <c r="L1796" i="12"/>
  <c r="M1796" i="12"/>
  <c r="N1796" i="12"/>
  <c r="O1796" i="12" s="1"/>
  <c r="L1797" i="12"/>
  <c r="M1797" i="12"/>
  <c r="N1797" i="12"/>
  <c r="O1797" i="12" s="1"/>
  <c r="L1798" i="12"/>
  <c r="M1798" i="12"/>
  <c r="N1798" i="12"/>
  <c r="O1798" i="12" s="1"/>
  <c r="L1799" i="12"/>
  <c r="M1799" i="12"/>
  <c r="N1799" i="12"/>
  <c r="O1799" i="12" s="1"/>
  <c r="L1800" i="12"/>
  <c r="M1800" i="12"/>
  <c r="N1800" i="12"/>
  <c r="O1800" i="12" s="1"/>
  <c r="L1801" i="12"/>
  <c r="M1801" i="12"/>
  <c r="N1801" i="12"/>
  <c r="O1801" i="12" s="1"/>
  <c r="L1802" i="12"/>
  <c r="M1802" i="12"/>
  <c r="N1802" i="12"/>
  <c r="O1802" i="12" s="1"/>
  <c r="L1803" i="12"/>
  <c r="M1803" i="12"/>
  <c r="N1803" i="12"/>
  <c r="O1803" i="12" s="1"/>
  <c r="L1804" i="12"/>
  <c r="M1804" i="12"/>
  <c r="N1804" i="12"/>
  <c r="O1804" i="12" s="1"/>
  <c r="L1805" i="12"/>
  <c r="M1805" i="12"/>
  <c r="N1805" i="12"/>
  <c r="O1805" i="12" s="1"/>
  <c r="L1806" i="12"/>
  <c r="M1806" i="12"/>
  <c r="N1806" i="12"/>
  <c r="O1806" i="12" s="1"/>
  <c r="L1807" i="12"/>
  <c r="M1807" i="12"/>
  <c r="N1807" i="12"/>
  <c r="O1807" i="12" s="1"/>
  <c r="L1808" i="12"/>
  <c r="M1808" i="12"/>
  <c r="N1808" i="12"/>
  <c r="O1808" i="12" s="1"/>
  <c r="L1809" i="12"/>
  <c r="M1809" i="12"/>
  <c r="N1809" i="12"/>
  <c r="O1809" i="12" s="1"/>
  <c r="L1810" i="12"/>
  <c r="M1810" i="12"/>
  <c r="N1810" i="12"/>
  <c r="O1810" i="12" s="1"/>
  <c r="L1811" i="12"/>
  <c r="M1811" i="12"/>
  <c r="N1811" i="12"/>
  <c r="O1811" i="12" s="1"/>
  <c r="L1812" i="12"/>
  <c r="M1812" i="12"/>
  <c r="N1812" i="12"/>
  <c r="O1812" i="12" s="1"/>
  <c r="L1813" i="12"/>
  <c r="M1813" i="12"/>
  <c r="N1813" i="12"/>
  <c r="O1813" i="12" s="1"/>
  <c r="L1814" i="12"/>
  <c r="M1814" i="12"/>
  <c r="N1814" i="12"/>
  <c r="O1814" i="12" s="1"/>
  <c r="L1815" i="12"/>
  <c r="M1815" i="12"/>
  <c r="N1815" i="12"/>
  <c r="O1815" i="12" s="1"/>
  <c r="L1816" i="12"/>
  <c r="M1816" i="12"/>
  <c r="N1816" i="12"/>
  <c r="O1816" i="12" s="1"/>
  <c r="L1817" i="12"/>
  <c r="M1817" i="12"/>
  <c r="N1817" i="12"/>
  <c r="O1817" i="12" s="1"/>
  <c r="L1818" i="12"/>
  <c r="M1818" i="12"/>
  <c r="N1818" i="12"/>
  <c r="O1818" i="12" s="1"/>
  <c r="L1819" i="12"/>
  <c r="M1819" i="12"/>
  <c r="N1819" i="12"/>
  <c r="O1819" i="12" s="1"/>
  <c r="L1820" i="12"/>
  <c r="M1820" i="12"/>
  <c r="N1820" i="12"/>
  <c r="O1820" i="12" s="1"/>
  <c r="L1821" i="12"/>
  <c r="M1821" i="12"/>
  <c r="N1821" i="12"/>
  <c r="O1821" i="12" s="1"/>
  <c r="L1822" i="12"/>
  <c r="M1822" i="12"/>
  <c r="N1822" i="12"/>
  <c r="O1822" i="12" s="1"/>
  <c r="L1823" i="12"/>
  <c r="M1823" i="12"/>
  <c r="N1823" i="12"/>
  <c r="O1823" i="12" s="1"/>
  <c r="L1824" i="12"/>
  <c r="M1824" i="12"/>
  <c r="N1824" i="12"/>
  <c r="O1824" i="12" s="1"/>
  <c r="L1825" i="12"/>
  <c r="M1825" i="12"/>
  <c r="N1825" i="12"/>
  <c r="O1825" i="12" s="1"/>
  <c r="L1826" i="12"/>
  <c r="M1826" i="12"/>
  <c r="N1826" i="12"/>
  <c r="O1826" i="12" s="1"/>
  <c r="L1827" i="12"/>
  <c r="M1827" i="12"/>
  <c r="N1827" i="12"/>
  <c r="O1827" i="12" s="1"/>
  <c r="L1828" i="12"/>
  <c r="M1828" i="12"/>
  <c r="N1828" i="12"/>
  <c r="O1828" i="12" s="1"/>
  <c r="L1829" i="12"/>
  <c r="M1829" i="12"/>
  <c r="N1829" i="12"/>
  <c r="O1829" i="12" s="1"/>
  <c r="L1830" i="12"/>
  <c r="M1830" i="12"/>
  <c r="N1830" i="12"/>
  <c r="O1830" i="12" s="1"/>
  <c r="L1831" i="12"/>
  <c r="M1831" i="12"/>
  <c r="N1831" i="12"/>
  <c r="O1831" i="12" s="1"/>
  <c r="L1832" i="12"/>
  <c r="M1832" i="12"/>
  <c r="N1832" i="12"/>
  <c r="O1832" i="12" s="1"/>
  <c r="L1833" i="12"/>
  <c r="M1833" i="12"/>
  <c r="N1833" i="12"/>
  <c r="O1833" i="12" s="1"/>
  <c r="L1834" i="12"/>
  <c r="M1834" i="12"/>
  <c r="N1834" i="12"/>
  <c r="O1834" i="12" s="1"/>
  <c r="L1835" i="12"/>
  <c r="M1835" i="12"/>
  <c r="N1835" i="12"/>
  <c r="O1835" i="12" s="1"/>
  <c r="L1836" i="12"/>
  <c r="M1836" i="12"/>
  <c r="N1836" i="12"/>
  <c r="O1836" i="12" s="1"/>
  <c r="L1837" i="12"/>
  <c r="M1837" i="12"/>
  <c r="N1837" i="12"/>
  <c r="O1837" i="12" s="1"/>
  <c r="L1838" i="12"/>
  <c r="M1838" i="12"/>
  <c r="N1838" i="12"/>
  <c r="O1838" i="12" s="1"/>
  <c r="L1839" i="12"/>
  <c r="M1839" i="12"/>
  <c r="N1839" i="12"/>
  <c r="O1839" i="12" s="1"/>
  <c r="L1840" i="12"/>
  <c r="M1840" i="12"/>
  <c r="N1840" i="12"/>
  <c r="O1840" i="12" s="1"/>
  <c r="L1841" i="12"/>
  <c r="M1841" i="12"/>
  <c r="N1841" i="12"/>
  <c r="O1841" i="12" s="1"/>
  <c r="L1842" i="12"/>
  <c r="M1842" i="12"/>
  <c r="N1842" i="12"/>
  <c r="O1842" i="12" s="1"/>
  <c r="L1843" i="12"/>
  <c r="M1843" i="12"/>
  <c r="N1843" i="12"/>
  <c r="O1843" i="12" s="1"/>
  <c r="L1844" i="12"/>
  <c r="M1844" i="12"/>
  <c r="N1844" i="12"/>
  <c r="O1844" i="12" s="1"/>
  <c r="L1845" i="12"/>
  <c r="M1845" i="12"/>
  <c r="N1845" i="12"/>
  <c r="O1845" i="12" s="1"/>
  <c r="L1846" i="12"/>
  <c r="M1846" i="12"/>
  <c r="N1846" i="12"/>
  <c r="O1846" i="12" s="1"/>
  <c r="L1847" i="12"/>
  <c r="M1847" i="12"/>
  <c r="N1847" i="12"/>
  <c r="O1847" i="12" s="1"/>
  <c r="L1848" i="12"/>
  <c r="M1848" i="12"/>
  <c r="N1848" i="12"/>
  <c r="O1848" i="12" s="1"/>
  <c r="L1849" i="12"/>
  <c r="M1849" i="12"/>
  <c r="N1849" i="12"/>
  <c r="O1849" i="12" s="1"/>
  <c r="L1850" i="12"/>
  <c r="M1850" i="12"/>
  <c r="N1850" i="12"/>
  <c r="O1850" i="12" s="1"/>
  <c r="L1851" i="12"/>
  <c r="M1851" i="12"/>
  <c r="N1851" i="12"/>
  <c r="O1851" i="12" s="1"/>
  <c r="L1852" i="12"/>
  <c r="M1852" i="12"/>
  <c r="N1852" i="12"/>
  <c r="O1852" i="12" s="1"/>
  <c r="L1853" i="12"/>
  <c r="M1853" i="12"/>
  <c r="N1853" i="12"/>
  <c r="O1853" i="12" s="1"/>
  <c r="L1854" i="12"/>
  <c r="M1854" i="12"/>
  <c r="N1854" i="12"/>
  <c r="O1854" i="12" s="1"/>
  <c r="L1855" i="12"/>
  <c r="M1855" i="12"/>
  <c r="N1855" i="12"/>
  <c r="O1855" i="12" s="1"/>
  <c r="L1856" i="12"/>
  <c r="M1856" i="12"/>
  <c r="N1856" i="12"/>
  <c r="O1856" i="12" s="1"/>
  <c r="L1857" i="12"/>
  <c r="M1857" i="12"/>
  <c r="N1857" i="12"/>
  <c r="O1857" i="12" s="1"/>
  <c r="L1858" i="12"/>
  <c r="M1858" i="12"/>
  <c r="N1858" i="12"/>
  <c r="O1858" i="12" s="1"/>
  <c r="L1859" i="12"/>
  <c r="M1859" i="12"/>
  <c r="N1859" i="12"/>
  <c r="O1859" i="12" s="1"/>
  <c r="L1860" i="12"/>
  <c r="M1860" i="12"/>
  <c r="N1860" i="12"/>
  <c r="O1860" i="12" s="1"/>
  <c r="L1861" i="12"/>
  <c r="M1861" i="12"/>
  <c r="N1861" i="12"/>
  <c r="O1861" i="12" s="1"/>
  <c r="L1862" i="12"/>
  <c r="M1862" i="12"/>
  <c r="N1862" i="12"/>
  <c r="O1862" i="12" s="1"/>
  <c r="L1863" i="12"/>
  <c r="M1863" i="12"/>
  <c r="N1863" i="12"/>
  <c r="O1863" i="12" s="1"/>
  <c r="L1864" i="12"/>
  <c r="M1864" i="12"/>
  <c r="N1864" i="12"/>
  <c r="O1864" i="12" s="1"/>
  <c r="L1865" i="12"/>
  <c r="M1865" i="12"/>
  <c r="N1865" i="12"/>
  <c r="O1865" i="12" s="1"/>
  <c r="L1866" i="12"/>
  <c r="M1866" i="12"/>
  <c r="N1866" i="12"/>
  <c r="O1866" i="12" s="1"/>
  <c r="L1867" i="12"/>
  <c r="M1867" i="12"/>
  <c r="N1867" i="12"/>
  <c r="O1867" i="12" s="1"/>
  <c r="L1868" i="12"/>
  <c r="M1868" i="12"/>
  <c r="N1868" i="12"/>
  <c r="O1868" i="12" s="1"/>
  <c r="L1869" i="12"/>
  <c r="M1869" i="12"/>
  <c r="N1869" i="12"/>
  <c r="O1869" i="12" s="1"/>
  <c r="L1870" i="12"/>
  <c r="M1870" i="12"/>
  <c r="N1870" i="12"/>
  <c r="O1870" i="12" s="1"/>
  <c r="L1871" i="12"/>
  <c r="M1871" i="12"/>
  <c r="N1871" i="12"/>
  <c r="O1871" i="12" s="1"/>
  <c r="L1872" i="12"/>
  <c r="M1872" i="12"/>
  <c r="N1872" i="12"/>
  <c r="O1872" i="12" s="1"/>
  <c r="L1873" i="12"/>
  <c r="M1873" i="12"/>
  <c r="N1873" i="12"/>
  <c r="O1873" i="12" s="1"/>
  <c r="L1874" i="12"/>
  <c r="M1874" i="12"/>
  <c r="N1874" i="12"/>
  <c r="O1874" i="12" s="1"/>
  <c r="L1875" i="12"/>
  <c r="M1875" i="12"/>
  <c r="N1875" i="12"/>
  <c r="O1875" i="12" s="1"/>
  <c r="L1876" i="12"/>
  <c r="M1876" i="12"/>
  <c r="N1876" i="12"/>
  <c r="O1876" i="12" s="1"/>
  <c r="L1877" i="12"/>
  <c r="M1877" i="12"/>
  <c r="N1877" i="12"/>
  <c r="O1877" i="12" s="1"/>
  <c r="L1878" i="12"/>
  <c r="M1878" i="12"/>
  <c r="N1878" i="12"/>
  <c r="O1878" i="12" s="1"/>
  <c r="L1879" i="12"/>
  <c r="M1879" i="12"/>
  <c r="N1879" i="12"/>
  <c r="O1879" i="12" s="1"/>
  <c r="L1880" i="12"/>
  <c r="M1880" i="12"/>
  <c r="N1880" i="12"/>
  <c r="O1880" i="12" s="1"/>
  <c r="L1881" i="12"/>
  <c r="M1881" i="12"/>
  <c r="N1881" i="12"/>
  <c r="O1881" i="12" s="1"/>
  <c r="L1882" i="12"/>
  <c r="M1882" i="12"/>
  <c r="N1882" i="12"/>
  <c r="O1882" i="12" s="1"/>
  <c r="L1883" i="12"/>
  <c r="M1883" i="12"/>
  <c r="N1883" i="12"/>
  <c r="O1883" i="12" s="1"/>
  <c r="L1884" i="12"/>
  <c r="M1884" i="12"/>
  <c r="N1884" i="12"/>
  <c r="O1884" i="12" s="1"/>
  <c r="L1885" i="12"/>
  <c r="M1885" i="12"/>
  <c r="N1885" i="12"/>
  <c r="O1885" i="12" s="1"/>
  <c r="L1886" i="12"/>
  <c r="M1886" i="12"/>
  <c r="N1886" i="12"/>
  <c r="O1886" i="12" s="1"/>
  <c r="L1887" i="12"/>
  <c r="M1887" i="12"/>
  <c r="N1887" i="12"/>
  <c r="O1887" i="12" s="1"/>
  <c r="L1888" i="12"/>
  <c r="M1888" i="12"/>
  <c r="N1888" i="12"/>
  <c r="O1888" i="12" s="1"/>
  <c r="L1889" i="12"/>
  <c r="M1889" i="12"/>
  <c r="N1889" i="12"/>
  <c r="O1889" i="12" s="1"/>
  <c r="L1890" i="12"/>
  <c r="M1890" i="12"/>
  <c r="N1890" i="12"/>
  <c r="O1890" i="12" s="1"/>
  <c r="L1891" i="12"/>
  <c r="M1891" i="12"/>
  <c r="N1891" i="12"/>
  <c r="O1891" i="12" s="1"/>
  <c r="L1892" i="12"/>
  <c r="M1892" i="12"/>
  <c r="N1892" i="12"/>
  <c r="O1892" i="12" s="1"/>
  <c r="L1893" i="12"/>
  <c r="M1893" i="12"/>
  <c r="N1893" i="12"/>
  <c r="O1893" i="12" s="1"/>
  <c r="L1894" i="12"/>
  <c r="M1894" i="12"/>
  <c r="N1894" i="12"/>
  <c r="O1894" i="12" s="1"/>
  <c r="L1895" i="12"/>
  <c r="M1895" i="12"/>
  <c r="N1895" i="12"/>
  <c r="O1895" i="12" s="1"/>
  <c r="L1896" i="12"/>
  <c r="M1896" i="12"/>
  <c r="N1896" i="12"/>
  <c r="O1896" i="12" s="1"/>
  <c r="L1897" i="12"/>
  <c r="M1897" i="12"/>
  <c r="N1897" i="12"/>
  <c r="O1897" i="12" s="1"/>
  <c r="L1898" i="12"/>
  <c r="M1898" i="12"/>
  <c r="N1898" i="12"/>
  <c r="O1898" i="12" s="1"/>
  <c r="L1899" i="12"/>
  <c r="M1899" i="12"/>
  <c r="N1899" i="12"/>
  <c r="O1899" i="12" s="1"/>
  <c r="L1900" i="12"/>
  <c r="M1900" i="12"/>
  <c r="N1900" i="12"/>
  <c r="O1900" i="12" s="1"/>
  <c r="L1901" i="12"/>
  <c r="M1901" i="12"/>
  <c r="N1901" i="12"/>
  <c r="O1901" i="12" s="1"/>
  <c r="L1902" i="12"/>
  <c r="M1902" i="12"/>
  <c r="N1902" i="12"/>
  <c r="O1902" i="12" s="1"/>
  <c r="L1903" i="12"/>
  <c r="M1903" i="12"/>
  <c r="N1903" i="12"/>
  <c r="O1903" i="12" s="1"/>
  <c r="L1904" i="12"/>
  <c r="M1904" i="12"/>
  <c r="O1904" i="12" s="1"/>
  <c r="N1904" i="12"/>
  <c r="L1905" i="12"/>
  <c r="M1905" i="12"/>
  <c r="N1905" i="12"/>
  <c r="O1905" i="12" s="1"/>
  <c r="L1906" i="12"/>
  <c r="M1906" i="12"/>
  <c r="N1906" i="12"/>
  <c r="O1906" i="12" s="1"/>
  <c r="L1907" i="12"/>
  <c r="M1907" i="12"/>
  <c r="N1907" i="12"/>
  <c r="O1907" i="12" s="1"/>
  <c r="L1908" i="12"/>
  <c r="M1908" i="12"/>
  <c r="N1908" i="12"/>
  <c r="O1908" i="12" s="1"/>
  <c r="L1909" i="12"/>
  <c r="M1909" i="12"/>
  <c r="N1909" i="12"/>
  <c r="O1909" i="12" s="1"/>
  <c r="L1910" i="12"/>
  <c r="M1910" i="12"/>
  <c r="N1910" i="12"/>
  <c r="O1910" i="12" s="1"/>
  <c r="L1911" i="12"/>
  <c r="M1911" i="12"/>
  <c r="N1911" i="12"/>
  <c r="O1911" i="12" s="1"/>
  <c r="L1912" i="12"/>
  <c r="M1912" i="12"/>
  <c r="N1912" i="12"/>
  <c r="O1912" i="12" s="1"/>
  <c r="L1913" i="12"/>
  <c r="M1913" i="12"/>
  <c r="N1913" i="12"/>
  <c r="O1913" i="12" s="1"/>
  <c r="L1914" i="12"/>
  <c r="M1914" i="12"/>
  <c r="N1914" i="12"/>
  <c r="O1914" i="12" s="1"/>
  <c r="L1915" i="12"/>
  <c r="M1915" i="12"/>
  <c r="N1915" i="12"/>
  <c r="O1915" i="12" s="1"/>
  <c r="L1916" i="12"/>
  <c r="M1916" i="12"/>
  <c r="N1916" i="12"/>
  <c r="O1916" i="12" s="1"/>
  <c r="L1917" i="12"/>
  <c r="M1917" i="12"/>
  <c r="N1917" i="12"/>
  <c r="O1917" i="12" s="1"/>
  <c r="L1918" i="12"/>
  <c r="M1918" i="12"/>
  <c r="N1918" i="12"/>
  <c r="O1918" i="12" s="1"/>
  <c r="L1919" i="12"/>
  <c r="M1919" i="12"/>
  <c r="N1919" i="12"/>
  <c r="O1919" i="12" s="1"/>
  <c r="L1920" i="12"/>
  <c r="M1920" i="12"/>
  <c r="N1920" i="12"/>
  <c r="O1920" i="12" s="1"/>
  <c r="L1921" i="12"/>
  <c r="M1921" i="12"/>
  <c r="N1921" i="12"/>
  <c r="O1921" i="12" s="1"/>
  <c r="L1922" i="12"/>
  <c r="M1922" i="12"/>
  <c r="N1922" i="12"/>
  <c r="O1922" i="12" s="1"/>
  <c r="L1923" i="12"/>
  <c r="M1923" i="12"/>
  <c r="N1923" i="12"/>
  <c r="O1923" i="12" s="1"/>
  <c r="L1924" i="12"/>
  <c r="M1924" i="12"/>
  <c r="N1924" i="12"/>
  <c r="O1924" i="12" s="1"/>
  <c r="L1925" i="12"/>
  <c r="M1925" i="12"/>
  <c r="N1925" i="12"/>
  <c r="O1925" i="12" s="1"/>
  <c r="L1926" i="12"/>
  <c r="M1926" i="12"/>
  <c r="N1926" i="12"/>
  <c r="O1926" i="12" s="1"/>
  <c r="L1927" i="12"/>
  <c r="M1927" i="12"/>
  <c r="N1927" i="12"/>
  <c r="O1927" i="12" s="1"/>
  <c r="L1928" i="12"/>
  <c r="M1928" i="12"/>
  <c r="N1928" i="12"/>
  <c r="O1928" i="12" s="1"/>
  <c r="L1929" i="12"/>
  <c r="M1929" i="12"/>
  <c r="N1929" i="12"/>
  <c r="O1929" i="12" s="1"/>
  <c r="L1930" i="12"/>
  <c r="M1930" i="12"/>
  <c r="N1930" i="12"/>
  <c r="O1930" i="12" s="1"/>
  <c r="L1931" i="12"/>
  <c r="M1931" i="12"/>
  <c r="N1931" i="12"/>
  <c r="O1931" i="12" s="1"/>
  <c r="L1932" i="12"/>
  <c r="M1932" i="12"/>
  <c r="N1932" i="12"/>
  <c r="O1932" i="12" s="1"/>
  <c r="L1933" i="12"/>
  <c r="M1933" i="12"/>
  <c r="N1933" i="12"/>
  <c r="O1933" i="12" s="1"/>
  <c r="L1934" i="12"/>
  <c r="M1934" i="12"/>
  <c r="N1934" i="12"/>
  <c r="O1934" i="12" s="1"/>
  <c r="L1935" i="12"/>
  <c r="M1935" i="12"/>
  <c r="N1935" i="12"/>
  <c r="O1935" i="12" s="1"/>
  <c r="L1936" i="12"/>
  <c r="M1936" i="12"/>
  <c r="N1936" i="12"/>
  <c r="O1936" i="12" s="1"/>
  <c r="L1937" i="12"/>
  <c r="M1937" i="12"/>
  <c r="N1937" i="12"/>
  <c r="O1937" i="12" s="1"/>
  <c r="L1938" i="12"/>
  <c r="M1938" i="12"/>
  <c r="N1938" i="12"/>
  <c r="O1938" i="12" s="1"/>
  <c r="L1939" i="12"/>
  <c r="M1939" i="12"/>
  <c r="N1939" i="12"/>
  <c r="O1939" i="12" s="1"/>
  <c r="L1940" i="12"/>
  <c r="M1940" i="12"/>
  <c r="N1940" i="12"/>
  <c r="O1940" i="12" s="1"/>
  <c r="L1941" i="12"/>
  <c r="M1941" i="12"/>
  <c r="N1941" i="12"/>
  <c r="O1941" i="12" s="1"/>
  <c r="L1942" i="12"/>
  <c r="M1942" i="12"/>
  <c r="N1942" i="12"/>
  <c r="O1942" i="12" s="1"/>
  <c r="L1943" i="12"/>
  <c r="M1943" i="12"/>
  <c r="N1943" i="12"/>
  <c r="O1943" i="12" s="1"/>
  <c r="L1944" i="12"/>
  <c r="M1944" i="12"/>
  <c r="N1944" i="12"/>
  <c r="O1944" i="12" s="1"/>
  <c r="L1945" i="12"/>
  <c r="M1945" i="12"/>
  <c r="N1945" i="12"/>
  <c r="O1945" i="12" s="1"/>
  <c r="L1946" i="12"/>
  <c r="M1946" i="12"/>
  <c r="N1946" i="12"/>
  <c r="O1946" i="12" s="1"/>
  <c r="L1947" i="12"/>
  <c r="M1947" i="12"/>
  <c r="N1947" i="12"/>
  <c r="O1947" i="12" s="1"/>
  <c r="L1948" i="12"/>
  <c r="M1948" i="12"/>
  <c r="N1948" i="12"/>
  <c r="O1948" i="12" s="1"/>
  <c r="L1949" i="12"/>
  <c r="M1949" i="12"/>
  <c r="N1949" i="12"/>
  <c r="O1949" i="12" s="1"/>
  <c r="L1950" i="12"/>
  <c r="M1950" i="12"/>
  <c r="N1950" i="12"/>
  <c r="O1950" i="12" s="1"/>
  <c r="L1951" i="12"/>
  <c r="M1951" i="12"/>
  <c r="N1951" i="12"/>
  <c r="O1951" i="12" s="1"/>
  <c r="L1952" i="12"/>
  <c r="M1952" i="12"/>
  <c r="N1952" i="12"/>
  <c r="O1952" i="12" s="1"/>
  <c r="L1953" i="12"/>
  <c r="M1953" i="12"/>
  <c r="N1953" i="12"/>
  <c r="O1953" i="12" s="1"/>
  <c r="L1954" i="12"/>
  <c r="M1954" i="12"/>
  <c r="N1954" i="12"/>
  <c r="O1954" i="12" s="1"/>
  <c r="L1955" i="12"/>
  <c r="M1955" i="12"/>
  <c r="N1955" i="12"/>
  <c r="O1955" i="12" s="1"/>
  <c r="L1956" i="12"/>
  <c r="M1956" i="12"/>
  <c r="N1956" i="12"/>
  <c r="O1956" i="12" s="1"/>
  <c r="L1957" i="12"/>
  <c r="M1957" i="12"/>
  <c r="N1957" i="12"/>
  <c r="O1957" i="12" s="1"/>
  <c r="L1958" i="12"/>
  <c r="M1958" i="12"/>
  <c r="N1958" i="12"/>
  <c r="O1958" i="12" s="1"/>
  <c r="L1959" i="12"/>
  <c r="M1959" i="12"/>
  <c r="N1959" i="12"/>
  <c r="O1959" i="12" s="1"/>
  <c r="L1960" i="12"/>
  <c r="M1960" i="12"/>
  <c r="N1960" i="12"/>
  <c r="O1960" i="12" s="1"/>
  <c r="L1961" i="12"/>
  <c r="M1961" i="12"/>
  <c r="N1961" i="12"/>
  <c r="O1961" i="12" s="1"/>
  <c r="L1962" i="12"/>
  <c r="M1962" i="12"/>
  <c r="N1962" i="12"/>
  <c r="O1962" i="12" s="1"/>
  <c r="L1963" i="12"/>
  <c r="M1963" i="12"/>
  <c r="N1963" i="12"/>
  <c r="O1963" i="12" s="1"/>
  <c r="L1964" i="12"/>
  <c r="M1964" i="12"/>
  <c r="N1964" i="12"/>
  <c r="O1964" i="12" s="1"/>
  <c r="L1965" i="12"/>
  <c r="M1965" i="12"/>
  <c r="N1965" i="12"/>
  <c r="O1965" i="12" s="1"/>
  <c r="L1966" i="12"/>
  <c r="M1966" i="12"/>
  <c r="N1966" i="12"/>
  <c r="O1966" i="12" s="1"/>
  <c r="L1967" i="12"/>
  <c r="M1967" i="12"/>
  <c r="N1967" i="12"/>
  <c r="O1967" i="12" s="1"/>
  <c r="L1968" i="12"/>
  <c r="M1968" i="12"/>
  <c r="N1968" i="12"/>
  <c r="O1968" i="12" s="1"/>
  <c r="L1969" i="12"/>
  <c r="M1969" i="12"/>
  <c r="N1969" i="12"/>
  <c r="O1969" i="12" s="1"/>
  <c r="L1970" i="12"/>
  <c r="M1970" i="12"/>
  <c r="N1970" i="12"/>
  <c r="O1970" i="12" s="1"/>
  <c r="L1971" i="12"/>
  <c r="M1971" i="12"/>
  <c r="N1971" i="12"/>
  <c r="O1971" i="12" s="1"/>
  <c r="L1972" i="12"/>
  <c r="M1972" i="12"/>
  <c r="N1972" i="12"/>
  <c r="O1972" i="12"/>
  <c r="L1973" i="12"/>
  <c r="M1973" i="12"/>
  <c r="N1973" i="12"/>
  <c r="O1973" i="12" s="1"/>
  <c r="L1974" i="12"/>
  <c r="M1974" i="12"/>
  <c r="N1974" i="12"/>
  <c r="O1974" i="12" s="1"/>
  <c r="L1975" i="12"/>
  <c r="M1975" i="12"/>
  <c r="N1975" i="12"/>
  <c r="O1975" i="12" s="1"/>
  <c r="L1976" i="12"/>
  <c r="M1976" i="12"/>
  <c r="N1976" i="12"/>
  <c r="O1976" i="12" s="1"/>
  <c r="L1977" i="12"/>
  <c r="M1977" i="12"/>
  <c r="N1977" i="12"/>
  <c r="O1977" i="12" s="1"/>
  <c r="L1978" i="12"/>
  <c r="M1978" i="12"/>
  <c r="N1978" i="12"/>
  <c r="O1978" i="12" s="1"/>
  <c r="L1979" i="12"/>
  <c r="M1979" i="12"/>
  <c r="N1979" i="12"/>
  <c r="O1979" i="12" s="1"/>
  <c r="L1980" i="12"/>
  <c r="M1980" i="12"/>
  <c r="N1980" i="12"/>
  <c r="O1980" i="12" s="1"/>
  <c r="L1981" i="12"/>
  <c r="M1981" i="12"/>
  <c r="N1981" i="12"/>
  <c r="O1981" i="12" s="1"/>
  <c r="L1982" i="12"/>
  <c r="M1982" i="12"/>
  <c r="N1982" i="12"/>
  <c r="O1982" i="12" s="1"/>
  <c r="L1983" i="12"/>
  <c r="M1983" i="12"/>
  <c r="N1983" i="12"/>
  <c r="O1983" i="12" s="1"/>
  <c r="L1984" i="12"/>
  <c r="M1984" i="12"/>
  <c r="N1984" i="12"/>
  <c r="O1984" i="12" s="1"/>
  <c r="L1985" i="12"/>
  <c r="M1985" i="12"/>
  <c r="N1985" i="12"/>
  <c r="O1985" i="12" s="1"/>
  <c r="L1986" i="12"/>
  <c r="M1986" i="12"/>
  <c r="N1986" i="12"/>
  <c r="O1986" i="12" s="1"/>
  <c r="L1987" i="12"/>
  <c r="M1987" i="12"/>
  <c r="N1987" i="12"/>
  <c r="O1987" i="12" s="1"/>
  <c r="L1988" i="12"/>
  <c r="M1988" i="12"/>
  <c r="N1988" i="12"/>
  <c r="O1988" i="12" s="1"/>
  <c r="L1989" i="12"/>
  <c r="M1989" i="12"/>
  <c r="N1989" i="12"/>
  <c r="O1989" i="12" s="1"/>
  <c r="L1990" i="12"/>
  <c r="M1990" i="12"/>
  <c r="N1990" i="12"/>
  <c r="O1990" i="12" s="1"/>
  <c r="L1991" i="12"/>
  <c r="M1991" i="12"/>
  <c r="N1991" i="12"/>
  <c r="O1991" i="12" s="1"/>
  <c r="L1992" i="12"/>
  <c r="M1992" i="12"/>
  <c r="N1992" i="12"/>
  <c r="O1992" i="12" s="1"/>
  <c r="L1993" i="12"/>
  <c r="M1993" i="12"/>
  <c r="N1993" i="12"/>
  <c r="O1993" i="12" s="1"/>
  <c r="L1994" i="12"/>
  <c r="M1994" i="12"/>
  <c r="N1994" i="12"/>
  <c r="O1994" i="12" s="1"/>
  <c r="L1995" i="12"/>
  <c r="M1995" i="12"/>
  <c r="N1995" i="12"/>
  <c r="O1995" i="12" s="1"/>
  <c r="L1996" i="12"/>
  <c r="M1996" i="12"/>
  <c r="N1996" i="12"/>
  <c r="O1996" i="12" s="1"/>
  <c r="L1997" i="12"/>
  <c r="M1997" i="12"/>
  <c r="N1997" i="12"/>
  <c r="O1997" i="12" s="1"/>
  <c r="L1998" i="12"/>
  <c r="M1998" i="12"/>
  <c r="N1998" i="12"/>
  <c r="O1998" i="12" s="1"/>
  <c r="L1999" i="12"/>
  <c r="M1999" i="12"/>
  <c r="N1999" i="12"/>
  <c r="O1999" i="12" s="1"/>
  <c r="L2000" i="12"/>
  <c r="M2000" i="12"/>
  <c r="N2000" i="12"/>
  <c r="O2000" i="12" s="1"/>
  <c r="L2001" i="12"/>
  <c r="M2001" i="12"/>
  <c r="N2001" i="12"/>
  <c r="O2001" i="12" s="1"/>
  <c r="O2" i="12"/>
  <c r="N2" i="12"/>
  <c r="M2" i="12"/>
  <c r="L2" i="12"/>
  <c r="E8" i="10"/>
  <c r="E7" i="10"/>
  <c r="E6" i="10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1515" i="12"/>
  <c r="I1516" i="12"/>
  <c r="I1517" i="12"/>
  <c r="I1518" i="12"/>
  <c r="I1519" i="12"/>
  <c r="I1520" i="12"/>
  <c r="I1521" i="12"/>
  <c r="I1522" i="12"/>
  <c r="I1523" i="12"/>
  <c r="I1524" i="12"/>
  <c r="I1525" i="12"/>
  <c r="I1526" i="12"/>
  <c r="I1527" i="12"/>
  <c r="I1528" i="12"/>
  <c r="I1529" i="12"/>
  <c r="I1530" i="12"/>
  <c r="I1531" i="12"/>
  <c r="I1532" i="12"/>
  <c r="I1533" i="12"/>
  <c r="I1534" i="12"/>
  <c r="I1535" i="12"/>
  <c r="I1536" i="12"/>
  <c r="I1537" i="12"/>
  <c r="I1538" i="12"/>
  <c r="I1539" i="12"/>
  <c r="I1540" i="12"/>
  <c r="I1541" i="12"/>
  <c r="I1542" i="12"/>
  <c r="I1543" i="12"/>
  <c r="I1544" i="12"/>
  <c r="I1545" i="12"/>
  <c r="I1546" i="12"/>
  <c r="I1547" i="12"/>
  <c r="I1548" i="12"/>
  <c r="I1549" i="12"/>
  <c r="I1550" i="12"/>
  <c r="I1551" i="12"/>
  <c r="I1552" i="12"/>
  <c r="I1553" i="12"/>
  <c r="I1554" i="12"/>
  <c r="I1555" i="12"/>
  <c r="I1556" i="12"/>
  <c r="I1557" i="12"/>
  <c r="I1558" i="12"/>
  <c r="I1559" i="12"/>
  <c r="I1560" i="12"/>
  <c r="I1561" i="12"/>
  <c r="I1562" i="12"/>
  <c r="I1563" i="12"/>
  <c r="I1564" i="12"/>
  <c r="I1565" i="12"/>
  <c r="I1566" i="12"/>
  <c r="I1567" i="12"/>
  <c r="I1568" i="12"/>
  <c r="I1569" i="12"/>
  <c r="I1570" i="12"/>
  <c r="I1571" i="12"/>
  <c r="I1572" i="12"/>
  <c r="I1573" i="12"/>
  <c r="I1574" i="12"/>
  <c r="I1575" i="12"/>
  <c r="I1576" i="12"/>
  <c r="I1577" i="12"/>
  <c r="I1578" i="12"/>
  <c r="I1579" i="12"/>
  <c r="I1580" i="12"/>
  <c r="I1581" i="12"/>
  <c r="I1582" i="12"/>
  <c r="I1583" i="12"/>
  <c r="I1584" i="12"/>
  <c r="I1585" i="12"/>
  <c r="I1586" i="12"/>
  <c r="I1587" i="12"/>
  <c r="I1588" i="12"/>
  <c r="I1589" i="12"/>
  <c r="I1590" i="12"/>
  <c r="I1591" i="12"/>
  <c r="I1592" i="12"/>
  <c r="I1593" i="12"/>
  <c r="I1594" i="12"/>
  <c r="I1595" i="12"/>
  <c r="I1596" i="12"/>
  <c r="I1597" i="12"/>
  <c r="I1598" i="12"/>
  <c r="I1599" i="12"/>
  <c r="I1600" i="12"/>
  <c r="I1601" i="12"/>
  <c r="I1602" i="12"/>
  <c r="I1603" i="12"/>
  <c r="I1604" i="12"/>
  <c r="I1605" i="12"/>
  <c r="I1606" i="12"/>
  <c r="I1607" i="12"/>
  <c r="I1608" i="12"/>
  <c r="I1609" i="12"/>
  <c r="I1610" i="12"/>
  <c r="I1611" i="12"/>
  <c r="I1612" i="12"/>
  <c r="I1613" i="12"/>
  <c r="I1614" i="12"/>
  <c r="I1615" i="12"/>
  <c r="I1616" i="12"/>
  <c r="I1617" i="12"/>
  <c r="I1618" i="12"/>
  <c r="I1619" i="12"/>
  <c r="I1620" i="12"/>
  <c r="I1621" i="12"/>
  <c r="I1622" i="12"/>
  <c r="I1623" i="12"/>
  <c r="I1624" i="12"/>
  <c r="I1625" i="12"/>
  <c r="I1626" i="12"/>
  <c r="I1627" i="12"/>
  <c r="I1628" i="12"/>
  <c r="I1629" i="12"/>
  <c r="I1630" i="12"/>
  <c r="I1631" i="12"/>
  <c r="I1632" i="12"/>
  <c r="I1633" i="12"/>
  <c r="I1634" i="12"/>
  <c r="I1635" i="12"/>
  <c r="I1636" i="12"/>
  <c r="I1637" i="12"/>
  <c r="I1638" i="12"/>
  <c r="I1639" i="12"/>
  <c r="I1640" i="12"/>
  <c r="I1641" i="12"/>
  <c r="I1642" i="12"/>
  <c r="I1643" i="12"/>
  <c r="I1644" i="12"/>
  <c r="I1645" i="12"/>
  <c r="I1646" i="12"/>
  <c r="I1647" i="12"/>
  <c r="I1648" i="12"/>
  <c r="I1649" i="12"/>
  <c r="I1650" i="12"/>
  <c r="I1651" i="12"/>
  <c r="I1652" i="12"/>
  <c r="I1653" i="12"/>
  <c r="I1654" i="12"/>
  <c r="I1655" i="12"/>
  <c r="I1656" i="12"/>
  <c r="I1657" i="12"/>
  <c r="I1658" i="12"/>
  <c r="I1659" i="12"/>
  <c r="I1660" i="12"/>
  <c r="I1661" i="12"/>
  <c r="I1662" i="12"/>
  <c r="I1663" i="12"/>
  <c r="I1664" i="12"/>
  <c r="I1665" i="12"/>
  <c r="I1666" i="12"/>
  <c r="I1667" i="12"/>
  <c r="I1668" i="12"/>
  <c r="I1669" i="12"/>
  <c r="I1670" i="12"/>
  <c r="I1671" i="12"/>
  <c r="I1672" i="12"/>
  <c r="I1673" i="12"/>
  <c r="I1674" i="12"/>
  <c r="I1675" i="12"/>
  <c r="I1676" i="12"/>
  <c r="I1677" i="12"/>
  <c r="I1678" i="12"/>
  <c r="I1679" i="12"/>
  <c r="I1680" i="12"/>
  <c r="I1681" i="12"/>
  <c r="I1682" i="12"/>
  <c r="I1683" i="12"/>
  <c r="I1684" i="12"/>
  <c r="I1685" i="12"/>
  <c r="I1686" i="12"/>
  <c r="I1687" i="12"/>
  <c r="I1688" i="12"/>
  <c r="I1689" i="12"/>
  <c r="I1690" i="12"/>
  <c r="I1691" i="12"/>
  <c r="I1692" i="12"/>
  <c r="I1693" i="12"/>
  <c r="I1694" i="12"/>
  <c r="I1695" i="12"/>
  <c r="I1696" i="12"/>
  <c r="I1697" i="12"/>
  <c r="I1698" i="12"/>
  <c r="I1699" i="12"/>
  <c r="I1700" i="12"/>
  <c r="I1701" i="12"/>
  <c r="I1702" i="12"/>
  <c r="I1703" i="12"/>
  <c r="I1704" i="12"/>
  <c r="I1705" i="12"/>
  <c r="I1706" i="12"/>
  <c r="I1707" i="12"/>
  <c r="I1708" i="12"/>
  <c r="I1709" i="12"/>
  <c r="I1710" i="12"/>
  <c r="I1711" i="12"/>
  <c r="I1712" i="12"/>
  <c r="I1713" i="12"/>
  <c r="I1714" i="12"/>
  <c r="I1715" i="12"/>
  <c r="I1716" i="12"/>
  <c r="I1717" i="12"/>
  <c r="I1718" i="12"/>
  <c r="I1719" i="12"/>
  <c r="I1720" i="12"/>
  <c r="I1721" i="12"/>
  <c r="I1722" i="12"/>
  <c r="I1723" i="12"/>
  <c r="I1724" i="12"/>
  <c r="I1725" i="12"/>
  <c r="I1726" i="12"/>
  <c r="I1727" i="12"/>
  <c r="I1728" i="12"/>
  <c r="I1729" i="12"/>
  <c r="I1730" i="12"/>
  <c r="I1731" i="12"/>
  <c r="I1732" i="12"/>
  <c r="I1733" i="12"/>
  <c r="I1734" i="12"/>
  <c r="I1735" i="12"/>
  <c r="I1736" i="12"/>
  <c r="I1737" i="12"/>
  <c r="I1738" i="12"/>
  <c r="I1739" i="12"/>
  <c r="I1740" i="12"/>
  <c r="I1741" i="12"/>
  <c r="I1742" i="12"/>
  <c r="I1743" i="12"/>
  <c r="I1744" i="12"/>
  <c r="I1745" i="12"/>
  <c r="I1746" i="12"/>
  <c r="I1747" i="12"/>
  <c r="I1748" i="12"/>
  <c r="I1749" i="12"/>
  <c r="I1750" i="12"/>
  <c r="I1751" i="12"/>
  <c r="I1752" i="12"/>
  <c r="I1753" i="12"/>
  <c r="I1754" i="12"/>
  <c r="I1755" i="12"/>
  <c r="I1756" i="12"/>
  <c r="I1757" i="12"/>
  <c r="I1758" i="12"/>
  <c r="I1759" i="12"/>
  <c r="I1760" i="12"/>
  <c r="I1761" i="12"/>
  <c r="I1762" i="12"/>
  <c r="I1763" i="12"/>
  <c r="I1764" i="12"/>
  <c r="I1765" i="12"/>
  <c r="I1766" i="12"/>
  <c r="I1767" i="12"/>
  <c r="I1768" i="12"/>
  <c r="I1769" i="12"/>
  <c r="I1770" i="12"/>
  <c r="I1771" i="12"/>
  <c r="I1772" i="12"/>
  <c r="I1773" i="12"/>
  <c r="I1774" i="12"/>
  <c r="I1775" i="12"/>
  <c r="I1776" i="12"/>
  <c r="I1777" i="12"/>
  <c r="I1778" i="12"/>
  <c r="I1779" i="12"/>
  <c r="I1780" i="12"/>
  <c r="I1781" i="12"/>
  <c r="I1782" i="12"/>
  <c r="I1783" i="12"/>
  <c r="I1784" i="12"/>
  <c r="I1785" i="12"/>
  <c r="I1786" i="12"/>
  <c r="I1787" i="12"/>
  <c r="I1788" i="12"/>
  <c r="I1789" i="12"/>
  <c r="I1790" i="12"/>
  <c r="I1791" i="12"/>
  <c r="I1792" i="12"/>
  <c r="I1793" i="12"/>
  <c r="I1794" i="12"/>
  <c r="I1795" i="12"/>
  <c r="I1796" i="12"/>
  <c r="I1797" i="12"/>
  <c r="I1798" i="12"/>
  <c r="I1799" i="12"/>
  <c r="I1800" i="12"/>
  <c r="I1801" i="12"/>
  <c r="I1802" i="12"/>
  <c r="I1803" i="12"/>
  <c r="I1804" i="12"/>
  <c r="I1805" i="12"/>
  <c r="I1806" i="12"/>
  <c r="I1807" i="12"/>
  <c r="I1808" i="12"/>
  <c r="I1809" i="12"/>
  <c r="I1810" i="12"/>
  <c r="I1811" i="12"/>
  <c r="I1812" i="12"/>
  <c r="I1813" i="12"/>
  <c r="I1814" i="12"/>
  <c r="I1815" i="12"/>
  <c r="I1816" i="12"/>
  <c r="I1817" i="12"/>
  <c r="I1818" i="12"/>
  <c r="I1819" i="12"/>
  <c r="I1820" i="12"/>
  <c r="I1821" i="12"/>
  <c r="I1822" i="12"/>
  <c r="I1823" i="12"/>
  <c r="I1824" i="12"/>
  <c r="I1825" i="12"/>
  <c r="I1826" i="12"/>
  <c r="I1827" i="12"/>
  <c r="I1828" i="12"/>
  <c r="I1829" i="12"/>
  <c r="I1830" i="12"/>
  <c r="I1831" i="12"/>
  <c r="I1832" i="12"/>
  <c r="I1833" i="12"/>
  <c r="I1834" i="12"/>
  <c r="I1835" i="12"/>
  <c r="I1836" i="12"/>
  <c r="I1837" i="12"/>
  <c r="I1838" i="12"/>
  <c r="I1839" i="12"/>
  <c r="I1840" i="12"/>
  <c r="I1841" i="12"/>
  <c r="I1842" i="12"/>
  <c r="I1843" i="12"/>
  <c r="I1844" i="12"/>
  <c r="I1845" i="12"/>
  <c r="I1846" i="12"/>
  <c r="I1847" i="12"/>
  <c r="I1848" i="12"/>
  <c r="I1849" i="12"/>
  <c r="I1850" i="12"/>
  <c r="I1851" i="12"/>
  <c r="I1852" i="12"/>
  <c r="I1853" i="12"/>
  <c r="I1854" i="12"/>
  <c r="I1855" i="12"/>
  <c r="I1856" i="12"/>
  <c r="I1857" i="12"/>
  <c r="I1858" i="12"/>
  <c r="I1859" i="12"/>
  <c r="I1860" i="12"/>
  <c r="I1861" i="12"/>
  <c r="I1862" i="12"/>
  <c r="I1863" i="12"/>
  <c r="I1864" i="12"/>
  <c r="I1865" i="12"/>
  <c r="I1866" i="12"/>
  <c r="I1867" i="12"/>
  <c r="I1868" i="12"/>
  <c r="I1869" i="12"/>
  <c r="I1870" i="12"/>
  <c r="I1871" i="12"/>
  <c r="I1872" i="12"/>
  <c r="I1873" i="12"/>
  <c r="I1874" i="12"/>
  <c r="I1875" i="12"/>
  <c r="I1876" i="12"/>
  <c r="I1877" i="12"/>
  <c r="I1878" i="12"/>
  <c r="I1879" i="12"/>
  <c r="I1880" i="12"/>
  <c r="I1881" i="12"/>
  <c r="I1882" i="12"/>
  <c r="I1883" i="12"/>
  <c r="I1884" i="12"/>
  <c r="I1885" i="12"/>
  <c r="I1886" i="12"/>
  <c r="I1887" i="12"/>
  <c r="I1888" i="12"/>
  <c r="I1889" i="12"/>
  <c r="I1890" i="12"/>
  <c r="I1891" i="12"/>
  <c r="I1892" i="12"/>
  <c r="I1893" i="12"/>
  <c r="I1894" i="12"/>
  <c r="I1895" i="12"/>
  <c r="I1896" i="12"/>
  <c r="I1897" i="12"/>
  <c r="I1898" i="12"/>
  <c r="I1899" i="12"/>
  <c r="I1900" i="12"/>
  <c r="I1901" i="12"/>
  <c r="I1902" i="12"/>
  <c r="I1903" i="12"/>
  <c r="I1904" i="12"/>
  <c r="I1905" i="12"/>
  <c r="I1906" i="12"/>
  <c r="I1907" i="12"/>
  <c r="I1908" i="12"/>
  <c r="I1909" i="12"/>
  <c r="I1910" i="12"/>
  <c r="I1911" i="12"/>
  <c r="I1912" i="12"/>
  <c r="I1913" i="12"/>
  <c r="I1914" i="12"/>
  <c r="I1915" i="12"/>
  <c r="I1916" i="12"/>
  <c r="I1917" i="12"/>
  <c r="I1918" i="12"/>
  <c r="I1919" i="12"/>
  <c r="I1920" i="12"/>
  <c r="I1921" i="12"/>
  <c r="I1922" i="12"/>
  <c r="I1923" i="12"/>
  <c r="I1924" i="12"/>
  <c r="I1925" i="12"/>
  <c r="I1926" i="12"/>
  <c r="I1927" i="12"/>
  <c r="I1928" i="12"/>
  <c r="I1929" i="12"/>
  <c r="I1930" i="12"/>
  <c r="I1931" i="12"/>
  <c r="I1932" i="12"/>
  <c r="I1933" i="12"/>
  <c r="I1934" i="12"/>
  <c r="I1935" i="12"/>
  <c r="I1936" i="12"/>
  <c r="I1937" i="12"/>
  <c r="I1938" i="12"/>
  <c r="I1939" i="12"/>
  <c r="I1940" i="12"/>
  <c r="I1941" i="12"/>
  <c r="I1942" i="12"/>
  <c r="I1943" i="12"/>
  <c r="I1944" i="12"/>
  <c r="I1945" i="12"/>
  <c r="I1946" i="12"/>
  <c r="I1947" i="12"/>
  <c r="I1948" i="12"/>
  <c r="I1949" i="12"/>
  <c r="I1950" i="12"/>
  <c r="I1951" i="12"/>
  <c r="I1952" i="12"/>
  <c r="I1953" i="12"/>
  <c r="I1954" i="12"/>
  <c r="I1955" i="12"/>
  <c r="I1956" i="12"/>
  <c r="I1957" i="12"/>
  <c r="I1958" i="12"/>
  <c r="I1959" i="12"/>
  <c r="I1960" i="12"/>
  <c r="I1961" i="12"/>
  <c r="I1962" i="12"/>
  <c r="I1963" i="12"/>
  <c r="I1964" i="12"/>
  <c r="I1965" i="12"/>
  <c r="I1966" i="12"/>
  <c r="I1967" i="12"/>
  <c r="I1968" i="12"/>
  <c r="I1969" i="12"/>
  <c r="I1970" i="12"/>
  <c r="I1971" i="12"/>
  <c r="I1972" i="12"/>
  <c r="I1973" i="12"/>
  <c r="I1974" i="12"/>
  <c r="I1975" i="12"/>
  <c r="I1976" i="12"/>
  <c r="I1977" i="12"/>
  <c r="I1978" i="12"/>
  <c r="I1979" i="12"/>
  <c r="I1980" i="12"/>
  <c r="I1981" i="12"/>
  <c r="I1982" i="12"/>
  <c r="I1983" i="12"/>
  <c r="I1984" i="12"/>
  <c r="I1985" i="12"/>
  <c r="I1986" i="12"/>
  <c r="I1987" i="12"/>
  <c r="I1988" i="12"/>
  <c r="I1989" i="12"/>
  <c r="I1990" i="12"/>
  <c r="I1991" i="12"/>
  <c r="I1992" i="12"/>
  <c r="I1993" i="12"/>
  <c r="I1994" i="12"/>
  <c r="I1995" i="12"/>
  <c r="I1996" i="12"/>
  <c r="I1997" i="12"/>
  <c r="I1998" i="12"/>
  <c r="I1999" i="12"/>
  <c r="I2000" i="12"/>
  <c r="I2001" i="12"/>
  <c r="I2" i="12"/>
  <c r="E5" i="10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H2001" i="12"/>
  <c r="H2" i="12"/>
  <c r="E10" i="9"/>
  <c r="E9" i="9"/>
  <c r="K35" i="12"/>
  <c r="K34" i="12"/>
  <c r="E8" i="9"/>
  <c r="J3" i="12"/>
  <c r="K3" i="12"/>
  <c r="J4" i="12"/>
  <c r="K4" i="12" s="1"/>
  <c r="J5" i="12"/>
  <c r="K5" i="12" s="1"/>
  <c r="J6" i="12"/>
  <c r="K6" i="12"/>
  <c r="J7" i="12"/>
  <c r="K7" i="12"/>
  <c r="J8" i="12"/>
  <c r="K8" i="12"/>
  <c r="J9" i="12"/>
  <c r="K9" i="12"/>
  <c r="J10" i="12"/>
  <c r="K10" i="12" s="1"/>
  <c r="J11" i="12"/>
  <c r="K11" i="12" s="1"/>
  <c r="J12" i="12"/>
  <c r="K12" i="12" s="1"/>
  <c r="J13" i="12"/>
  <c r="K13" i="12" s="1"/>
  <c r="J14" i="12"/>
  <c r="K14" i="12" s="1"/>
  <c r="J15" i="12"/>
  <c r="K15" i="12" s="1"/>
  <c r="J16" i="12"/>
  <c r="K16" i="12" s="1"/>
  <c r="J17" i="12"/>
  <c r="K17" i="12" s="1"/>
  <c r="J18" i="12"/>
  <c r="K18" i="12" s="1"/>
  <c r="J19" i="12"/>
  <c r="K19" i="12" s="1"/>
  <c r="J20" i="12"/>
  <c r="K20" i="12" s="1"/>
  <c r="J21" i="12"/>
  <c r="K21" i="12" s="1"/>
  <c r="J22" i="12"/>
  <c r="K22" i="12" s="1"/>
  <c r="J23" i="12"/>
  <c r="K23" i="12" s="1"/>
  <c r="J24" i="12"/>
  <c r="K24" i="12" s="1"/>
  <c r="J25" i="12"/>
  <c r="K25" i="12"/>
  <c r="J26" i="12"/>
  <c r="K26" i="12" s="1"/>
  <c r="J27" i="12"/>
  <c r="K27" i="12" s="1"/>
  <c r="J28" i="12"/>
  <c r="K28" i="12" s="1"/>
  <c r="J29" i="12"/>
  <c r="K29" i="12" s="1"/>
  <c r="J30" i="12"/>
  <c r="K30" i="12" s="1"/>
  <c r="J31" i="12"/>
  <c r="K31" i="12" s="1"/>
  <c r="K2" i="12"/>
  <c r="J2" i="12"/>
  <c r="E7" i="9"/>
  <c r="A3" i="12"/>
  <c r="B3" i="12"/>
  <c r="C3" i="12"/>
  <c r="D3" i="12"/>
  <c r="E3" i="12"/>
  <c r="F3" i="12"/>
  <c r="G3" i="12"/>
  <c r="A4" i="12"/>
  <c r="B4" i="12"/>
  <c r="C4" i="12"/>
  <c r="D4" i="12"/>
  <c r="E4" i="12"/>
  <c r="F4" i="12"/>
  <c r="G4" i="12"/>
  <c r="A5" i="12"/>
  <c r="B5" i="12"/>
  <c r="C5" i="12"/>
  <c r="D5" i="12"/>
  <c r="E5" i="12"/>
  <c r="F5" i="12"/>
  <c r="G5" i="12"/>
  <c r="A6" i="12"/>
  <c r="B6" i="12"/>
  <c r="C6" i="12"/>
  <c r="D6" i="12"/>
  <c r="E6" i="12"/>
  <c r="F6" i="12"/>
  <c r="G6" i="12"/>
  <c r="A7" i="12"/>
  <c r="B7" i="12"/>
  <c r="C7" i="12"/>
  <c r="D7" i="12"/>
  <c r="E7" i="12"/>
  <c r="F7" i="12"/>
  <c r="G7" i="12"/>
  <c r="A8" i="12"/>
  <c r="B8" i="12"/>
  <c r="C8" i="12"/>
  <c r="D8" i="12"/>
  <c r="E8" i="12"/>
  <c r="F8" i="12"/>
  <c r="G8" i="12"/>
  <c r="A9" i="12"/>
  <c r="B9" i="12"/>
  <c r="C9" i="12"/>
  <c r="D9" i="12"/>
  <c r="E9" i="12"/>
  <c r="F9" i="12"/>
  <c r="G9" i="12"/>
  <c r="A10" i="12"/>
  <c r="B10" i="12"/>
  <c r="C10" i="12"/>
  <c r="D10" i="12"/>
  <c r="E10" i="12"/>
  <c r="F10" i="12"/>
  <c r="G10" i="12"/>
  <c r="A11" i="12"/>
  <c r="B11" i="12"/>
  <c r="C11" i="12"/>
  <c r="D11" i="12"/>
  <c r="E11" i="12"/>
  <c r="F11" i="12"/>
  <c r="G11" i="12"/>
  <c r="A12" i="12"/>
  <c r="B12" i="12"/>
  <c r="C12" i="12"/>
  <c r="D12" i="12"/>
  <c r="E12" i="12"/>
  <c r="F12" i="12"/>
  <c r="G12" i="12"/>
  <c r="A13" i="12"/>
  <c r="B13" i="12"/>
  <c r="C13" i="12"/>
  <c r="D13" i="12"/>
  <c r="E13" i="12"/>
  <c r="F13" i="12"/>
  <c r="G13" i="12"/>
  <c r="A14" i="12"/>
  <c r="B14" i="12"/>
  <c r="C14" i="12"/>
  <c r="D14" i="12"/>
  <c r="E14" i="12"/>
  <c r="F14" i="12"/>
  <c r="G14" i="12"/>
  <c r="A15" i="12"/>
  <c r="B15" i="12"/>
  <c r="C15" i="12"/>
  <c r="D15" i="12"/>
  <c r="E15" i="12"/>
  <c r="F15" i="12"/>
  <c r="G15" i="12"/>
  <c r="A16" i="12"/>
  <c r="B16" i="12"/>
  <c r="C16" i="12"/>
  <c r="D16" i="12"/>
  <c r="E16" i="12"/>
  <c r="F16" i="12"/>
  <c r="G16" i="12"/>
  <c r="A17" i="12"/>
  <c r="B17" i="12"/>
  <c r="C17" i="12"/>
  <c r="D17" i="12"/>
  <c r="E17" i="12"/>
  <c r="F17" i="12"/>
  <c r="G17" i="12"/>
  <c r="A18" i="12"/>
  <c r="B18" i="12"/>
  <c r="C18" i="12"/>
  <c r="D18" i="12"/>
  <c r="E18" i="12"/>
  <c r="F18" i="12"/>
  <c r="G18" i="12"/>
  <c r="A19" i="12"/>
  <c r="B19" i="12"/>
  <c r="C19" i="12"/>
  <c r="D19" i="12"/>
  <c r="E19" i="12"/>
  <c r="F19" i="12"/>
  <c r="G19" i="12"/>
  <c r="A20" i="12"/>
  <c r="B20" i="12"/>
  <c r="C20" i="12"/>
  <c r="D20" i="12"/>
  <c r="E20" i="12"/>
  <c r="F20" i="12"/>
  <c r="G20" i="12"/>
  <c r="A21" i="12"/>
  <c r="B21" i="12"/>
  <c r="C21" i="12"/>
  <c r="D21" i="12"/>
  <c r="E21" i="12"/>
  <c r="F21" i="12"/>
  <c r="G21" i="12"/>
  <c r="A22" i="12"/>
  <c r="B22" i="12"/>
  <c r="C22" i="12"/>
  <c r="D22" i="12"/>
  <c r="E22" i="12"/>
  <c r="F22" i="12"/>
  <c r="G22" i="12"/>
  <c r="A23" i="12"/>
  <c r="B23" i="12"/>
  <c r="C23" i="12"/>
  <c r="D23" i="12"/>
  <c r="E23" i="12"/>
  <c r="F23" i="12"/>
  <c r="G23" i="12"/>
  <c r="A24" i="12"/>
  <c r="B24" i="12"/>
  <c r="C24" i="12"/>
  <c r="D24" i="12"/>
  <c r="E24" i="12"/>
  <c r="F24" i="12"/>
  <c r="G24" i="12"/>
  <c r="A25" i="12"/>
  <c r="B25" i="12"/>
  <c r="C25" i="12"/>
  <c r="D25" i="12"/>
  <c r="E25" i="12"/>
  <c r="F25" i="12"/>
  <c r="G25" i="12"/>
  <c r="A26" i="12"/>
  <c r="B26" i="12"/>
  <c r="C26" i="12"/>
  <c r="D26" i="12"/>
  <c r="E26" i="12"/>
  <c r="F26" i="12"/>
  <c r="G26" i="12"/>
  <c r="A27" i="12"/>
  <c r="B27" i="12"/>
  <c r="C27" i="12"/>
  <c r="D27" i="12"/>
  <c r="E27" i="12"/>
  <c r="F27" i="12"/>
  <c r="G27" i="12"/>
  <c r="A28" i="12"/>
  <c r="B28" i="12"/>
  <c r="C28" i="12"/>
  <c r="D28" i="12"/>
  <c r="E28" i="12"/>
  <c r="F28" i="12"/>
  <c r="G28" i="12"/>
  <c r="A29" i="12"/>
  <c r="B29" i="12"/>
  <c r="C29" i="12"/>
  <c r="D29" i="12"/>
  <c r="E29" i="12"/>
  <c r="F29" i="12"/>
  <c r="G29" i="12"/>
  <c r="A30" i="12"/>
  <c r="B30" i="12"/>
  <c r="C30" i="12"/>
  <c r="D30" i="12"/>
  <c r="E30" i="12"/>
  <c r="F30" i="12"/>
  <c r="G30" i="12"/>
  <c r="A31" i="12"/>
  <c r="B31" i="12"/>
  <c r="C31" i="12"/>
  <c r="D31" i="12"/>
  <c r="E31" i="12"/>
  <c r="F31" i="12"/>
  <c r="G31" i="12"/>
  <c r="A32" i="12"/>
  <c r="B32" i="12"/>
  <c r="C32" i="12"/>
  <c r="D32" i="12"/>
  <c r="E32" i="12"/>
  <c r="F32" i="12"/>
  <c r="G32" i="12"/>
  <c r="A33" i="12"/>
  <c r="B33" i="12"/>
  <c r="C33" i="12"/>
  <c r="D33" i="12"/>
  <c r="E33" i="12"/>
  <c r="F33" i="12"/>
  <c r="G33" i="12"/>
  <c r="A34" i="12"/>
  <c r="B34" i="12"/>
  <c r="C34" i="12"/>
  <c r="D34" i="12"/>
  <c r="E34" i="12"/>
  <c r="F34" i="12"/>
  <c r="G34" i="12"/>
  <c r="A35" i="12"/>
  <c r="B35" i="12"/>
  <c r="C35" i="12"/>
  <c r="D35" i="12"/>
  <c r="E35" i="12"/>
  <c r="F35" i="12"/>
  <c r="G35" i="12"/>
  <c r="A36" i="12"/>
  <c r="B36" i="12"/>
  <c r="C36" i="12"/>
  <c r="D36" i="12"/>
  <c r="E36" i="12"/>
  <c r="F36" i="12"/>
  <c r="G36" i="12"/>
  <c r="A37" i="12"/>
  <c r="B37" i="12"/>
  <c r="C37" i="12"/>
  <c r="D37" i="12"/>
  <c r="E37" i="12"/>
  <c r="F37" i="12"/>
  <c r="G37" i="12"/>
  <c r="A38" i="12"/>
  <c r="B38" i="12"/>
  <c r="C38" i="12"/>
  <c r="D38" i="12"/>
  <c r="E38" i="12"/>
  <c r="F38" i="12"/>
  <c r="G38" i="12"/>
  <c r="A39" i="12"/>
  <c r="B39" i="12"/>
  <c r="C39" i="12"/>
  <c r="D39" i="12"/>
  <c r="E39" i="12"/>
  <c r="F39" i="12"/>
  <c r="G39" i="12"/>
  <c r="A40" i="12"/>
  <c r="B40" i="12"/>
  <c r="C40" i="12"/>
  <c r="D40" i="12"/>
  <c r="E40" i="12"/>
  <c r="F40" i="12"/>
  <c r="G40" i="12"/>
  <c r="A41" i="12"/>
  <c r="B41" i="12"/>
  <c r="C41" i="12"/>
  <c r="D41" i="12"/>
  <c r="E41" i="12"/>
  <c r="F41" i="12"/>
  <c r="G41" i="12"/>
  <c r="A42" i="12"/>
  <c r="B42" i="12"/>
  <c r="C42" i="12"/>
  <c r="D42" i="12"/>
  <c r="E42" i="12"/>
  <c r="F42" i="12"/>
  <c r="G42" i="12"/>
  <c r="A43" i="12"/>
  <c r="B43" i="12"/>
  <c r="C43" i="12"/>
  <c r="D43" i="12"/>
  <c r="E43" i="12"/>
  <c r="F43" i="12"/>
  <c r="G43" i="12"/>
  <c r="A44" i="12"/>
  <c r="B44" i="12"/>
  <c r="C44" i="12"/>
  <c r="D44" i="12"/>
  <c r="E44" i="12"/>
  <c r="F44" i="12"/>
  <c r="G44" i="12"/>
  <c r="A45" i="12"/>
  <c r="B45" i="12"/>
  <c r="C45" i="12"/>
  <c r="D45" i="12"/>
  <c r="E45" i="12"/>
  <c r="F45" i="12"/>
  <c r="G45" i="12"/>
  <c r="A46" i="12"/>
  <c r="B46" i="12"/>
  <c r="C46" i="12"/>
  <c r="D46" i="12"/>
  <c r="E46" i="12"/>
  <c r="F46" i="12"/>
  <c r="G46" i="12"/>
  <c r="A47" i="12"/>
  <c r="B47" i="12"/>
  <c r="C47" i="12"/>
  <c r="D47" i="12"/>
  <c r="E47" i="12"/>
  <c r="F47" i="12"/>
  <c r="G47" i="12"/>
  <c r="A48" i="12"/>
  <c r="B48" i="12"/>
  <c r="C48" i="12"/>
  <c r="D48" i="12"/>
  <c r="E48" i="12"/>
  <c r="F48" i="12"/>
  <c r="G48" i="12"/>
  <c r="A49" i="12"/>
  <c r="B49" i="12"/>
  <c r="C49" i="12"/>
  <c r="D49" i="12"/>
  <c r="E49" i="12"/>
  <c r="F49" i="12"/>
  <c r="G49" i="12"/>
  <c r="A50" i="12"/>
  <c r="B50" i="12"/>
  <c r="C50" i="12"/>
  <c r="D50" i="12"/>
  <c r="E50" i="12"/>
  <c r="F50" i="12"/>
  <c r="G50" i="12"/>
  <c r="A51" i="12"/>
  <c r="B51" i="12"/>
  <c r="C51" i="12"/>
  <c r="D51" i="12"/>
  <c r="E51" i="12"/>
  <c r="F51" i="12"/>
  <c r="G51" i="12"/>
  <c r="A52" i="12"/>
  <c r="B52" i="12"/>
  <c r="C52" i="12"/>
  <c r="D52" i="12"/>
  <c r="E52" i="12"/>
  <c r="F52" i="12"/>
  <c r="G52" i="12"/>
  <c r="A53" i="12"/>
  <c r="B53" i="12"/>
  <c r="C53" i="12"/>
  <c r="D53" i="12"/>
  <c r="E53" i="12"/>
  <c r="F53" i="12"/>
  <c r="G53" i="12"/>
  <c r="A54" i="12"/>
  <c r="B54" i="12"/>
  <c r="C54" i="12"/>
  <c r="D54" i="12"/>
  <c r="E54" i="12"/>
  <c r="F54" i="12"/>
  <c r="G54" i="12"/>
  <c r="A55" i="12"/>
  <c r="B55" i="12"/>
  <c r="C55" i="12"/>
  <c r="D55" i="12"/>
  <c r="E55" i="12"/>
  <c r="F55" i="12"/>
  <c r="G55" i="12"/>
  <c r="A56" i="12"/>
  <c r="B56" i="12"/>
  <c r="C56" i="12"/>
  <c r="D56" i="12"/>
  <c r="E56" i="12"/>
  <c r="F56" i="12"/>
  <c r="G56" i="12"/>
  <c r="A57" i="12"/>
  <c r="B57" i="12"/>
  <c r="C57" i="12"/>
  <c r="D57" i="12"/>
  <c r="E57" i="12"/>
  <c r="F57" i="12"/>
  <c r="G57" i="12"/>
  <c r="A58" i="12"/>
  <c r="B58" i="12"/>
  <c r="C58" i="12"/>
  <c r="D58" i="12"/>
  <c r="E58" i="12"/>
  <c r="F58" i="12"/>
  <c r="G58" i="12"/>
  <c r="A59" i="12"/>
  <c r="B59" i="12"/>
  <c r="C59" i="12"/>
  <c r="D59" i="12"/>
  <c r="E59" i="12"/>
  <c r="F59" i="12"/>
  <c r="G59" i="12"/>
  <c r="A60" i="12"/>
  <c r="B60" i="12"/>
  <c r="C60" i="12"/>
  <c r="D60" i="12"/>
  <c r="E60" i="12"/>
  <c r="F60" i="12"/>
  <c r="G60" i="12"/>
  <c r="A61" i="12"/>
  <c r="B61" i="12"/>
  <c r="C61" i="12"/>
  <c r="D61" i="12"/>
  <c r="E61" i="12"/>
  <c r="F61" i="12"/>
  <c r="G61" i="12"/>
  <c r="A62" i="12"/>
  <c r="B62" i="12"/>
  <c r="C62" i="12"/>
  <c r="D62" i="12"/>
  <c r="E62" i="12"/>
  <c r="F62" i="12"/>
  <c r="G62" i="12"/>
  <c r="A63" i="12"/>
  <c r="B63" i="12"/>
  <c r="C63" i="12"/>
  <c r="D63" i="12"/>
  <c r="E63" i="12"/>
  <c r="F63" i="12"/>
  <c r="G63" i="12"/>
  <c r="A64" i="12"/>
  <c r="B64" i="12"/>
  <c r="C64" i="12"/>
  <c r="D64" i="12"/>
  <c r="E64" i="12"/>
  <c r="F64" i="12"/>
  <c r="G64" i="12"/>
  <c r="A65" i="12"/>
  <c r="B65" i="12"/>
  <c r="C65" i="12"/>
  <c r="D65" i="12"/>
  <c r="E65" i="12"/>
  <c r="F65" i="12"/>
  <c r="G65" i="12"/>
  <c r="A66" i="12"/>
  <c r="B66" i="12"/>
  <c r="C66" i="12"/>
  <c r="D66" i="12"/>
  <c r="E66" i="12"/>
  <c r="F66" i="12"/>
  <c r="G66" i="12"/>
  <c r="A67" i="12"/>
  <c r="B67" i="12"/>
  <c r="C67" i="12"/>
  <c r="D67" i="12"/>
  <c r="E67" i="12"/>
  <c r="F67" i="12"/>
  <c r="G67" i="12"/>
  <c r="A68" i="12"/>
  <c r="B68" i="12"/>
  <c r="C68" i="12"/>
  <c r="D68" i="12"/>
  <c r="E68" i="12"/>
  <c r="F68" i="12"/>
  <c r="G68" i="12"/>
  <c r="A69" i="12"/>
  <c r="B69" i="12"/>
  <c r="C69" i="12"/>
  <c r="D69" i="12"/>
  <c r="E69" i="12"/>
  <c r="F69" i="12"/>
  <c r="G69" i="12"/>
  <c r="A70" i="12"/>
  <c r="B70" i="12"/>
  <c r="C70" i="12"/>
  <c r="D70" i="12"/>
  <c r="E70" i="12"/>
  <c r="F70" i="12"/>
  <c r="G70" i="12"/>
  <c r="A71" i="12"/>
  <c r="B71" i="12"/>
  <c r="C71" i="12"/>
  <c r="D71" i="12"/>
  <c r="E71" i="12"/>
  <c r="F71" i="12"/>
  <c r="G71" i="12"/>
  <c r="A72" i="12"/>
  <c r="B72" i="12"/>
  <c r="C72" i="12"/>
  <c r="D72" i="12"/>
  <c r="E72" i="12"/>
  <c r="F72" i="12"/>
  <c r="G72" i="12"/>
  <c r="A73" i="12"/>
  <c r="B73" i="12"/>
  <c r="C73" i="12"/>
  <c r="D73" i="12"/>
  <c r="E73" i="12"/>
  <c r="F73" i="12"/>
  <c r="G73" i="12"/>
  <c r="A74" i="12"/>
  <c r="B74" i="12"/>
  <c r="C74" i="12"/>
  <c r="D74" i="12"/>
  <c r="E74" i="12"/>
  <c r="F74" i="12"/>
  <c r="G74" i="12"/>
  <c r="A75" i="12"/>
  <c r="B75" i="12"/>
  <c r="C75" i="12"/>
  <c r="D75" i="12"/>
  <c r="E75" i="12"/>
  <c r="F75" i="12"/>
  <c r="G75" i="12"/>
  <c r="A76" i="12"/>
  <c r="B76" i="12"/>
  <c r="C76" i="12"/>
  <c r="D76" i="12"/>
  <c r="E76" i="12"/>
  <c r="F76" i="12"/>
  <c r="G76" i="12"/>
  <c r="A77" i="12"/>
  <c r="B77" i="12"/>
  <c r="C77" i="12"/>
  <c r="D77" i="12"/>
  <c r="E77" i="12"/>
  <c r="F77" i="12"/>
  <c r="G77" i="12"/>
  <c r="A78" i="12"/>
  <c r="B78" i="12"/>
  <c r="C78" i="12"/>
  <c r="D78" i="12"/>
  <c r="E78" i="12"/>
  <c r="F78" i="12"/>
  <c r="G78" i="12"/>
  <c r="A79" i="12"/>
  <c r="B79" i="12"/>
  <c r="C79" i="12"/>
  <c r="D79" i="12"/>
  <c r="E79" i="12"/>
  <c r="F79" i="12"/>
  <c r="G79" i="12"/>
  <c r="A80" i="12"/>
  <c r="B80" i="12"/>
  <c r="C80" i="12"/>
  <c r="D80" i="12"/>
  <c r="E80" i="12"/>
  <c r="F80" i="12"/>
  <c r="G80" i="12"/>
  <c r="A81" i="12"/>
  <c r="B81" i="12"/>
  <c r="C81" i="12"/>
  <c r="D81" i="12"/>
  <c r="E81" i="12"/>
  <c r="F81" i="12"/>
  <c r="G81" i="12"/>
  <c r="A82" i="12"/>
  <c r="B82" i="12"/>
  <c r="C82" i="12"/>
  <c r="D82" i="12"/>
  <c r="E82" i="12"/>
  <c r="F82" i="12"/>
  <c r="G82" i="12"/>
  <c r="A83" i="12"/>
  <c r="B83" i="12"/>
  <c r="C83" i="12"/>
  <c r="D83" i="12"/>
  <c r="E83" i="12"/>
  <c r="F83" i="12"/>
  <c r="G83" i="12"/>
  <c r="A84" i="12"/>
  <c r="B84" i="12"/>
  <c r="C84" i="12"/>
  <c r="D84" i="12"/>
  <c r="E84" i="12"/>
  <c r="F84" i="12"/>
  <c r="G84" i="12"/>
  <c r="A85" i="12"/>
  <c r="B85" i="12"/>
  <c r="C85" i="12"/>
  <c r="D85" i="12"/>
  <c r="E85" i="12"/>
  <c r="F85" i="12"/>
  <c r="G85" i="12"/>
  <c r="A86" i="12"/>
  <c r="B86" i="12"/>
  <c r="C86" i="12"/>
  <c r="D86" i="12"/>
  <c r="E86" i="12"/>
  <c r="F86" i="12"/>
  <c r="G86" i="12"/>
  <c r="A87" i="12"/>
  <c r="B87" i="12"/>
  <c r="C87" i="12"/>
  <c r="D87" i="12"/>
  <c r="E87" i="12"/>
  <c r="F87" i="12"/>
  <c r="G87" i="12"/>
  <c r="A88" i="12"/>
  <c r="B88" i="12"/>
  <c r="C88" i="12"/>
  <c r="D88" i="12"/>
  <c r="E88" i="12"/>
  <c r="F88" i="12"/>
  <c r="G88" i="12"/>
  <c r="A89" i="12"/>
  <c r="B89" i="12"/>
  <c r="C89" i="12"/>
  <c r="D89" i="12"/>
  <c r="E89" i="12"/>
  <c r="F89" i="12"/>
  <c r="G89" i="12"/>
  <c r="A90" i="12"/>
  <c r="B90" i="12"/>
  <c r="C90" i="12"/>
  <c r="D90" i="12"/>
  <c r="E90" i="12"/>
  <c r="F90" i="12"/>
  <c r="G90" i="12"/>
  <c r="A91" i="12"/>
  <c r="B91" i="12"/>
  <c r="C91" i="12"/>
  <c r="D91" i="12"/>
  <c r="E91" i="12"/>
  <c r="F91" i="12"/>
  <c r="G91" i="12"/>
  <c r="A92" i="12"/>
  <c r="B92" i="12"/>
  <c r="C92" i="12"/>
  <c r="D92" i="12"/>
  <c r="E92" i="12"/>
  <c r="F92" i="12"/>
  <c r="G92" i="12"/>
  <c r="A93" i="12"/>
  <c r="B93" i="12"/>
  <c r="C93" i="12"/>
  <c r="D93" i="12"/>
  <c r="E93" i="12"/>
  <c r="F93" i="12"/>
  <c r="G93" i="12"/>
  <c r="A94" i="12"/>
  <c r="B94" i="12"/>
  <c r="C94" i="12"/>
  <c r="D94" i="12"/>
  <c r="E94" i="12"/>
  <c r="F94" i="12"/>
  <c r="G94" i="12"/>
  <c r="A95" i="12"/>
  <c r="B95" i="12"/>
  <c r="C95" i="12"/>
  <c r="D95" i="12"/>
  <c r="E95" i="12"/>
  <c r="F95" i="12"/>
  <c r="G95" i="12"/>
  <c r="A96" i="12"/>
  <c r="B96" i="12"/>
  <c r="C96" i="12"/>
  <c r="D96" i="12"/>
  <c r="E96" i="12"/>
  <c r="F96" i="12"/>
  <c r="G96" i="12"/>
  <c r="A97" i="12"/>
  <c r="B97" i="12"/>
  <c r="C97" i="12"/>
  <c r="D97" i="12"/>
  <c r="E97" i="12"/>
  <c r="F97" i="12"/>
  <c r="G97" i="12"/>
  <c r="A98" i="12"/>
  <c r="B98" i="12"/>
  <c r="C98" i="12"/>
  <c r="D98" i="12"/>
  <c r="E98" i="12"/>
  <c r="F98" i="12"/>
  <c r="G98" i="12"/>
  <c r="A99" i="12"/>
  <c r="B99" i="12"/>
  <c r="C99" i="12"/>
  <c r="D99" i="12"/>
  <c r="E99" i="12"/>
  <c r="F99" i="12"/>
  <c r="G99" i="12"/>
  <c r="A100" i="12"/>
  <c r="B100" i="12"/>
  <c r="C100" i="12"/>
  <c r="D100" i="12"/>
  <c r="E100" i="12"/>
  <c r="F100" i="12"/>
  <c r="G100" i="12"/>
  <c r="A101" i="12"/>
  <c r="B101" i="12"/>
  <c r="C101" i="12"/>
  <c r="D101" i="12"/>
  <c r="E101" i="12"/>
  <c r="F101" i="12"/>
  <c r="G101" i="12"/>
  <c r="A102" i="12"/>
  <c r="B102" i="12"/>
  <c r="C102" i="12"/>
  <c r="D102" i="12"/>
  <c r="E102" i="12"/>
  <c r="F102" i="12"/>
  <c r="G102" i="12"/>
  <c r="A103" i="12"/>
  <c r="B103" i="12"/>
  <c r="C103" i="12"/>
  <c r="D103" i="12"/>
  <c r="E103" i="12"/>
  <c r="F103" i="12"/>
  <c r="G103" i="12"/>
  <c r="A104" i="12"/>
  <c r="B104" i="12"/>
  <c r="C104" i="12"/>
  <c r="D104" i="12"/>
  <c r="E104" i="12"/>
  <c r="F104" i="12"/>
  <c r="G104" i="12"/>
  <c r="A105" i="12"/>
  <c r="B105" i="12"/>
  <c r="C105" i="12"/>
  <c r="D105" i="12"/>
  <c r="E105" i="12"/>
  <c r="F105" i="12"/>
  <c r="G105" i="12"/>
  <c r="A106" i="12"/>
  <c r="B106" i="12"/>
  <c r="C106" i="12"/>
  <c r="D106" i="12"/>
  <c r="E106" i="12"/>
  <c r="F106" i="12"/>
  <c r="G106" i="12"/>
  <c r="A107" i="12"/>
  <c r="B107" i="12"/>
  <c r="C107" i="12"/>
  <c r="D107" i="12"/>
  <c r="E107" i="12"/>
  <c r="F107" i="12"/>
  <c r="G107" i="12"/>
  <c r="A108" i="12"/>
  <c r="B108" i="12"/>
  <c r="C108" i="12"/>
  <c r="D108" i="12"/>
  <c r="E108" i="12"/>
  <c r="F108" i="12"/>
  <c r="G108" i="12"/>
  <c r="A109" i="12"/>
  <c r="B109" i="12"/>
  <c r="C109" i="12"/>
  <c r="D109" i="12"/>
  <c r="E109" i="12"/>
  <c r="F109" i="12"/>
  <c r="G109" i="12"/>
  <c r="A110" i="12"/>
  <c r="B110" i="12"/>
  <c r="C110" i="12"/>
  <c r="D110" i="12"/>
  <c r="E110" i="12"/>
  <c r="F110" i="12"/>
  <c r="G110" i="12"/>
  <c r="A111" i="12"/>
  <c r="B111" i="12"/>
  <c r="C111" i="12"/>
  <c r="D111" i="12"/>
  <c r="E111" i="12"/>
  <c r="F111" i="12"/>
  <c r="G111" i="12"/>
  <c r="A112" i="12"/>
  <c r="B112" i="12"/>
  <c r="C112" i="12"/>
  <c r="D112" i="12"/>
  <c r="E112" i="12"/>
  <c r="F112" i="12"/>
  <c r="G112" i="12"/>
  <c r="A113" i="12"/>
  <c r="B113" i="12"/>
  <c r="C113" i="12"/>
  <c r="D113" i="12"/>
  <c r="E113" i="12"/>
  <c r="F113" i="12"/>
  <c r="G113" i="12"/>
  <c r="A114" i="12"/>
  <c r="B114" i="12"/>
  <c r="C114" i="12"/>
  <c r="D114" i="12"/>
  <c r="E114" i="12"/>
  <c r="F114" i="12"/>
  <c r="G114" i="12"/>
  <c r="A115" i="12"/>
  <c r="B115" i="12"/>
  <c r="C115" i="12"/>
  <c r="D115" i="12"/>
  <c r="E115" i="12"/>
  <c r="F115" i="12"/>
  <c r="G115" i="12"/>
  <c r="A116" i="12"/>
  <c r="B116" i="12"/>
  <c r="C116" i="12"/>
  <c r="D116" i="12"/>
  <c r="E116" i="12"/>
  <c r="F116" i="12"/>
  <c r="G116" i="12"/>
  <c r="A117" i="12"/>
  <c r="B117" i="12"/>
  <c r="C117" i="12"/>
  <c r="D117" i="12"/>
  <c r="E117" i="12"/>
  <c r="F117" i="12"/>
  <c r="G117" i="12"/>
  <c r="A118" i="12"/>
  <c r="B118" i="12"/>
  <c r="C118" i="12"/>
  <c r="D118" i="12"/>
  <c r="E118" i="12"/>
  <c r="F118" i="12"/>
  <c r="G118" i="12"/>
  <c r="A119" i="12"/>
  <c r="B119" i="12"/>
  <c r="C119" i="12"/>
  <c r="D119" i="12"/>
  <c r="E119" i="12"/>
  <c r="F119" i="12"/>
  <c r="G119" i="12"/>
  <c r="A120" i="12"/>
  <c r="B120" i="12"/>
  <c r="C120" i="12"/>
  <c r="D120" i="12"/>
  <c r="E120" i="12"/>
  <c r="F120" i="12"/>
  <c r="G120" i="12"/>
  <c r="A121" i="12"/>
  <c r="B121" i="12"/>
  <c r="C121" i="12"/>
  <c r="D121" i="12"/>
  <c r="E121" i="12"/>
  <c r="F121" i="12"/>
  <c r="G121" i="12"/>
  <c r="A122" i="12"/>
  <c r="B122" i="12"/>
  <c r="C122" i="12"/>
  <c r="D122" i="12"/>
  <c r="E122" i="12"/>
  <c r="F122" i="12"/>
  <c r="G122" i="12"/>
  <c r="A123" i="12"/>
  <c r="B123" i="12"/>
  <c r="C123" i="12"/>
  <c r="D123" i="12"/>
  <c r="E123" i="12"/>
  <c r="F123" i="12"/>
  <c r="G123" i="12"/>
  <c r="A124" i="12"/>
  <c r="B124" i="12"/>
  <c r="C124" i="12"/>
  <c r="D124" i="12"/>
  <c r="E124" i="12"/>
  <c r="F124" i="12"/>
  <c r="G124" i="12"/>
  <c r="A125" i="12"/>
  <c r="B125" i="12"/>
  <c r="C125" i="12"/>
  <c r="D125" i="12"/>
  <c r="E125" i="12"/>
  <c r="F125" i="12"/>
  <c r="G125" i="12"/>
  <c r="A126" i="12"/>
  <c r="B126" i="12"/>
  <c r="C126" i="12"/>
  <c r="D126" i="12"/>
  <c r="E126" i="12"/>
  <c r="F126" i="12"/>
  <c r="G126" i="12"/>
  <c r="A127" i="12"/>
  <c r="B127" i="12"/>
  <c r="C127" i="12"/>
  <c r="D127" i="12"/>
  <c r="E127" i="12"/>
  <c r="F127" i="12"/>
  <c r="G127" i="12"/>
  <c r="A128" i="12"/>
  <c r="B128" i="12"/>
  <c r="C128" i="12"/>
  <c r="D128" i="12"/>
  <c r="E128" i="12"/>
  <c r="F128" i="12"/>
  <c r="G128" i="12"/>
  <c r="A129" i="12"/>
  <c r="B129" i="12"/>
  <c r="C129" i="12"/>
  <c r="D129" i="12"/>
  <c r="E129" i="12"/>
  <c r="F129" i="12"/>
  <c r="G129" i="12"/>
  <c r="A130" i="12"/>
  <c r="B130" i="12"/>
  <c r="C130" i="12"/>
  <c r="D130" i="12"/>
  <c r="E130" i="12"/>
  <c r="F130" i="12"/>
  <c r="G130" i="12"/>
  <c r="A131" i="12"/>
  <c r="B131" i="12"/>
  <c r="C131" i="12"/>
  <c r="D131" i="12"/>
  <c r="E131" i="12"/>
  <c r="F131" i="12"/>
  <c r="G131" i="12"/>
  <c r="A132" i="12"/>
  <c r="B132" i="12"/>
  <c r="C132" i="12"/>
  <c r="D132" i="12"/>
  <c r="E132" i="12"/>
  <c r="F132" i="12"/>
  <c r="G132" i="12"/>
  <c r="A133" i="12"/>
  <c r="B133" i="12"/>
  <c r="C133" i="12"/>
  <c r="D133" i="12"/>
  <c r="E133" i="12"/>
  <c r="F133" i="12"/>
  <c r="G133" i="12"/>
  <c r="A134" i="12"/>
  <c r="B134" i="12"/>
  <c r="C134" i="12"/>
  <c r="D134" i="12"/>
  <c r="E134" i="12"/>
  <c r="F134" i="12"/>
  <c r="G134" i="12"/>
  <c r="A135" i="12"/>
  <c r="B135" i="12"/>
  <c r="C135" i="12"/>
  <c r="D135" i="12"/>
  <c r="E135" i="12"/>
  <c r="F135" i="12"/>
  <c r="G135" i="12"/>
  <c r="A136" i="12"/>
  <c r="B136" i="12"/>
  <c r="C136" i="12"/>
  <c r="D136" i="12"/>
  <c r="E136" i="12"/>
  <c r="F136" i="12"/>
  <c r="G136" i="12"/>
  <c r="A137" i="12"/>
  <c r="B137" i="12"/>
  <c r="C137" i="12"/>
  <c r="D137" i="12"/>
  <c r="E137" i="12"/>
  <c r="F137" i="12"/>
  <c r="G137" i="12"/>
  <c r="A138" i="12"/>
  <c r="B138" i="12"/>
  <c r="C138" i="12"/>
  <c r="D138" i="12"/>
  <c r="E138" i="12"/>
  <c r="F138" i="12"/>
  <c r="G138" i="12"/>
  <c r="A139" i="12"/>
  <c r="B139" i="12"/>
  <c r="C139" i="12"/>
  <c r="D139" i="12"/>
  <c r="E139" i="12"/>
  <c r="F139" i="12"/>
  <c r="G139" i="12"/>
  <c r="A140" i="12"/>
  <c r="B140" i="12"/>
  <c r="C140" i="12"/>
  <c r="D140" i="12"/>
  <c r="E140" i="12"/>
  <c r="F140" i="12"/>
  <c r="G140" i="12"/>
  <c r="A141" i="12"/>
  <c r="B141" i="12"/>
  <c r="C141" i="12"/>
  <c r="D141" i="12"/>
  <c r="E141" i="12"/>
  <c r="F141" i="12"/>
  <c r="G141" i="12"/>
  <c r="A142" i="12"/>
  <c r="B142" i="12"/>
  <c r="C142" i="12"/>
  <c r="D142" i="12"/>
  <c r="E142" i="12"/>
  <c r="F142" i="12"/>
  <c r="G142" i="12"/>
  <c r="A143" i="12"/>
  <c r="B143" i="12"/>
  <c r="C143" i="12"/>
  <c r="D143" i="12"/>
  <c r="E143" i="12"/>
  <c r="F143" i="12"/>
  <c r="G143" i="12"/>
  <c r="A144" i="12"/>
  <c r="B144" i="12"/>
  <c r="C144" i="12"/>
  <c r="D144" i="12"/>
  <c r="E144" i="12"/>
  <c r="F144" i="12"/>
  <c r="G144" i="12"/>
  <c r="A145" i="12"/>
  <c r="B145" i="12"/>
  <c r="C145" i="12"/>
  <c r="D145" i="12"/>
  <c r="E145" i="12"/>
  <c r="F145" i="12"/>
  <c r="G145" i="12"/>
  <c r="A146" i="12"/>
  <c r="B146" i="12"/>
  <c r="C146" i="12"/>
  <c r="D146" i="12"/>
  <c r="E146" i="12"/>
  <c r="F146" i="12"/>
  <c r="G146" i="12"/>
  <c r="A147" i="12"/>
  <c r="B147" i="12"/>
  <c r="C147" i="12"/>
  <c r="D147" i="12"/>
  <c r="E147" i="12"/>
  <c r="F147" i="12"/>
  <c r="G147" i="12"/>
  <c r="A148" i="12"/>
  <c r="B148" i="12"/>
  <c r="C148" i="12"/>
  <c r="D148" i="12"/>
  <c r="E148" i="12"/>
  <c r="F148" i="12"/>
  <c r="G148" i="12"/>
  <c r="A149" i="12"/>
  <c r="B149" i="12"/>
  <c r="C149" i="12"/>
  <c r="D149" i="12"/>
  <c r="E149" i="12"/>
  <c r="F149" i="12"/>
  <c r="G149" i="12"/>
  <c r="A150" i="12"/>
  <c r="B150" i="12"/>
  <c r="C150" i="12"/>
  <c r="D150" i="12"/>
  <c r="E150" i="12"/>
  <c r="F150" i="12"/>
  <c r="G150" i="12"/>
  <c r="A151" i="12"/>
  <c r="B151" i="12"/>
  <c r="C151" i="12"/>
  <c r="D151" i="12"/>
  <c r="E151" i="12"/>
  <c r="F151" i="12"/>
  <c r="G151" i="12"/>
  <c r="A152" i="12"/>
  <c r="B152" i="12"/>
  <c r="C152" i="12"/>
  <c r="D152" i="12"/>
  <c r="E152" i="12"/>
  <c r="F152" i="12"/>
  <c r="G152" i="12"/>
  <c r="A153" i="12"/>
  <c r="B153" i="12"/>
  <c r="C153" i="12"/>
  <c r="D153" i="12"/>
  <c r="E153" i="12"/>
  <c r="F153" i="12"/>
  <c r="G153" i="12"/>
  <c r="A154" i="12"/>
  <c r="B154" i="12"/>
  <c r="C154" i="12"/>
  <c r="D154" i="12"/>
  <c r="E154" i="12"/>
  <c r="F154" i="12"/>
  <c r="G154" i="12"/>
  <c r="A155" i="12"/>
  <c r="B155" i="12"/>
  <c r="C155" i="12"/>
  <c r="D155" i="12"/>
  <c r="E155" i="12"/>
  <c r="F155" i="12"/>
  <c r="G155" i="12"/>
  <c r="A156" i="12"/>
  <c r="B156" i="12"/>
  <c r="C156" i="12"/>
  <c r="D156" i="12"/>
  <c r="E156" i="12"/>
  <c r="F156" i="12"/>
  <c r="G156" i="12"/>
  <c r="A157" i="12"/>
  <c r="B157" i="12"/>
  <c r="C157" i="12"/>
  <c r="D157" i="12"/>
  <c r="E157" i="12"/>
  <c r="F157" i="12"/>
  <c r="G157" i="12"/>
  <c r="A158" i="12"/>
  <c r="B158" i="12"/>
  <c r="C158" i="12"/>
  <c r="D158" i="12"/>
  <c r="E158" i="12"/>
  <c r="F158" i="12"/>
  <c r="G158" i="12"/>
  <c r="A159" i="12"/>
  <c r="B159" i="12"/>
  <c r="C159" i="12"/>
  <c r="D159" i="12"/>
  <c r="E159" i="12"/>
  <c r="F159" i="12"/>
  <c r="G159" i="12"/>
  <c r="A160" i="12"/>
  <c r="B160" i="12"/>
  <c r="C160" i="12"/>
  <c r="D160" i="12"/>
  <c r="E160" i="12"/>
  <c r="F160" i="12"/>
  <c r="G160" i="12"/>
  <c r="A161" i="12"/>
  <c r="B161" i="12"/>
  <c r="C161" i="12"/>
  <c r="D161" i="12"/>
  <c r="E161" i="12"/>
  <c r="F161" i="12"/>
  <c r="G161" i="12"/>
  <c r="A162" i="12"/>
  <c r="B162" i="12"/>
  <c r="C162" i="12"/>
  <c r="D162" i="12"/>
  <c r="E162" i="12"/>
  <c r="F162" i="12"/>
  <c r="G162" i="12"/>
  <c r="A163" i="12"/>
  <c r="B163" i="12"/>
  <c r="C163" i="12"/>
  <c r="D163" i="12"/>
  <c r="E163" i="12"/>
  <c r="F163" i="12"/>
  <c r="G163" i="12"/>
  <c r="A164" i="12"/>
  <c r="B164" i="12"/>
  <c r="C164" i="12"/>
  <c r="D164" i="12"/>
  <c r="E164" i="12"/>
  <c r="F164" i="12"/>
  <c r="G164" i="12"/>
  <c r="A165" i="12"/>
  <c r="B165" i="12"/>
  <c r="C165" i="12"/>
  <c r="D165" i="12"/>
  <c r="E165" i="12"/>
  <c r="F165" i="12"/>
  <c r="G165" i="12"/>
  <c r="A166" i="12"/>
  <c r="B166" i="12"/>
  <c r="C166" i="12"/>
  <c r="D166" i="12"/>
  <c r="E166" i="12"/>
  <c r="F166" i="12"/>
  <c r="G166" i="12"/>
  <c r="A167" i="12"/>
  <c r="B167" i="12"/>
  <c r="C167" i="12"/>
  <c r="D167" i="12"/>
  <c r="E167" i="12"/>
  <c r="F167" i="12"/>
  <c r="G167" i="12"/>
  <c r="A168" i="12"/>
  <c r="B168" i="12"/>
  <c r="C168" i="12"/>
  <c r="D168" i="12"/>
  <c r="E168" i="12"/>
  <c r="F168" i="12"/>
  <c r="G168" i="12"/>
  <c r="A169" i="12"/>
  <c r="B169" i="12"/>
  <c r="C169" i="12"/>
  <c r="D169" i="12"/>
  <c r="E169" i="12"/>
  <c r="F169" i="12"/>
  <c r="G169" i="12"/>
  <c r="A170" i="12"/>
  <c r="B170" i="12"/>
  <c r="C170" i="12"/>
  <c r="D170" i="12"/>
  <c r="E170" i="12"/>
  <c r="F170" i="12"/>
  <c r="G170" i="12"/>
  <c r="A171" i="12"/>
  <c r="B171" i="12"/>
  <c r="C171" i="12"/>
  <c r="D171" i="12"/>
  <c r="E171" i="12"/>
  <c r="F171" i="12"/>
  <c r="G171" i="12"/>
  <c r="A172" i="12"/>
  <c r="B172" i="12"/>
  <c r="C172" i="12"/>
  <c r="D172" i="12"/>
  <c r="E172" i="12"/>
  <c r="F172" i="12"/>
  <c r="G172" i="12"/>
  <c r="A173" i="12"/>
  <c r="B173" i="12"/>
  <c r="C173" i="12"/>
  <c r="D173" i="12"/>
  <c r="E173" i="12"/>
  <c r="F173" i="12"/>
  <c r="G173" i="12"/>
  <c r="A174" i="12"/>
  <c r="B174" i="12"/>
  <c r="C174" i="12"/>
  <c r="D174" i="12"/>
  <c r="E174" i="12"/>
  <c r="F174" i="12"/>
  <c r="G174" i="12"/>
  <c r="A175" i="12"/>
  <c r="B175" i="12"/>
  <c r="C175" i="12"/>
  <c r="D175" i="12"/>
  <c r="E175" i="12"/>
  <c r="F175" i="12"/>
  <c r="G175" i="12"/>
  <c r="A176" i="12"/>
  <c r="B176" i="12"/>
  <c r="C176" i="12"/>
  <c r="D176" i="12"/>
  <c r="E176" i="12"/>
  <c r="F176" i="12"/>
  <c r="G176" i="12"/>
  <c r="A177" i="12"/>
  <c r="B177" i="12"/>
  <c r="C177" i="12"/>
  <c r="D177" i="12"/>
  <c r="E177" i="12"/>
  <c r="F177" i="12"/>
  <c r="G177" i="12"/>
  <c r="A178" i="12"/>
  <c r="B178" i="12"/>
  <c r="C178" i="12"/>
  <c r="D178" i="12"/>
  <c r="E178" i="12"/>
  <c r="F178" i="12"/>
  <c r="G178" i="12"/>
  <c r="A179" i="12"/>
  <c r="B179" i="12"/>
  <c r="C179" i="12"/>
  <c r="D179" i="12"/>
  <c r="E179" i="12"/>
  <c r="F179" i="12"/>
  <c r="G179" i="12"/>
  <c r="A180" i="12"/>
  <c r="B180" i="12"/>
  <c r="C180" i="12"/>
  <c r="D180" i="12"/>
  <c r="E180" i="12"/>
  <c r="F180" i="12"/>
  <c r="G180" i="12"/>
  <c r="A181" i="12"/>
  <c r="B181" i="12"/>
  <c r="C181" i="12"/>
  <c r="D181" i="12"/>
  <c r="E181" i="12"/>
  <c r="F181" i="12"/>
  <c r="G181" i="12"/>
  <c r="A182" i="12"/>
  <c r="B182" i="12"/>
  <c r="C182" i="12"/>
  <c r="D182" i="12"/>
  <c r="E182" i="12"/>
  <c r="F182" i="12"/>
  <c r="G182" i="12"/>
  <c r="A183" i="12"/>
  <c r="B183" i="12"/>
  <c r="C183" i="12"/>
  <c r="D183" i="12"/>
  <c r="E183" i="12"/>
  <c r="F183" i="12"/>
  <c r="G183" i="12"/>
  <c r="A184" i="12"/>
  <c r="B184" i="12"/>
  <c r="C184" i="12"/>
  <c r="D184" i="12"/>
  <c r="E184" i="12"/>
  <c r="F184" i="12"/>
  <c r="G184" i="12"/>
  <c r="A185" i="12"/>
  <c r="B185" i="12"/>
  <c r="C185" i="12"/>
  <c r="D185" i="12"/>
  <c r="E185" i="12"/>
  <c r="F185" i="12"/>
  <c r="G185" i="12"/>
  <c r="A186" i="12"/>
  <c r="B186" i="12"/>
  <c r="C186" i="12"/>
  <c r="D186" i="12"/>
  <c r="E186" i="12"/>
  <c r="F186" i="12"/>
  <c r="G186" i="12"/>
  <c r="A187" i="12"/>
  <c r="B187" i="12"/>
  <c r="C187" i="12"/>
  <c r="D187" i="12"/>
  <c r="E187" i="12"/>
  <c r="F187" i="12"/>
  <c r="G187" i="12"/>
  <c r="A188" i="12"/>
  <c r="B188" i="12"/>
  <c r="C188" i="12"/>
  <c r="D188" i="12"/>
  <c r="E188" i="12"/>
  <c r="F188" i="12"/>
  <c r="G188" i="12"/>
  <c r="A189" i="12"/>
  <c r="B189" i="12"/>
  <c r="C189" i="12"/>
  <c r="D189" i="12"/>
  <c r="E189" i="12"/>
  <c r="F189" i="12"/>
  <c r="G189" i="12"/>
  <c r="A190" i="12"/>
  <c r="B190" i="12"/>
  <c r="C190" i="12"/>
  <c r="D190" i="12"/>
  <c r="E190" i="12"/>
  <c r="F190" i="12"/>
  <c r="G190" i="12"/>
  <c r="A191" i="12"/>
  <c r="B191" i="12"/>
  <c r="C191" i="12"/>
  <c r="D191" i="12"/>
  <c r="E191" i="12"/>
  <c r="F191" i="12"/>
  <c r="G191" i="12"/>
  <c r="A192" i="12"/>
  <c r="B192" i="12"/>
  <c r="C192" i="12"/>
  <c r="D192" i="12"/>
  <c r="E192" i="12"/>
  <c r="F192" i="12"/>
  <c r="G192" i="12"/>
  <c r="A193" i="12"/>
  <c r="B193" i="12"/>
  <c r="C193" i="12"/>
  <c r="D193" i="12"/>
  <c r="E193" i="12"/>
  <c r="F193" i="12"/>
  <c r="G193" i="12"/>
  <c r="A194" i="12"/>
  <c r="B194" i="12"/>
  <c r="C194" i="12"/>
  <c r="D194" i="12"/>
  <c r="E194" i="12"/>
  <c r="F194" i="12"/>
  <c r="G194" i="12"/>
  <c r="A195" i="12"/>
  <c r="B195" i="12"/>
  <c r="C195" i="12"/>
  <c r="D195" i="12"/>
  <c r="E195" i="12"/>
  <c r="F195" i="12"/>
  <c r="G195" i="12"/>
  <c r="A196" i="12"/>
  <c r="B196" i="12"/>
  <c r="C196" i="12"/>
  <c r="D196" i="12"/>
  <c r="E196" i="12"/>
  <c r="F196" i="12"/>
  <c r="G196" i="12"/>
  <c r="A197" i="12"/>
  <c r="B197" i="12"/>
  <c r="C197" i="12"/>
  <c r="D197" i="12"/>
  <c r="E197" i="12"/>
  <c r="F197" i="12"/>
  <c r="G197" i="12"/>
  <c r="A198" i="12"/>
  <c r="B198" i="12"/>
  <c r="C198" i="12"/>
  <c r="D198" i="12"/>
  <c r="E198" i="12"/>
  <c r="F198" i="12"/>
  <c r="G198" i="12"/>
  <c r="A199" i="12"/>
  <c r="B199" i="12"/>
  <c r="C199" i="12"/>
  <c r="D199" i="12"/>
  <c r="E199" i="12"/>
  <c r="F199" i="12"/>
  <c r="G199" i="12"/>
  <c r="A200" i="12"/>
  <c r="B200" i="12"/>
  <c r="C200" i="12"/>
  <c r="D200" i="12"/>
  <c r="E200" i="12"/>
  <c r="F200" i="12"/>
  <c r="G200" i="12"/>
  <c r="A201" i="12"/>
  <c r="B201" i="12"/>
  <c r="C201" i="12"/>
  <c r="D201" i="12"/>
  <c r="E201" i="12"/>
  <c r="F201" i="12"/>
  <c r="G201" i="12"/>
  <c r="A202" i="12"/>
  <c r="B202" i="12"/>
  <c r="C202" i="12"/>
  <c r="D202" i="12"/>
  <c r="E202" i="12"/>
  <c r="F202" i="12"/>
  <c r="G202" i="12"/>
  <c r="A203" i="12"/>
  <c r="B203" i="12"/>
  <c r="C203" i="12"/>
  <c r="D203" i="12"/>
  <c r="E203" i="12"/>
  <c r="F203" i="12"/>
  <c r="G203" i="12"/>
  <c r="A204" i="12"/>
  <c r="B204" i="12"/>
  <c r="C204" i="12"/>
  <c r="D204" i="12"/>
  <c r="E204" i="12"/>
  <c r="F204" i="12"/>
  <c r="G204" i="12"/>
  <c r="A205" i="12"/>
  <c r="B205" i="12"/>
  <c r="C205" i="12"/>
  <c r="D205" i="12"/>
  <c r="E205" i="12"/>
  <c r="F205" i="12"/>
  <c r="G205" i="12"/>
  <c r="A206" i="12"/>
  <c r="B206" i="12"/>
  <c r="C206" i="12"/>
  <c r="D206" i="12"/>
  <c r="E206" i="12"/>
  <c r="F206" i="12"/>
  <c r="G206" i="12"/>
  <c r="A207" i="12"/>
  <c r="B207" i="12"/>
  <c r="C207" i="12"/>
  <c r="D207" i="12"/>
  <c r="E207" i="12"/>
  <c r="F207" i="12"/>
  <c r="G207" i="12"/>
  <c r="A208" i="12"/>
  <c r="B208" i="12"/>
  <c r="C208" i="12"/>
  <c r="D208" i="12"/>
  <c r="E208" i="12"/>
  <c r="F208" i="12"/>
  <c r="G208" i="12"/>
  <c r="A209" i="12"/>
  <c r="B209" i="12"/>
  <c r="C209" i="12"/>
  <c r="D209" i="12"/>
  <c r="E209" i="12"/>
  <c r="F209" i="12"/>
  <c r="G209" i="12"/>
  <c r="A210" i="12"/>
  <c r="B210" i="12"/>
  <c r="C210" i="12"/>
  <c r="D210" i="12"/>
  <c r="E210" i="12"/>
  <c r="F210" i="12"/>
  <c r="G210" i="12"/>
  <c r="A211" i="12"/>
  <c r="B211" i="12"/>
  <c r="C211" i="12"/>
  <c r="D211" i="12"/>
  <c r="E211" i="12"/>
  <c r="F211" i="12"/>
  <c r="G211" i="12"/>
  <c r="A212" i="12"/>
  <c r="B212" i="12"/>
  <c r="C212" i="12"/>
  <c r="D212" i="12"/>
  <c r="E212" i="12"/>
  <c r="F212" i="12"/>
  <c r="G212" i="12"/>
  <c r="A213" i="12"/>
  <c r="B213" i="12"/>
  <c r="C213" i="12"/>
  <c r="D213" i="12"/>
  <c r="E213" i="12"/>
  <c r="F213" i="12"/>
  <c r="G213" i="12"/>
  <c r="A214" i="12"/>
  <c r="B214" i="12"/>
  <c r="C214" i="12"/>
  <c r="D214" i="12"/>
  <c r="E214" i="12"/>
  <c r="F214" i="12"/>
  <c r="G214" i="12"/>
  <c r="A215" i="12"/>
  <c r="B215" i="12"/>
  <c r="C215" i="12"/>
  <c r="D215" i="12"/>
  <c r="E215" i="12"/>
  <c r="F215" i="12"/>
  <c r="G215" i="12"/>
  <c r="A216" i="12"/>
  <c r="B216" i="12"/>
  <c r="C216" i="12"/>
  <c r="D216" i="12"/>
  <c r="E216" i="12"/>
  <c r="F216" i="12"/>
  <c r="G216" i="12"/>
  <c r="A217" i="12"/>
  <c r="B217" i="12"/>
  <c r="C217" i="12"/>
  <c r="D217" i="12"/>
  <c r="E217" i="12"/>
  <c r="F217" i="12"/>
  <c r="G217" i="12"/>
  <c r="A218" i="12"/>
  <c r="B218" i="12"/>
  <c r="C218" i="12"/>
  <c r="D218" i="12"/>
  <c r="E218" i="12"/>
  <c r="F218" i="12"/>
  <c r="G218" i="12"/>
  <c r="A219" i="12"/>
  <c r="B219" i="12"/>
  <c r="C219" i="12"/>
  <c r="D219" i="12"/>
  <c r="E219" i="12"/>
  <c r="F219" i="12"/>
  <c r="G219" i="12"/>
  <c r="A220" i="12"/>
  <c r="B220" i="12"/>
  <c r="C220" i="12"/>
  <c r="D220" i="12"/>
  <c r="E220" i="12"/>
  <c r="F220" i="12"/>
  <c r="G220" i="12"/>
  <c r="A221" i="12"/>
  <c r="B221" i="12"/>
  <c r="C221" i="12"/>
  <c r="D221" i="12"/>
  <c r="E221" i="12"/>
  <c r="F221" i="12"/>
  <c r="G221" i="12"/>
  <c r="A222" i="12"/>
  <c r="B222" i="12"/>
  <c r="C222" i="12"/>
  <c r="D222" i="12"/>
  <c r="E222" i="12"/>
  <c r="F222" i="12"/>
  <c r="G222" i="12"/>
  <c r="A223" i="12"/>
  <c r="B223" i="12"/>
  <c r="C223" i="12"/>
  <c r="D223" i="12"/>
  <c r="E223" i="12"/>
  <c r="F223" i="12"/>
  <c r="G223" i="12"/>
  <c r="A224" i="12"/>
  <c r="B224" i="12"/>
  <c r="C224" i="12"/>
  <c r="D224" i="12"/>
  <c r="E224" i="12"/>
  <c r="F224" i="12"/>
  <c r="G224" i="12"/>
  <c r="A225" i="12"/>
  <c r="B225" i="12"/>
  <c r="C225" i="12"/>
  <c r="D225" i="12"/>
  <c r="E225" i="12"/>
  <c r="F225" i="12"/>
  <c r="G225" i="12"/>
  <c r="A226" i="12"/>
  <c r="B226" i="12"/>
  <c r="C226" i="12"/>
  <c r="D226" i="12"/>
  <c r="E226" i="12"/>
  <c r="F226" i="12"/>
  <c r="G226" i="12"/>
  <c r="A227" i="12"/>
  <c r="B227" i="12"/>
  <c r="C227" i="12"/>
  <c r="D227" i="12"/>
  <c r="E227" i="12"/>
  <c r="F227" i="12"/>
  <c r="G227" i="12"/>
  <c r="A228" i="12"/>
  <c r="B228" i="12"/>
  <c r="C228" i="12"/>
  <c r="D228" i="12"/>
  <c r="E228" i="12"/>
  <c r="F228" i="12"/>
  <c r="G228" i="12"/>
  <c r="A229" i="12"/>
  <c r="B229" i="12"/>
  <c r="C229" i="12"/>
  <c r="D229" i="12"/>
  <c r="E229" i="12"/>
  <c r="F229" i="12"/>
  <c r="G229" i="12"/>
  <c r="A230" i="12"/>
  <c r="B230" i="12"/>
  <c r="C230" i="12"/>
  <c r="D230" i="12"/>
  <c r="E230" i="12"/>
  <c r="F230" i="12"/>
  <c r="G230" i="12"/>
  <c r="A231" i="12"/>
  <c r="B231" i="12"/>
  <c r="C231" i="12"/>
  <c r="D231" i="12"/>
  <c r="E231" i="12"/>
  <c r="F231" i="12"/>
  <c r="G231" i="12"/>
  <c r="A232" i="12"/>
  <c r="B232" i="12"/>
  <c r="C232" i="12"/>
  <c r="D232" i="12"/>
  <c r="E232" i="12"/>
  <c r="F232" i="12"/>
  <c r="G232" i="12"/>
  <c r="A233" i="12"/>
  <c r="B233" i="12"/>
  <c r="C233" i="12"/>
  <c r="D233" i="12"/>
  <c r="E233" i="12"/>
  <c r="F233" i="12"/>
  <c r="G233" i="12"/>
  <c r="A234" i="12"/>
  <c r="B234" i="12"/>
  <c r="C234" i="12"/>
  <c r="D234" i="12"/>
  <c r="E234" i="12"/>
  <c r="F234" i="12"/>
  <c r="G234" i="12"/>
  <c r="A235" i="12"/>
  <c r="B235" i="12"/>
  <c r="C235" i="12"/>
  <c r="D235" i="12"/>
  <c r="E235" i="12"/>
  <c r="F235" i="12"/>
  <c r="G235" i="12"/>
  <c r="A236" i="12"/>
  <c r="B236" i="12"/>
  <c r="C236" i="12"/>
  <c r="D236" i="12"/>
  <c r="E236" i="12"/>
  <c r="F236" i="12"/>
  <c r="G236" i="12"/>
  <c r="A237" i="12"/>
  <c r="B237" i="12"/>
  <c r="C237" i="12"/>
  <c r="D237" i="12"/>
  <c r="E237" i="12"/>
  <c r="F237" i="12"/>
  <c r="G237" i="12"/>
  <c r="A238" i="12"/>
  <c r="B238" i="12"/>
  <c r="C238" i="12"/>
  <c r="D238" i="12"/>
  <c r="E238" i="12"/>
  <c r="F238" i="12"/>
  <c r="G238" i="12"/>
  <c r="A239" i="12"/>
  <c r="B239" i="12"/>
  <c r="C239" i="12"/>
  <c r="D239" i="12"/>
  <c r="E239" i="12"/>
  <c r="F239" i="12"/>
  <c r="G239" i="12"/>
  <c r="A240" i="12"/>
  <c r="B240" i="12"/>
  <c r="C240" i="12"/>
  <c r="D240" i="12"/>
  <c r="E240" i="12"/>
  <c r="F240" i="12"/>
  <c r="G240" i="12"/>
  <c r="A241" i="12"/>
  <c r="B241" i="12"/>
  <c r="C241" i="12"/>
  <c r="D241" i="12"/>
  <c r="E241" i="12"/>
  <c r="F241" i="12"/>
  <c r="G241" i="12"/>
  <c r="A242" i="12"/>
  <c r="B242" i="12"/>
  <c r="C242" i="12"/>
  <c r="D242" i="12"/>
  <c r="E242" i="12"/>
  <c r="F242" i="12"/>
  <c r="G242" i="12"/>
  <c r="A243" i="12"/>
  <c r="B243" i="12"/>
  <c r="C243" i="12"/>
  <c r="D243" i="12"/>
  <c r="E243" i="12"/>
  <c r="F243" i="12"/>
  <c r="G243" i="12"/>
  <c r="A244" i="12"/>
  <c r="B244" i="12"/>
  <c r="C244" i="12"/>
  <c r="D244" i="12"/>
  <c r="E244" i="12"/>
  <c r="F244" i="12"/>
  <c r="G244" i="12"/>
  <c r="A245" i="12"/>
  <c r="B245" i="12"/>
  <c r="C245" i="12"/>
  <c r="D245" i="12"/>
  <c r="E245" i="12"/>
  <c r="F245" i="12"/>
  <c r="G245" i="12"/>
  <c r="A246" i="12"/>
  <c r="B246" i="12"/>
  <c r="C246" i="12"/>
  <c r="D246" i="12"/>
  <c r="E246" i="12"/>
  <c r="F246" i="12"/>
  <c r="G246" i="12"/>
  <c r="A247" i="12"/>
  <c r="B247" i="12"/>
  <c r="C247" i="12"/>
  <c r="D247" i="12"/>
  <c r="E247" i="12"/>
  <c r="F247" i="12"/>
  <c r="G247" i="12"/>
  <c r="A248" i="12"/>
  <c r="B248" i="12"/>
  <c r="C248" i="12"/>
  <c r="D248" i="12"/>
  <c r="E248" i="12"/>
  <c r="F248" i="12"/>
  <c r="G248" i="12"/>
  <c r="A249" i="12"/>
  <c r="B249" i="12"/>
  <c r="C249" i="12"/>
  <c r="D249" i="12"/>
  <c r="E249" i="12"/>
  <c r="F249" i="12"/>
  <c r="G249" i="12"/>
  <c r="A250" i="12"/>
  <c r="B250" i="12"/>
  <c r="C250" i="12"/>
  <c r="D250" i="12"/>
  <c r="E250" i="12"/>
  <c r="F250" i="12"/>
  <c r="G250" i="12"/>
  <c r="A251" i="12"/>
  <c r="B251" i="12"/>
  <c r="C251" i="12"/>
  <c r="D251" i="12"/>
  <c r="E251" i="12"/>
  <c r="F251" i="12"/>
  <c r="G251" i="12"/>
  <c r="A252" i="12"/>
  <c r="B252" i="12"/>
  <c r="C252" i="12"/>
  <c r="D252" i="12"/>
  <c r="E252" i="12"/>
  <c r="F252" i="12"/>
  <c r="G252" i="12"/>
  <c r="A253" i="12"/>
  <c r="B253" i="12"/>
  <c r="C253" i="12"/>
  <c r="D253" i="12"/>
  <c r="E253" i="12"/>
  <c r="F253" i="12"/>
  <c r="G253" i="12"/>
  <c r="A254" i="12"/>
  <c r="B254" i="12"/>
  <c r="C254" i="12"/>
  <c r="D254" i="12"/>
  <c r="E254" i="12"/>
  <c r="F254" i="12"/>
  <c r="G254" i="12"/>
  <c r="A255" i="12"/>
  <c r="B255" i="12"/>
  <c r="C255" i="12"/>
  <c r="D255" i="12"/>
  <c r="E255" i="12"/>
  <c r="F255" i="12"/>
  <c r="G255" i="12"/>
  <c r="A256" i="12"/>
  <c r="B256" i="12"/>
  <c r="C256" i="12"/>
  <c r="D256" i="12"/>
  <c r="E256" i="12"/>
  <c r="F256" i="12"/>
  <c r="G256" i="12"/>
  <c r="A257" i="12"/>
  <c r="B257" i="12"/>
  <c r="C257" i="12"/>
  <c r="D257" i="12"/>
  <c r="E257" i="12"/>
  <c r="F257" i="12"/>
  <c r="G257" i="12"/>
  <c r="A258" i="12"/>
  <c r="B258" i="12"/>
  <c r="C258" i="12"/>
  <c r="D258" i="12"/>
  <c r="E258" i="12"/>
  <c r="F258" i="12"/>
  <c r="G258" i="12"/>
  <c r="A259" i="12"/>
  <c r="B259" i="12"/>
  <c r="C259" i="12"/>
  <c r="D259" i="12"/>
  <c r="E259" i="12"/>
  <c r="F259" i="12"/>
  <c r="G259" i="12"/>
  <c r="A260" i="12"/>
  <c r="B260" i="12"/>
  <c r="C260" i="12"/>
  <c r="D260" i="12"/>
  <c r="E260" i="12"/>
  <c r="F260" i="12"/>
  <c r="G260" i="12"/>
  <c r="A261" i="12"/>
  <c r="B261" i="12"/>
  <c r="C261" i="12"/>
  <c r="D261" i="12"/>
  <c r="E261" i="12"/>
  <c r="F261" i="12"/>
  <c r="G261" i="12"/>
  <c r="A262" i="12"/>
  <c r="B262" i="12"/>
  <c r="C262" i="12"/>
  <c r="D262" i="12"/>
  <c r="E262" i="12"/>
  <c r="F262" i="12"/>
  <c r="G262" i="12"/>
  <c r="A263" i="12"/>
  <c r="B263" i="12"/>
  <c r="C263" i="12"/>
  <c r="D263" i="12"/>
  <c r="E263" i="12"/>
  <c r="F263" i="12"/>
  <c r="G263" i="12"/>
  <c r="A264" i="12"/>
  <c r="B264" i="12"/>
  <c r="C264" i="12"/>
  <c r="D264" i="12"/>
  <c r="E264" i="12"/>
  <c r="F264" i="12"/>
  <c r="G264" i="12"/>
  <c r="A265" i="12"/>
  <c r="B265" i="12"/>
  <c r="C265" i="12"/>
  <c r="D265" i="12"/>
  <c r="E265" i="12"/>
  <c r="F265" i="12"/>
  <c r="G265" i="12"/>
  <c r="A266" i="12"/>
  <c r="B266" i="12"/>
  <c r="C266" i="12"/>
  <c r="D266" i="12"/>
  <c r="E266" i="12"/>
  <c r="F266" i="12"/>
  <c r="G266" i="12"/>
  <c r="A267" i="12"/>
  <c r="B267" i="12"/>
  <c r="C267" i="12"/>
  <c r="D267" i="12"/>
  <c r="E267" i="12"/>
  <c r="F267" i="12"/>
  <c r="G267" i="12"/>
  <c r="A268" i="12"/>
  <c r="B268" i="12"/>
  <c r="C268" i="12"/>
  <c r="D268" i="12"/>
  <c r="E268" i="12"/>
  <c r="F268" i="12"/>
  <c r="G268" i="12"/>
  <c r="A269" i="12"/>
  <c r="B269" i="12"/>
  <c r="C269" i="12"/>
  <c r="D269" i="12"/>
  <c r="E269" i="12"/>
  <c r="F269" i="12"/>
  <c r="G269" i="12"/>
  <c r="A270" i="12"/>
  <c r="B270" i="12"/>
  <c r="C270" i="12"/>
  <c r="D270" i="12"/>
  <c r="E270" i="12"/>
  <c r="F270" i="12"/>
  <c r="G270" i="12"/>
  <c r="A271" i="12"/>
  <c r="B271" i="12"/>
  <c r="C271" i="12"/>
  <c r="D271" i="12"/>
  <c r="E271" i="12"/>
  <c r="F271" i="12"/>
  <c r="G271" i="12"/>
  <c r="A272" i="12"/>
  <c r="B272" i="12"/>
  <c r="C272" i="12"/>
  <c r="D272" i="12"/>
  <c r="E272" i="12"/>
  <c r="F272" i="12"/>
  <c r="G272" i="12"/>
  <c r="A273" i="12"/>
  <c r="B273" i="12"/>
  <c r="C273" i="12"/>
  <c r="D273" i="12"/>
  <c r="E273" i="12"/>
  <c r="F273" i="12"/>
  <c r="G273" i="12"/>
  <c r="A274" i="12"/>
  <c r="B274" i="12"/>
  <c r="C274" i="12"/>
  <c r="D274" i="12"/>
  <c r="E274" i="12"/>
  <c r="F274" i="12"/>
  <c r="G274" i="12"/>
  <c r="A275" i="12"/>
  <c r="B275" i="12"/>
  <c r="C275" i="12"/>
  <c r="D275" i="12"/>
  <c r="E275" i="12"/>
  <c r="F275" i="12"/>
  <c r="G275" i="12"/>
  <c r="A276" i="12"/>
  <c r="B276" i="12"/>
  <c r="C276" i="12"/>
  <c r="D276" i="12"/>
  <c r="E276" i="12"/>
  <c r="F276" i="12"/>
  <c r="G276" i="12"/>
  <c r="A277" i="12"/>
  <c r="B277" i="12"/>
  <c r="C277" i="12"/>
  <c r="D277" i="12"/>
  <c r="E277" i="12"/>
  <c r="F277" i="12"/>
  <c r="G277" i="12"/>
  <c r="A278" i="12"/>
  <c r="B278" i="12"/>
  <c r="C278" i="12"/>
  <c r="D278" i="12"/>
  <c r="E278" i="12"/>
  <c r="F278" i="12"/>
  <c r="G278" i="12"/>
  <c r="A279" i="12"/>
  <c r="B279" i="12"/>
  <c r="C279" i="12"/>
  <c r="D279" i="12"/>
  <c r="E279" i="12"/>
  <c r="F279" i="12"/>
  <c r="G279" i="12"/>
  <c r="A280" i="12"/>
  <c r="B280" i="12"/>
  <c r="C280" i="12"/>
  <c r="D280" i="12"/>
  <c r="E280" i="12"/>
  <c r="F280" i="12"/>
  <c r="G280" i="12"/>
  <c r="A281" i="12"/>
  <c r="B281" i="12"/>
  <c r="C281" i="12"/>
  <c r="D281" i="12"/>
  <c r="E281" i="12"/>
  <c r="F281" i="12"/>
  <c r="G281" i="12"/>
  <c r="A282" i="12"/>
  <c r="B282" i="12"/>
  <c r="C282" i="12"/>
  <c r="D282" i="12"/>
  <c r="E282" i="12"/>
  <c r="F282" i="12"/>
  <c r="G282" i="12"/>
  <c r="A283" i="12"/>
  <c r="B283" i="12"/>
  <c r="C283" i="12"/>
  <c r="D283" i="12"/>
  <c r="E283" i="12"/>
  <c r="F283" i="12"/>
  <c r="G283" i="12"/>
  <c r="A284" i="12"/>
  <c r="B284" i="12"/>
  <c r="C284" i="12"/>
  <c r="D284" i="12"/>
  <c r="E284" i="12"/>
  <c r="F284" i="12"/>
  <c r="G284" i="12"/>
  <c r="A285" i="12"/>
  <c r="B285" i="12"/>
  <c r="C285" i="12"/>
  <c r="D285" i="12"/>
  <c r="E285" i="12"/>
  <c r="F285" i="12"/>
  <c r="G285" i="12"/>
  <c r="A286" i="12"/>
  <c r="B286" i="12"/>
  <c r="C286" i="12"/>
  <c r="D286" i="12"/>
  <c r="E286" i="12"/>
  <c r="F286" i="12"/>
  <c r="G286" i="12"/>
  <c r="A287" i="12"/>
  <c r="B287" i="12"/>
  <c r="C287" i="12"/>
  <c r="D287" i="12"/>
  <c r="E287" i="12"/>
  <c r="F287" i="12"/>
  <c r="G287" i="12"/>
  <c r="A288" i="12"/>
  <c r="B288" i="12"/>
  <c r="C288" i="12"/>
  <c r="D288" i="12"/>
  <c r="E288" i="12"/>
  <c r="F288" i="12"/>
  <c r="G288" i="12"/>
  <c r="A289" i="12"/>
  <c r="B289" i="12"/>
  <c r="C289" i="12"/>
  <c r="D289" i="12"/>
  <c r="E289" i="12"/>
  <c r="F289" i="12"/>
  <c r="G289" i="12"/>
  <c r="A290" i="12"/>
  <c r="B290" i="12"/>
  <c r="C290" i="12"/>
  <c r="D290" i="12"/>
  <c r="E290" i="12"/>
  <c r="F290" i="12"/>
  <c r="G290" i="12"/>
  <c r="A291" i="12"/>
  <c r="B291" i="12"/>
  <c r="C291" i="12"/>
  <c r="D291" i="12"/>
  <c r="E291" i="12"/>
  <c r="F291" i="12"/>
  <c r="G291" i="12"/>
  <c r="A292" i="12"/>
  <c r="B292" i="12"/>
  <c r="C292" i="12"/>
  <c r="D292" i="12"/>
  <c r="E292" i="12"/>
  <c r="F292" i="12"/>
  <c r="G292" i="12"/>
  <c r="A293" i="12"/>
  <c r="B293" i="12"/>
  <c r="C293" i="12"/>
  <c r="D293" i="12"/>
  <c r="E293" i="12"/>
  <c r="F293" i="12"/>
  <c r="G293" i="12"/>
  <c r="A294" i="12"/>
  <c r="B294" i="12"/>
  <c r="C294" i="12"/>
  <c r="D294" i="12"/>
  <c r="E294" i="12"/>
  <c r="F294" i="12"/>
  <c r="G294" i="12"/>
  <c r="A295" i="12"/>
  <c r="B295" i="12"/>
  <c r="C295" i="12"/>
  <c r="D295" i="12"/>
  <c r="E295" i="12"/>
  <c r="F295" i="12"/>
  <c r="G295" i="12"/>
  <c r="A296" i="12"/>
  <c r="B296" i="12"/>
  <c r="C296" i="12"/>
  <c r="D296" i="12"/>
  <c r="E296" i="12"/>
  <c r="F296" i="12"/>
  <c r="G296" i="12"/>
  <c r="A297" i="12"/>
  <c r="B297" i="12"/>
  <c r="C297" i="12"/>
  <c r="D297" i="12"/>
  <c r="E297" i="12"/>
  <c r="F297" i="12"/>
  <c r="G297" i="12"/>
  <c r="A298" i="12"/>
  <c r="B298" i="12"/>
  <c r="C298" i="12"/>
  <c r="D298" i="12"/>
  <c r="E298" i="12"/>
  <c r="F298" i="12"/>
  <c r="G298" i="12"/>
  <c r="A299" i="12"/>
  <c r="B299" i="12"/>
  <c r="C299" i="12"/>
  <c r="D299" i="12"/>
  <c r="E299" i="12"/>
  <c r="F299" i="12"/>
  <c r="G299" i="12"/>
  <c r="A300" i="12"/>
  <c r="B300" i="12"/>
  <c r="C300" i="12"/>
  <c r="D300" i="12"/>
  <c r="E300" i="12"/>
  <c r="F300" i="12"/>
  <c r="G300" i="12"/>
  <c r="A301" i="12"/>
  <c r="B301" i="12"/>
  <c r="C301" i="12"/>
  <c r="D301" i="12"/>
  <c r="E301" i="12"/>
  <c r="F301" i="12"/>
  <c r="G301" i="12"/>
  <c r="A302" i="12"/>
  <c r="B302" i="12"/>
  <c r="C302" i="12"/>
  <c r="D302" i="12"/>
  <c r="E302" i="12"/>
  <c r="F302" i="12"/>
  <c r="G302" i="12"/>
  <c r="A303" i="12"/>
  <c r="B303" i="12"/>
  <c r="C303" i="12"/>
  <c r="D303" i="12"/>
  <c r="E303" i="12"/>
  <c r="F303" i="12"/>
  <c r="G303" i="12"/>
  <c r="A304" i="12"/>
  <c r="B304" i="12"/>
  <c r="C304" i="12"/>
  <c r="D304" i="12"/>
  <c r="E304" i="12"/>
  <c r="F304" i="12"/>
  <c r="G304" i="12"/>
  <c r="A305" i="12"/>
  <c r="B305" i="12"/>
  <c r="C305" i="12"/>
  <c r="D305" i="12"/>
  <c r="E305" i="12"/>
  <c r="F305" i="12"/>
  <c r="G305" i="12"/>
  <c r="A306" i="12"/>
  <c r="B306" i="12"/>
  <c r="C306" i="12"/>
  <c r="D306" i="12"/>
  <c r="E306" i="12"/>
  <c r="F306" i="12"/>
  <c r="G306" i="12"/>
  <c r="A307" i="12"/>
  <c r="B307" i="12"/>
  <c r="C307" i="12"/>
  <c r="D307" i="12"/>
  <c r="E307" i="12"/>
  <c r="F307" i="12"/>
  <c r="G307" i="12"/>
  <c r="A308" i="12"/>
  <c r="B308" i="12"/>
  <c r="C308" i="12"/>
  <c r="D308" i="12"/>
  <c r="E308" i="12"/>
  <c r="F308" i="12"/>
  <c r="G308" i="12"/>
  <c r="A309" i="12"/>
  <c r="B309" i="12"/>
  <c r="C309" i="12"/>
  <c r="D309" i="12"/>
  <c r="E309" i="12"/>
  <c r="F309" i="12"/>
  <c r="G309" i="12"/>
  <c r="A310" i="12"/>
  <c r="B310" i="12"/>
  <c r="C310" i="12"/>
  <c r="D310" i="12"/>
  <c r="E310" i="12"/>
  <c r="F310" i="12"/>
  <c r="G310" i="12"/>
  <c r="A311" i="12"/>
  <c r="B311" i="12"/>
  <c r="C311" i="12"/>
  <c r="D311" i="12"/>
  <c r="E311" i="12"/>
  <c r="F311" i="12"/>
  <c r="G311" i="12"/>
  <c r="A312" i="12"/>
  <c r="B312" i="12"/>
  <c r="C312" i="12"/>
  <c r="D312" i="12"/>
  <c r="E312" i="12"/>
  <c r="F312" i="12"/>
  <c r="G312" i="12"/>
  <c r="A313" i="12"/>
  <c r="B313" i="12"/>
  <c r="C313" i="12"/>
  <c r="D313" i="12"/>
  <c r="E313" i="12"/>
  <c r="F313" i="12"/>
  <c r="G313" i="12"/>
  <c r="A314" i="12"/>
  <c r="B314" i="12"/>
  <c r="C314" i="12"/>
  <c r="D314" i="12"/>
  <c r="E314" i="12"/>
  <c r="F314" i="12"/>
  <c r="G314" i="12"/>
  <c r="A315" i="12"/>
  <c r="B315" i="12"/>
  <c r="C315" i="12"/>
  <c r="D315" i="12"/>
  <c r="E315" i="12"/>
  <c r="F315" i="12"/>
  <c r="G315" i="12"/>
  <c r="A316" i="12"/>
  <c r="B316" i="12"/>
  <c r="C316" i="12"/>
  <c r="D316" i="12"/>
  <c r="E316" i="12"/>
  <c r="F316" i="12"/>
  <c r="G316" i="12"/>
  <c r="A317" i="12"/>
  <c r="B317" i="12"/>
  <c r="C317" i="12"/>
  <c r="D317" i="12"/>
  <c r="E317" i="12"/>
  <c r="F317" i="12"/>
  <c r="G317" i="12"/>
  <c r="A318" i="12"/>
  <c r="B318" i="12"/>
  <c r="C318" i="12"/>
  <c r="D318" i="12"/>
  <c r="E318" i="12"/>
  <c r="F318" i="12"/>
  <c r="G318" i="12"/>
  <c r="A319" i="12"/>
  <c r="B319" i="12"/>
  <c r="C319" i="12"/>
  <c r="D319" i="12"/>
  <c r="E319" i="12"/>
  <c r="F319" i="12"/>
  <c r="G319" i="12"/>
  <c r="A320" i="12"/>
  <c r="B320" i="12"/>
  <c r="C320" i="12"/>
  <c r="D320" i="12"/>
  <c r="E320" i="12"/>
  <c r="F320" i="12"/>
  <c r="G320" i="12"/>
  <c r="A321" i="12"/>
  <c r="B321" i="12"/>
  <c r="C321" i="12"/>
  <c r="D321" i="12"/>
  <c r="E321" i="12"/>
  <c r="F321" i="12"/>
  <c r="G321" i="12"/>
  <c r="A322" i="12"/>
  <c r="B322" i="12"/>
  <c r="C322" i="12"/>
  <c r="D322" i="12"/>
  <c r="E322" i="12"/>
  <c r="F322" i="12"/>
  <c r="G322" i="12"/>
  <c r="A323" i="12"/>
  <c r="B323" i="12"/>
  <c r="C323" i="12"/>
  <c r="D323" i="12"/>
  <c r="E323" i="12"/>
  <c r="F323" i="12"/>
  <c r="G323" i="12"/>
  <c r="A324" i="12"/>
  <c r="B324" i="12"/>
  <c r="C324" i="12"/>
  <c r="D324" i="12"/>
  <c r="E324" i="12"/>
  <c r="F324" i="12"/>
  <c r="G324" i="12"/>
  <c r="A325" i="12"/>
  <c r="B325" i="12"/>
  <c r="C325" i="12"/>
  <c r="D325" i="12"/>
  <c r="E325" i="12"/>
  <c r="F325" i="12"/>
  <c r="G325" i="12"/>
  <c r="A326" i="12"/>
  <c r="B326" i="12"/>
  <c r="C326" i="12"/>
  <c r="D326" i="12"/>
  <c r="E326" i="12"/>
  <c r="F326" i="12"/>
  <c r="G326" i="12"/>
  <c r="A327" i="12"/>
  <c r="B327" i="12"/>
  <c r="C327" i="12"/>
  <c r="D327" i="12"/>
  <c r="E327" i="12"/>
  <c r="F327" i="12"/>
  <c r="G327" i="12"/>
  <c r="A328" i="12"/>
  <c r="B328" i="12"/>
  <c r="C328" i="12"/>
  <c r="D328" i="12"/>
  <c r="E328" i="12"/>
  <c r="F328" i="12"/>
  <c r="G328" i="12"/>
  <c r="A329" i="12"/>
  <c r="B329" i="12"/>
  <c r="C329" i="12"/>
  <c r="D329" i="12"/>
  <c r="E329" i="12"/>
  <c r="F329" i="12"/>
  <c r="G329" i="12"/>
  <c r="A330" i="12"/>
  <c r="B330" i="12"/>
  <c r="C330" i="12"/>
  <c r="D330" i="12"/>
  <c r="E330" i="12"/>
  <c r="F330" i="12"/>
  <c r="G330" i="12"/>
  <c r="A331" i="12"/>
  <c r="B331" i="12"/>
  <c r="C331" i="12"/>
  <c r="D331" i="12"/>
  <c r="E331" i="12"/>
  <c r="F331" i="12"/>
  <c r="G331" i="12"/>
  <c r="A332" i="12"/>
  <c r="B332" i="12"/>
  <c r="C332" i="12"/>
  <c r="D332" i="12"/>
  <c r="E332" i="12"/>
  <c r="F332" i="12"/>
  <c r="G332" i="12"/>
  <c r="A333" i="12"/>
  <c r="B333" i="12"/>
  <c r="C333" i="12"/>
  <c r="D333" i="12"/>
  <c r="E333" i="12"/>
  <c r="F333" i="12"/>
  <c r="G333" i="12"/>
  <c r="A334" i="12"/>
  <c r="B334" i="12"/>
  <c r="C334" i="12"/>
  <c r="D334" i="12"/>
  <c r="E334" i="12"/>
  <c r="F334" i="12"/>
  <c r="G334" i="12"/>
  <c r="A335" i="12"/>
  <c r="B335" i="12"/>
  <c r="C335" i="12"/>
  <c r="D335" i="12"/>
  <c r="E335" i="12"/>
  <c r="F335" i="12"/>
  <c r="G335" i="12"/>
  <c r="A336" i="12"/>
  <c r="B336" i="12"/>
  <c r="C336" i="12"/>
  <c r="D336" i="12"/>
  <c r="E336" i="12"/>
  <c r="F336" i="12"/>
  <c r="G336" i="12"/>
  <c r="A337" i="12"/>
  <c r="B337" i="12"/>
  <c r="C337" i="12"/>
  <c r="D337" i="12"/>
  <c r="E337" i="12"/>
  <c r="F337" i="12"/>
  <c r="G337" i="12"/>
  <c r="A338" i="12"/>
  <c r="B338" i="12"/>
  <c r="C338" i="12"/>
  <c r="D338" i="12"/>
  <c r="E338" i="12"/>
  <c r="F338" i="12"/>
  <c r="G338" i="12"/>
  <c r="A339" i="12"/>
  <c r="B339" i="12"/>
  <c r="C339" i="12"/>
  <c r="D339" i="12"/>
  <c r="E339" i="12"/>
  <c r="F339" i="12"/>
  <c r="G339" i="12"/>
  <c r="A340" i="12"/>
  <c r="B340" i="12"/>
  <c r="C340" i="12"/>
  <c r="D340" i="12"/>
  <c r="E340" i="12"/>
  <c r="F340" i="12"/>
  <c r="G340" i="12"/>
  <c r="A341" i="12"/>
  <c r="B341" i="12"/>
  <c r="C341" i="12"/>
  <c r="D341" i="12"/>
  <c r="E341" i="12"/>
  <c r="F341" i="12"/>
  <c r="G341" i="12"/>
  <c r="A342" i="12"/>
  <c r="B342" i="12"/>
  <c r="C342" i="12"/>
  <c r="D342" i="12"/>
  <c r="E342" i="12"/>
  <c r="F342" i="12"/>
  <c r="G342" i="12"/>
  <c r="A343" i="12"/>
  <c r="B343" i="12"/>
  <c r="C343" i="12"/>
  <c r="D343" i="12"/>
  <c r="E343" i="12"/>
  <c r="F343" i="12"/>
  <c r="G343" i="12"/>
  <c r="A344" i="12"/>
  <c r="B344" i="12"/>
  <c r="C344" i="12"/>
  <c r="D344" i="12"/>
  <c r="E344" i="12"/>
  <c r="F344" i="12"/>
  <c r="G344" i="12"/>
  <c r="A345" i="12"/>
  <c r="B345" i="12"/>
  <c r="C345" i="12"/>
  <c r="D345" i="12"/>
  <c r="E345" i="12"/>
  <c r="F345" i="12"/>
  <c r="G345" i="12"/>
  <c r="A346" i="12"/>
  <c r="B346" i="12"/>
  <c r="C346" i="12"/>
  <c r="D346" i="12"/>
  <c r="E346" i="12"/>
  <c r="F346" i="12"/>
  <c r="G346" i="12"/>
  <c r="A347" i="12"/>
  <c r="B347" i="12"/>
  <c r="C347" i="12"/>
  <c r="D347" i="12"/>
  <c r="E347" i="12"/>
  <c r="F347" i="12"/>
  <c r="G347" i="12"/>
  <c r="A348" i="12"/>
  <c r="B348" i="12"/>
  <c r="C348" i="12"/>
  <c r="D348" i="12"/>
  <c r="E348" i="12"/>
  <c r="F348" i="12"/>
  <c r="G348" i="12"/>
  <c r="A349" i="12"/>
  <c r="B349" i="12"/>
  <c r="C349" i="12"/>
  <c r="D349" i="12"/>
  <c r="E349" i="12"/>
  <c r="F349" i="12"/>
  <c r="G349" i="12"/>
  <c r="A350" i="12"/>
  <c r="B350" i="12"/>
  <c r="C350" i="12"/>
  <c r="D350" i="12"/>
  <c r="E350" i="12"/>
  <c r="F350" i="12"/>
  <c r="G350" i="12"/>
  <c r="A351" i="12"/>
  <c r="B351" i="12"/>
  <c r="C351" i="12"/>
  <c r="D351" i="12"/>
  <c r="E351" i="12"/>
  <c r="F351" i="12"/>
  <c r="G351" i="12"/>
  <c r="A352" i="12"/>
  <c r="B352" i="12"/>
  <c r="C352" i="12"/>
  <c r="D352" i="12"/>
  <c r="E352" i="12"/>
  <c r="F352" i="12"/>
  <c r="G352" i="12"/>
  <c r="A353" i="12"/>
  <c r="B353" i="12"/>
  <c r="C353" i="12"/>
  <c r="D353" i="12"/>
  <c r="E353" i="12"/>
  <c r="F353" i="12"/>
  <c r="G353" i="12"/>
  <c r="A354" i="12"/>
  <c r="B354" i="12"/>
  <c r="C354" i="12"/>
  <c r="D354" i="12"/>
  <c r="E354" i="12"/>
  <c r="F354" i="12"/>
  <c r="G354" i="12"/>
  <c r="A355" i="12"/>
  <c r="B355" i="12"/>
  <c r="C355" i="12"/>
  <c r="D355" i="12"/>
  <c r="E355" i="12"/>
  <c r="F355" i="12"/>
  <c r="G355" i="12"/>
  <c r="A356" i="12"/>
  <c r="B356" i="12"/>
  <c r="C356" i="12"/>
  <c r="D356" i="12"/>
  <c r="E356" i="12"/>
  <c r="F356" i="12"/>
  <c r="G356" i="12"/>
  <c r="A357" i="12"/>
  <c r="B357" i="12"/>
  <c r="C357" i="12"/>
  <c r="D357" i="12"/>
  <c r="E357" i="12"/>
  <c r="F357" i="12"/>
  <c r="G357" i="12"/>
  <c r="A358" i="12"/>
  <c r="B358" i="12"/>
  <c r="C358" i="12"/>
  <c r="D358" i="12"/>
  <c r="E358" i="12"/>
  <c r="F358" i="12"/>
  <c r="G358" i="12"/>
  <c r="A359" i="12"/>
  <c r="B359" i="12"/>
  <c r="C359" i="12"/>
  <c r="D359" i="12"/>
  <c r="E359" i="12"/>
  <c r="F359" i="12"/>
  <c r="G359" i="12"/>
  <c r="A360" i="12"/>
  <c r="B360" i="12"/>
  <c r="C360" i="12"/>
  <c r="D360" i="12"/>
  <c r="E360" i="12"/>
  <c r="F360" i="12"/>
  <c r="G360" i="12"/>
  <c r="A361" i="12"/>
  <c r="B361" i="12"/>
  <c r="C361" i="12"/>
  <c r="D361" i="12"/>
  <c r="E361" i="12"/>
  <c r="F361" i="12"/>
  <c r="G361" i="12"/>
  <c r="A362" i="12"/>
  <c r="B362" i="12"/>
  <c r="C362" i="12"/>
  <c r="D362" i="12"/>
  <c r="E362" i="12"/>
  <c r="F362" i="12"/>
  <c r="G362" i="12"/>
  <c r="A363" i="12"/>
  <c r="B363" i="12"/>
  <c r="C363" i="12"/>
  <c r="D363" i="12"/>
  <c r="E363" i="12"/>
  <c r="F363" i="12"/>
  <c r="G363" i="12"/>
  <c r="A364" i="12"/>
  <c r="B364" i="12"/>
  <c r="C364" i="12"/>
  <c r="D364" i="12"/>
  <c r="E364" i="12"/>
  <c r="F364" i="12"/>
  <c r="G364" i="12"/>
  <c r="A365" i="12"/>
  <c r="B365" i="12"/>
  <c r="C365" i="12"/>
  <c r="D365" i="12"/>
  <c r="E365" i="12"/>
  <c r="F365" i="12"/>
  <c r="G365" i="12"/>
  <c r="A366" i="12"/>
  <c r="B366" i="12"/>
  <c r="C366" i="12"/>
  <c r="D366" i="12"/>
  <c r="E366" i="12"/>
  <c r="F366" i="12"/>
  <c r="G366" i="12"/>
  <c r="A367" i="12"/>
  <c r="B367" i="12"/>
  <c r="C367" i="12"/>
  <c r="D367" i="12"/>
  <c r="E367" i="12"/>
  <c r="F367" i="12"/>
  <c r="G367" i="12"/>
  <c r="A368" i="12"/>
  <c r="B368" i="12"/>
  <c r="C368" i="12"/>
  <c r="D368" i="12"/>
  <c r="E368" i="12"/>
  <c r="F368" i="12"/>
  <c r="G368" i="12"/>
  <c r="A369" i="12"/>
  <c r="B369" i="12"/>
  <c r="C369" i="12"/>
  <c r="D369" i="12"/>
  <c r="E369" i="12"/>
  <c r="F369" i="12"/>
  <c r="G369" i="12"/>
  <c r="A370" i="12"/>
  <c r="B370" i="12"/>
  <c r="C370" i="12"/>
  <c r="D370" i="12"/>
  <c r="E370" i="12"/>
  <c r="F370" i="12"/>
  <c r="G370" i="12"/>
  <c r="A371" i="12"/>
  <c r="B371" i="12"/>
  <c r="C371" i="12"/>
  <c r="D371" i="12"/>
  <c r="E371" i="12"/>
  <c r="F371" i="12"/>
  <c r="G371" i="12"/>
  <c r="A372" i="12"/>
  <c r="B372" i="12"/>
  <c r="C372" i="12"/>
  <c r="D372" i="12"/>
  <c r="E372" i="12"/>
  <c r="F372" i="12"/>
  <c r="G372" i="12"/>
  <c r="A373" i="12"/>
  <c r="B373" i="12"/>
  <c r="C373" i="12"/>
  <c r="D373" i="12"/>
  <c r="E373" i="12"/>
  <c r="F373" i="12"/>
  <c r="G373" i="12"/>
  <c r="A374" i="12"/>
  <c r="B374" i="12"/>
  <c r="C374" i="12"/>
  <c r="D374" i="12"/>
  <c r="E374" i="12"/>
  <c r="F374" i="12"/>
  <c r="G374" i="12"/>
  <c r="A375" i="12"/>
  <c r="B375" i="12"/>
  <c r="C375" i="12"/>
  <c r="D375" i="12"/>
  <c r="E375" i="12"/>
  <c r="F375" i="12"/>
  <c r="G375" i="12"/>
  <c r="A376" i="12"/>
  <c r="B376" i="12"/>
  <c r="C376" i="12"/>
  <c r="D376" i="12"/>
  <c r="E376" i="12"/>
  <c r="F376" i="12"/>
  <c r="G376" i="12"/>
  <c r="A377" i="12"/>
  <c r="B377" i="12"/>
  <c r="C377" i="12"/>
  <c r="D377" i="12"/>
  <c r="E377" i="12"/>
  <c r="F377" i="12"/>
  <c r="G377" i="12"/>
  <c r="A378" i="12"/>
  <c r="B378" i="12"/>
  <c r="C378" i="12"/>
  <c r="D378" i="12"/>
  <c r="E378" i="12"/>
  <c r="F378" i="12"/>
  <c r="G378" i="12"/>
  <c r="A379" i="12"/>
  <c r="B379" i="12"/>
  <c r="C379" i="12"/>
  <c r="D379" i="12"/>
  <c r="E379" i="12"/>
  <c r="F379" i="12"/>
  <c r="G379" i="12"/>
  <c r="A380" i="12"/>
  <c r="B380" i="12"/>
  <c r="C380" i="12"/>
  <c r="D380" i="12"/>
  <c r="E380" i="12"/>
  <c r="F380" i="12"/>
  <c r="G380" i="12"/>
  <c r="A381" i="12"/>
  <c r="B381" i="12"/>
  <c r="C381" i="12"/>
  <c r="D381" i="12"/>
  <c r="E381" i="12"/>
  <c r="F381" i="12"/>
  <c r="G381" i="12"/>
  <c r="A382" i="12"/>
  <c r="B382" i="12"/>
  <c r="C382" i="12"/>
  <c r="D382" i="12"/>
  <c r="E382" i="12"/>
  <c r="F382" i="12"/>
  <c r="G382" i="12"/>
  <c r="A383" i="12"/>
  <c r="B383" i="12"/>
  <c r="C383" i="12"/>
  <c r="D383" i="12"/>
  <c r="E383" i="12"/>
  <c r="F383" i="12"/>
  <c r="G383" i="12"/>
  <c r="A384" i="12"/>
  <c r="B384" i="12"/>
  <c r="C384" i="12"/>
  <c r="D384" i="12"/>
  <c r="E384" i="12"/>
  <c r="F384" i="12"/>
  <c r="G384" i="12"/>
  <c r="A385" i="12"/>
  <c r="B385" i="12"/>
  <c r="C385" i="12"/>
  <c r="D385" i="12"/>
  <c r="E385" i="12"/>
  <c r="F385" i="12"/>
  <c r="G385" i="12"/>
  <c r="A386" i="12"/>
  <c r="B386" i="12"/>
  <c r="C386" i="12"/>
  <c r="D386" i="12"/>
  <c r="E386" i="12"/>
  <c r="F386" i="12"/>
  <c r="G386" i="12"/>
  <c r="A387" i="12"/>
  <c r="B387" i="12"/>
  <c r="C387" i="12"/>
  <c r="D387" i="12"/>
  <c r="E387" i="12"/>
  <c r="F387" i="12"/>
  <c r="G387" i="12"/>
  <c r="A388" i="12"/>
  <c r="B388" i="12"/>
  <c r="C388" i="12"/>
  <c r="D388" i="12"/>
  <c r="E388" i="12"/>
  <c r="F388" i="12"/>
  <c r="G388" i="12"/>
  <c r="A389" i="12"/>
  <c r="B389" i="12"/>
  <c r="C389" i="12"/>
  <c r="D389" i="12"/>
  <c r="E389" i="12"/>
  <c r="F389" i="12"/>
  <c r="G389" i="12"/>
  <c r="A390" i="12"/>
  <c r="B390" i="12"/>
  <c r="C390" i="12"/>
  <c r="D390" i="12"/>
  <c r="E390" i="12"/>
  <c r="F390" i="12"/>
  <c r="G390" i="12"/>
  <c r="A391" i="12"/>
  <c r="B391" i="12"/>
  <c r="C391" i="12"/>
  <c r="D391" i="12"/>
  <c r="E391" i="12"/>
  <c r="F391" i="12"/>
  <c r="G391" i="12"/>
  <c r="A392" i="12"/>
  <c r="B392" i="12"/>
  <c r="C392" i="12"/>
  <c r="D392" i="12"/>
  <c r="E392" i="12"/>
  <c r="F392" i="12"/>
  <c r="G392" i="12"/>
  <c r="A393" i="12"/>
  <c r="B393" i="12"/>
  <c r="C393" i="12"/>
  <c r="D393" i="12"/>
  <c r="E393" i="12"/>
  <c r="F393" i="12"/>
  <c r="G393" i="12"/>
  <c r="A394" i="12"/>
  <c r="B394" i="12"/>
  <c r="C394" i="12"/>
  <c r="D394" i="12"/>
  <c r="E394" i="12"/>
  <c r="F394" i="12"/>
  <c r="G394" i="12"/>
  <c r="A395" i="12"/>
  <c r="B395" i="12"/>
  <c r="C395" i="12"/>
  <c r="D395" i="12"/>
  <c r="E395" i="12"/>
  <c r="F395" i="12"/>
  <c r="G395" i="12"/>
  <c r="A396" i="12"/>
  <c r="B396" i="12"/>
  <c r="C396" i="12"/>
  <c r="D396" i="12"/>
  <c r="E396" i="12"/>
  <c r="F396" i="12"/>
  <c r="G396" i="12"/>
  <c r="A397" i="12"/>
  <c r="B397" i="12"/>
  <c r="C397" i="12"/>
  <c r="D397" i="12"/>
  <c r="E397" i="12"/>
  <c r="F397" i="12"/>
  <c r="G397" i="12"/>
  <c r="A398" i="12"/>
  <c r="B398" i="12"/>
  <c r="C398" i="12"/>
  <c r="D398" i="12"/>
  <c r="E398" i="12"/>
  <c r="F398" i="12"/>
  <c r="G398" i="12"/>
  <c r="A399" i="12"/>
  <c r="B399" i="12"/>
  <c r="C399" i="12"/>
  <c r="D399" i="12"/>
  <c r="E399" i="12"/>
  <c r="F399" i="12"/>
  <c r="G399" i="12"/>
  <c r="A400" i="12"/>
  <c r="B400" i="12"/>
  <c r="C400" i="12"/>
  <c r="D400" i="12"/>
  <c r="E400" i="12"/>
  <c r="F400" i="12"/>
  <c r="G400" i="12"/>
  <c r="A401" i="12"/>
  <c r="B401" i="12"/>
  <c r="C401" i="12"/>
  <c r="D401" i="12"/>
  <c r="E401" i="12"/>
  <c r="F401" i="12"/>
  <c r="G401" i="12"/>
  <c r="A402" i="12"/>
  <c r="B402" i="12"/>
  <c r="C402" i="12"/>
  <c r="D402" i="12"/>
  <c r="E402" i="12"/>
  <c r="F402" i="12"/>
  <c r="G402" i="12"/>
  <c r="A403" i="12"/>
  <c r="B403" i="12"/>
  <c r="C403" i="12"/>
  <c r="D403" i="12"/>
  <c r="E403" i="12"/>
  <c r="F403" i="12"/>
  <c r="G403" i="12"/>
  <c r="A404" i="12"/>
  <c r="B404" i="12"/>
  <c r="C404" i="12"/>
  <c r="D404" i="12"/>
  <c r="E404" i="12"/>
  <c r="F404" i="12"/>
  <c r="G404" i="12"/>
  <c r="A405" i="12"/>
  <c r="B405" i="12"/>
  <c r="C405" i="12"/>
  <c r="D405" i="12"/>
  <c r="E405" i="12"/>
  <c r="F405" i="12"/>
  <c r="G405" i="12"/>
  <c r="A406" i="12"/>
  <c r="B406" i="12"/>
  <c r="C406" i="12"/>
  <c r="D406" i="12"/>
  <c r="E406" i="12"/>
  <c r="F406" i="12"/>
  <c r="G406" i="12"/>
  <c r="A407" i="12"/>
  <c r="B407" i="12"/>
  <c r="C407" i="12"/>
  <c r="D407" i="12"/>
  <c r="E407" i="12"/>
  <c r="F407" i="12"/>
  <c r="G407" i="12"/>
  <c r="A408" i="12"/>
  <c r="B408" i="12"/>
  <c r="C408" i="12"/>
  <c r="D408" i="12"/>
  <c r="E408" i="12"/>
  <c r="F408" i="12"/>
  <c r="G408" i="12"/>
  <c r="A409" i="12"/>
  <c r="B409" i="12"/>
  <c r="C409" i="12"/>
  <c r="D409" i="12"/>
  <c r="E409" i="12"/>
  <c r="F409" i="12"/>
  <c r="G409" i="12"/>
  <c r="A410" i="12"/>
  <c r="B410" i="12"/>
  <c r="C410" i="12"/>
  <c r="D410" i="12"/>
  <c r="E410" i="12"/>
  <c r="F410" i="12"/>
  <c r="G410" i="12"/>
  <c r="A411" i="12"/>
  <c r="B411" i="12"/>
  <c r="C411" i="12"/>
  <c r="D411" i="12"/>
  <c r="E411" i="12"/>
  <c r="F411" i="12"/>
  <c r="G411" i="12"/>
  <c r="A412" i="12"/>
  <c r="B412" i="12"/>
  <c r="C412" i="12"/>
  <c r="D412" i="12"/>
  <c r="E412" i="12"/>
  <c r="F412" i="12"/>
  <c r="G412" i="12"/>
  <c r="A413" i="12"/>
  <c r="B413" i="12"/>
  <c r="C413" i="12"/>
  <c r="D413" i="12"/>
  <c r="E413" i="12"/>
  <c r="F413" i="12"/>
  <c r="G413" i="12"/>
  <c r="A414" i="12"/>
  <c r="B414" i="12"/>
  <c r="C414" i="12"/>
  <c r="D414" i="12"/>
  <c r="E414" i="12"/>
  <c r="F414" i="12"/>
  <c r="G414" i="12"/>
  <c r="A415" i="12"/>
  <c r="B415" i="12"/>
  <c r="C415" i="12"/>
  <c r="D415" i="12"/>
  <c r="E415" i="12"/>
  <c r="F415" i="12"/>
  <c r="G415" i="12"/>
  <c r="A416" i="12"/>
  <c r="B416" i="12"/>
  <c r="C416" i="12"/>
  <c r="D416" i="12"/>
  <c r="E416" i="12"/>
  <c r="F416" i="12"/>
  <c r="G416" i="12"/>
  <c r="A417" i="12"/>
  <c r="B417" i="12"/>
  <c r="C417" i="12"/>
  <c r="D417" i="12"/>
  <c r="E417" i="12"/>
  <c r="F417" i="12"/>
  <c r="G417" i="12"/>
  <c r="A418" i="12"/>
  <c r="B418" i="12"/>
  <c r="C418" i="12"/>
  <c r="D418" i="12"/>
  <c r="E418" i="12"/>
  <c r="F418" i="12"/>
  <c r="G418" i="12"/>
  <c r="A419" i="12"/>
  <c r="B419" i="12"/>
  <c r="C419" i="12"/>
  <c r="D419" i="12"/>
  <c r="E419" i="12"/>
  <c r="F419" i="12"/>
  <c r="G419" i="12"/>
  <c r="A420" i="12"/>
  <c r="B420" i="12"/>
  <c r="C420" i="12"/>
  <c r="D420" i="12"/>
  <c r="E420" i="12"/>
  <c r="F420" i="12"/>
  <c r="G420" i="12"/>
  <c r="A421" i="12"/>
  <c r="B421" i="12"/>
  <c r="C421" i="12"/>
  <c r="D421" i="12"/>
  <c r="E421" i="12"/>
  <c r="F421" i="12"/>
  <c r="G421" i="12"/>
  <c r="A422" i="12"/>
  <c r="B422" i="12"/>
  <c r="C422" i="12"/>
  <c r="D422" i="12"/>
  <c r="E422" i="12"/>
  <c r="F422" i="12"/>
  <c r="G422" i="12"/>
  <c r="A423" i="12"/>
  <c r="B423" i="12"/>
  <c r="C423" i="12"/>
  <c r="D423" i="12"/>
  <c r="E423" i="12"/>
  <c r="F423" i="12"/>
  <c r="G423" i="12"/>
  <c r="A424" i="12"/>
  <c r="B424" i="12"/>
  <c r="C424" i="12"/>
  <c r="D424" i="12"/>
  <c r="E424" i="12"/>
  <c r="F424" i="12"/>
  <c r="G424" i="12"/>
  <c r="A425" i="12"/>
  <c r="B425" i="12"/>
  <c r="C425" i="12"/>
  <c r="D425" i="12"/>
  <c r="E425" i="12"/>
  <c r="F425" i="12"/>
  <c r="G425" i="12"/>
  <c r="A426" i="12"/>
  <c r="B426" i="12"/>
  <c r="C426" i="12"/>
  <c r="D426" i="12"/>
  <c r="E426" i="12"/>
  <c r="F426" i="12"/>
  <c r="G426" i="12"/>
  <c r="A427" i="12"/>
  <c r="B427" i="12"/>
  <c r="C427" i="12"/>
  <c r="D427" i="12"/>
  <c r="E427" i="12"/>
  <c r="F427" i="12"/>
  <c r="G427" i="12"/>
  <c r="A428" i="12"/>
  <c r="B428" i="12"/>
  <c r="C428" i="12"/>
  <c r="D428" i="12"/>
  <c r="E428" i="12"/>
  <c r="F428" i="12"/>
  <c r="G428" i="12"/>
  <c r="A429" i="12"/>
  <c r="B429" i="12"/>
  <c r="C429" i="12"/>
  <c r="D429" i="12"/>
  <c r="E429" i="12"/>
  <c r="F429" i="12"/>
  <c r="G429" i="12"/>
  <c r="A430" i="12"/>
  <c r="B430" i="12"/>
  <c r="C430" i="12"/>
  <c r="D430" i="12"/>
  <c r="E430" i="12"/>
  <c r="F430" i="12"/>
  <c r="G430" i="12"/>
  <c r="A431" i="12"/>
  <c r="B431" i="12"/>
  <c r="C431" i="12"/>
  <c r="D431" i="12"/>
  <c r="E431" i="12"/>
  <c r="F431" i="12"/>
  <c r="G431" i="12"/>
  <c r="A432" i="12"/>
  <c r="B432" i="12"/>
  <c r="C432" i="12"/>
  <c r="D432" i="12"/>
  <c r="E432" i="12"/>
  <c r="F432" i="12"/>
  <c r="G432" i="12"/>
  <c r="A433" i="12"/>
  <c r="B433" i="12"/>
  <c r="C433" i="12"/>
  <c r="D433" i="12"/>
  <c r="E433" i="12"/>
  <c r="F433" i="12"/>
  <c r="G433" i="12"/>
  <c r="A434" i="12"/>
  <c r="B434" i="12"/>
  <c r="C434" i="12"/>
  <c r="D434" i="12"/>
  <c r="E434" i="12"/>
  <c r="F434" i="12"/>
  <c r="G434" i="12"/>
  <c r="A435" i="12"/>
  <c r="B435" i="12"/>
  <c r="C435" i="12"/>
  <c r="D435" i="12"/>
  <c r="E435" i="12"/>
  <c r="F435" i="12"/>
  <c r="G435" i="12"/>
  <c r="A436" i="12"/>
  <c r="B436" i="12"/>
  <c r="C436" i="12"/>
  <c r="D436" i="12"/>
  <c r="E436" i="12"/>
  <c r="F436" i="12"/>
  <c r="G436" i="12"/>
  <c r="A437" i="12"/>
  <c r="B437" i="12"/>
  <c r="C437" i="12"/>
  <c r="D437" i="12"/>
  <c r="E437" i="12"/>
  <c r="F437" i="12"/>
  <c r="G437" i="12"/>
  <c r="A438" i="12"/>
  <c r="B438" i="12"/>
  <c r="C438" i="12"/>
  <c r="D438" i="12"/>
  <c r="E438" i="12"/>
  <c r="F438" i="12"/>
  <c r="G438" i="12"/>
  <c r="A439" i="12"/>
  <c r="B439" i="12"/>
  <c r="C439" i="12"/>
  <c r="D439" i="12"/>
  <c r="E439" i="12"/>
  <c r="F439" i="12"/>
  <c r="G439" i="12"/>
  <c r="A440" i="12"/>
  <c r="B440" i="12"/>
  <c r="C440" i="12"/>
  <c r="D440" i="12"/>
  <c r="E440" i="12"/>
  <c r="F440" i="12"/>
  <c r="G440" i="12"/>
  <c r="A441" i="12"/>
  <c r="B441" i="12"/>
  <c r="C441" i="12"/>
  <c r="D441" i="12"/>
  <c r="E441" i="12"/>
  <c r="F441" i="12"/>
  <c r="G441" i="12"/>
  <c r="A442" i="12"/>
  <c r="B442" i="12"/>
  <c r="C442" i="12"/>
  <c r="D442" i="12"/>
  <c r="E442" i="12"/>
  <c r="F442" i="12"/>
  <c r="G442" i="12"/>
  <c r="A443" i="12"/>
  <c r="B443" i="12"/>
  <c r="C443" i="12"/>
  <c r="D443" i="12"/>
  <c r="E443" i="12"/>
  <c r="F443" i="12"/>
  <c r="G443" i="12"/>
  <c r="A444" i="12"/>
  <c r="B444" i="12"/>
  <c r="C444" i="12"/>
  <c r="D444" i="12"/>
  <c r="E444" i="12"/>
  <c r="F444" i="12"/>
  <c r="G444" i="12"/>
  <c r="A445" i="12"/>
  <c r="B445" i="12"/>
  <c r="C445" i="12"/>
  <c r="D445" i="12"/>
  <c r="E445" i="12"/>
  <c r="F445" i="12"/>
  <c r="G445" i="12"/>
  <c r="A446" i="12"/>
  <c r="B446" i="12"/>
  <c r="C446" i="12"/>
  <c r="D446" i="12"/>
  <c r="E446" i="12"/>
  <c r="F446" i="12"/>
  <c r="G446" i="12"/>
  <c r="A447" i="12"/>
  <c r="B447" i="12"/>
  <c r="C447" i="12"/>
  <c r="D447" i="12"/>
  <c r="E447" i="12"/>
  <c r="F447" i="12"/>
  <c r="G447" i="12"/>
  <c r="A448" i="12"/>
  <c r="B448" i="12"/>
  <c r="C448" i="12"/>
  <c r="D448" i="12"/>
  <c r="E448" i="12"/>
  <c r="F448" i="12"/>
  <c r="G448" i="12"/>
  <c r="A449" i="12"/>
  <c r="B449" i="12"/>
  <c r="C449" i="12"/>
  <c r="D449" i="12"/>
  <c r="E449" i="12"/>
  <c r="F449" i="12"/>
  <c r="G449" i="12"/>
  <c r="A450" i="12"/>
  <c r="B450" i="12"/>
  <c r="C450" i="12"/>
  <c r="D450" i="12"/>
  <c r="E450" i="12"/>
  <c r="F450" i="12"/>
  <c r="G450" i="12"/>
  <c r="A451" i="12"/>
  <c r="B451" i="12"/>
  <c r="C451" i="12"/>
  <c r="D451" i="12"/>
  <c r="E451" i="12"/>
  <c r="F451" i="12"/>
  <c r="G451" i="12"/>
  <c r="A452" i="12"/>
  <c r="B452" i="12"/>
  <c r="C452" i="12"/>
  <c r="D452" i="12"/>
  <c r="E452" i="12"/>
  <c r="F452" i="12"/>
  <c r="G452" i="12"/>
  <c r="A453" i="12"/>
  <c r="B453" i="12"/>
  <c r="C453" i="12"/>
  <c r="D453" i="12"/>
  <c r="E453" i="12"/>
  <c r="F453" i="12"/>
  <c r="G453" i="12"/>
  <c r="A454" i="12"/>
  <c r="B454" i="12"/>
  <c r="C454" i="12"/>
  <c r="D454" i="12"/>
  <c r="E454" i="12"/>
  <c r="F454" i="12"/>
  <c r="G454" i="12"/>
  <c r="A455" i="12"/>
  <c r="B455" i="12"/>
  <c r="C455" i="12"/>
  <c r="D455" i="12"/>
  <c r="E455" i="12"/>
  <c r="F455" i="12"/>
  <c r="G455" i="12"/>
  <c r="A456" i="12"/>
  <c r="B456" i="12"/>
  <c r="C456" i="12"/>
  <c r="D456" i="12"/>
  <c r="E456" i="12"/>
  <c r="F456" i="12"/>
  <c r="G456" i="12"/>
  <c r="A457" i="12"/>
  <c r="B457" i="12"/>
  <c r="C457" i="12"/>
  <c r="D457" i="12"/>
  <c r="E457" i="12"/>
  <c r="F457" i="12"/>
  <c r="G457" i="12"/>
  <c r="A458" i="12"/>
  <c r="B458" i="12"/>
  <c r="C458" i="12"/>
  <c r="D458" i="12"/>
  <c r="E458" i="12"/>
  <c r="F458" i="12"/>
  <c r="G458" i="12"/>
  <c r="A459" i="12"/>
  <c r="B459" i="12"/>
  <c r="C459" i="12"/>
  <c r="D459" i="12"/>
  <c r="E459" i="12"/>
  <c r="F459" i="12"/>
  <c r="G459" i="12"/>
  <c r="A460" i="12"/>
  <c r="B460" i="12"/>
  <c r="C460" i="12"/>
  <c r="D460" i="12"/>
  <c r="E460" i="12"/>
  <c r="F460" i="12"/>
  <c r="G460" i="12"/>
  <c r="A461" i="12"/>
  <c r="B461" i="12"/>
  <c r="C461" i="12"/>
  <c r="D461" i="12"/>
  <c r="E461" i="12"/>
  <c r="F461" i="12"/>
  <c r="G461" i="12"/>
  <c r="A462" i="12"/>
  <c r="B462" i="12"/>
  <c r="C462" i="12"/>
  <c r="D462" i="12"/>
  <c r="E462" i="12"/>
  <c r="F462" i="12"/>
  <c r="G462" i="12"/>
  <c r="A463" i="12"/>
  <c r="B463" i="12"/>
  <c r="C463" i="12"/>
  <c r="D463" i="12"/>
  <c r="E463" i="12"/>
  <c r="F463" i="12"/>
  <c r="G463" i="12"/>
  <c r="A464" i="12"/>
  <c r="B464" i="12"/>
  <c r="C464" i="12"/>
  <c r="D464" i="12"/>
  <c r="E464" i="12"/>
  <c r="F464" i="12"/>
  <c r="G464" i="12"/>
  <c r="A465" i="12"/>
  <c r="B465" i="12"/>
  <c r="C465" i="12"/>
  <c r="D465" i="12"/>
  <c r="E465" i="12"/>
  <c r="F465" i="12"/>
  <c r="G465" i="12"/>
  <c r="A466" i="12"/>
  <c r="B466" i="12"/>
  <c r="C466" i="12"/>
  <c r="D466" i="12"/>
  <c r="E466" i="12"/>
  <c r="F466" i="12"/>
  <c r="G466" i="12"/>
  <c r="A467" i="12"/>
  <c r="B467" i="12"/>
  <c r="C467" i="12"/>
  <c r="D467" i="12"/>
  <c r="E467" i="12"/>
  <c r="F467" i="12"/>
  <c r="G467" i="12"/>
  <c r="A468" i="12"/>
  <c r="B468" i="12"/>
  <c r="C468" i="12"/>
  <c r="D468" i="12"/>
  <c r="E468" i="12"/>
  <c r="F468" i="12"/>
  <c r="G468" i="12"/>
  <c r="A469" i="12"/>
  <c r="B469" i="12"/>
  <c r="C469" i="12"/>
  <c r="D469" i="12"/>
  <c r="E469" i="12"/>
  <c r="F469" i="12"/>
  <c r="G469" i="12"/>
  <c r="A470" i="12"/>
  <c r="B470" i="12"/>
  <c r="C470" i="12"/>
  <c r="D470" i="12"/>
  <c r="E470" i="12"/>
  <c r="F470" i="12"/>
  <c r="G470" i="12"/>
  <c r="A471" i="12"/>
  <c r="B471" i="12"/>
  <c r="C471" i="12"/>
  <c r="D471" i="12"/>
  <c r="E471" i="12"/>
  <c r="F471" i="12"/>
  <c r="G471" i="12"/>
  <c r="A472" i="12"/>
  <c r="B472" i="12"/>
  <c r="C472" i="12"/>
  <c r="D472" i="12"/>
  <c r="E472" i="12"/>
  <c r="F472" i="12"/>
  <c r="G472" i="12"/>
  <c r="A473" i="12"/>
  <c r="B473" i="12"/>
  <c r="C473" i="12"/>
  <c r="D473" i="12"/>
  <c r="E473" i="12"/>
  <c r="F473" i="12"/>
  <c r="G473" i="12"/>
  <c r="A474" i="12"/>
  <c r="B474" i="12"/>
  <c r="C474" i="12"/>
  <c r="D474" i="12"/>
  <c r="E474" i="12"/>
  <c r="F474" i="12"/>
  <c r="G474" i="12"/>
  <c r="A475" i="12"/>
  <c r="B475" i="12"/>
  <c r="C475" i="12"/>
  <c r="D475" i="12"/>
  <c r="E475" i="12"/>
  <c r="F475" i="12"/>
  <c r="G475" i="12"/>
  <c r="A476" i="12"/>
  <c r="B476" i="12"/>
  <c r="C476" i="12"/>
  <c r="D476" i="12"/>
  <c r="E476" i="12"/>
  <c r="F476" i="12"/>
  <c r="G476" i="12"/>
  <c r="A477" i="12"/>
  <c r="B477" i="12"/>
  <c r="C477" i="12"/>
  <c r="D477" i="12"/>
  <c r="E477" i="12"/>
  <c r="F477" i="12"/>
  <c r="G477" i="12"/>
  <c r="A478" i="12"/>
  <c r="B478" i="12"/>
  <c r="C478" i="12"/>
  <c r="D478" i="12"/>
  <c r="E478" i="12"/>
  <c r="F478" i="12"/>
  <c r="G478" i="12"/>
  <c r="A479" i="12"/>
  <c r="B479" i="12"/>
  <c r="C479" i="12"/>
  <c r="D479" i="12"/>
  <c r="E479" i="12"/>
  <c r="F479" i="12"/>
  <c r="G479" i="12"/>
  <c r="A480" i="12"/>
  <c r="B480" i="12"/>
  <c r="C480" i="12"/>
  <c r="D480" i="12"/>
  <c r="E480" i="12"/>
  <c r="F480" i="12"/>
  <c r="G480" i="12"/>
  <c r="A481" i="12"/>
  <c r="B481" i="12"/>
  <c r="C481" i="12"/>
  <c r="D481" i="12"/>
  <c r="E481" i="12"/>
  <c r="F481" i="12"/>
  <c r="G481" i="12"/>
  <c r="A482" i="12"/>
  <c r="B482" i="12"/>
  <c r="C482" i="12"/>
  <c r="D482" i="12"/>
  <c r="E482" i="12"/>
  <c r="F482" i="12"/>
  <c r="G482" i="12"/>
  <c r="A483" i="12"/>
  <c r="B483" i="12"/>
  <c r="C483" i="12"/>
  <c r="D483" i="12"/>
  <c r="E483" i="12"/>
  <c r="F483" i="12"/>
  <c r="G483" i="12"/>
  <c r="A484" i="12"/>
  <c r="B484" i="12"/>
  <c r="C484" i="12"/>
  <c r="D484" i="12"/>
  <c r="E484" i="12"/>
  <c r="F484" i="12"/>
  <c r="G484" i="12"/>
  <c r="A485" i="12"/>
  <c r="B485" i="12"/>
  <c r="C485" i="12"/>
  <c r="D485" i="12"/>
  <c r="E485" i="12"/>
  <c r="F485" i="12"/>
  <c r="G485" i="12"/>
  <c r="A486" i="12"/>
  <c r="B486" i="12"/>
  <c r="C486" i="12"/>
  <c r="D486" i="12"/>
  <c r="E486" i="12"/>
  <c r="F486" i="12"/>
  <c r="G486" i="12"/>
  <c r="A487" i="12"/>
  <c r="B487" i="12"/>
  <c r="C487" i="12"/>
  <c r="D487" i="12"/>
  <c r="E487" i="12"/>
  <c r="F487" i="12"/>
  <c r="G487" i="12"/>
  <c r="A488" i="12"/>
  <c r="B488" i="12"/>
  <c r="C488" i="12"/>
  <c r="D488" i="12"/>
  <c r="E488" i="12"/>
  <c r="F488" i="12"/>
  <c r="G488" i="12"/>
  <c r="A489" i="12"/>
  <c r="B489" i="12"/>
  <c r="C489" i="12"/>
  <c r="D489" i="12"/>
  <c r="E489" i="12"/>
  <c r="F489" i="12"/>
  <c r="G489" i="12"/>
  <c r="A490" i="12"/>
  <c r="B490" i="12"/>
  <c r="C490" i="12"/>
  <c r="D490" i="12"/>
  <c r="E490" i="12"/>
  <c r="F490" i="12"/>
  <c r="G490" i="12"/>
  <c r="A491" i="12"/>
  <c r="B491" i="12"/>
  <c r="C491" i="12"/>
  <c r="D491" i="12"/>
  <c r="E491" i="12"/>
  <c r="F491" i="12"/>
  <c r="G491" i="12"/>
  <c r="A492" i="12"/>
  <c r="B492" i="12"/>
  <c r="C492" i="12"/>
  <c r="D492" i="12"/>
  <c r="E492" i="12"/>
  <c r="F492" i="12"/>
  <c r="G492" i="12"/>
  <c r="A493" i="12"/>
  <c r="B493" i="12"/>
  <c r="C493" i="12"/>
  <c r="D493" i="12"/>
  <c r="E493" i="12"/>
  <c r="F493" i="12"/>
  <c r="G493" i="12"/>
  <c r="A494" i="12"/>
  <c r="B494" i="12"/>
  <c r="C494" i="12"/>
  <c r="D494" i="12"/>
  <c r="E494" i="12"/>
  <c r="F494" i="12"/>
  <c r="G494" i="12"/>
  <c r="A495" i="12"/>
  <c r="B495" i="12"/>
  <c r="C495" i="12"/>
  <c r="D495" i="12"/>
  <c r="E495" i="12"/>
  <c r="F495" i="12"/>
  <c r="G495" i="12"/>
  <c r="A496" i="12"/>
  <c r="B496" i="12"/>
  <c r="C496" i="12"/>
  <c r="D496" i="12"/>
  <c r="E496" i="12"/>
  <c r="F496" i="12"/>
  <c r="G496" i="12"/>
  <c r="A497" i="12"/>
  <c r="B497" i="12"/>
  <c r="C497" i="12"/>
  <c r="D497" i="12"/>
  <c r="E497" i="12"/>
  <c r="F497" i="12"/>
  <c r="G497" i="12"/>
  <c r="A498" i="12"/>
  <c r="B498" i="12"/>
  <c r="C498" i="12"/>
  <c r="D498" i="12"/>
  <c r="E498" i="12"/>
  <c r="F498" i="12"/>
  <c r="G498" i="12"/>
  <c r="A499" i="12"/>
  <c r="B499" i="12"/>
  <c r="C499" i="12"/>
  <c r="D499" i="12"/>
  <c r="E499" i="12"/>
  <c r="F499" i="12"/>
  <c r="G499" i="12"/>
  <c r="A500" i="12"/>
  <c r="B500" i="12"/>
  <c r="C500" i="12"/>
  <c r="D500" i="12"/>
  <c r="E500" i="12"/>
  <c r="F500" i="12"/>
  <c r="G500" i="12"/>
  <c r="A501" i="12"/>
  <c r="B501" i="12"/>
  <c r="C501" i="12"/>
  <c r="D501" i="12"/>
  <c r="E501" i="12"/>
  <c r="F501" i="12"/>
  <c r="G501" i="12"/>
  <c r="A502" i="12"/>
  <c r="B502" i="12"/>
  <c r="C502" i="12"/>
  <c r="D502" i="12"/>
  <c r="E502" i="12"/>
  <c r="F502" i="12"/>
  <c r="G502" i="12"/>
  <c r="A503" i="12"/>
  <c r="B503" i="12"/>
  <c r="C503" i="12"/>
  <c r="D503" i="12"/>
  <c r="E503" i="12"/>
  <c r="F503" i="12"/>
  <c r="G503" i="12"/>
  <c r="A504" i="12"/>
  <c r="B504" i="12"/>
  <c r="C504" i="12"/>
  <c r="D504" i="12"/>
  <c r="E504" i="12"/>
  <c r="F504" i="12"/>
  <c r="G504" i="12"/>
  <c r="A505" i="12"/>
  <c r="B505" i="12"/>
  <c r="C505" i="12"/>
  <c r="D505" i="12"/>
  <c r="E505" i="12"/>
  <c r="F505" i="12"/>
  <c r="G505" i="12"/>
  <c r="A506" i="12"/>
  <c r="B506" i="12"/>
  <c r="C506" i="12"/>
  <c r="D506" i="12"/>
  <c r="E506" i="12"/>
  <c r="F506" i="12"/>
  <c r="G506" i="12"/>
  <c r="A507" i="12"/>
  <c r="B507" i="12"/>
  <c r="C507" i="12"/>
  <c r="D507" i="12"/>
  <c r="E507" i="12"/>
  <c r="F507" i="12"/>
  <c r="G507" i="12"/>
  <c r="A508" i="12"/>
  <c r="B508" i="12"/>
  <c r="C508" i="12"/>
  <c r="D508" i="12"/>
  <c r="E508" i="12"/>
  <c r="F508" i="12"/>
  <c r="G508" i="12"/>
  <c r="A509" i="12"/>
  <c r="B509" i="12"/>
  <c r="C509" i="12"/>
  <c r="D509" i="12"/>
  <c r="E509" i="12"/>
  <c r="F509" i="12"/>
  <c r="G509" i="12"/>
  <c r="A510" i="12"/>
  <c r="B510" i="12"/>
  <c r="C510" i="12"/>
  <c r="D510" i="12"/>
  <c r="E510" i="12"/>
  <c r="F510" i="12"/>
  <c r="G510" i="12"/>
  <c r="A511" i="12"/>
  <c r="B511" i="12"/>
  <c r="C511" i="12"/>
  <c r="D511" i="12"/>
  <c r="E511" i="12"/>
  <c r="F511" i="12"/>
  <c r="G511" i="12"/>
  <c r="A512" i="12"/>
  <c r="B512" i="12"/>
  <c r="C512" i="12"/>
  <c r="D512" i="12"/>
  <c r="E512" i="12"/>
  <c r="F512" i="12"/>
  <c r="G512" i="12"/>
  <c r="A513" i="12"/>
  <c r="B513" i="12"/>
  <c r="C513" i="12"/>
  <c r="D513" i="12"/>
  <c r="E513" i="12"/>
  <c r="F513" i="12"/>
  <c r="G513" i="12"/>
  <c r="A514" i="12"/>
  <c r="B514" i="12"/>
  <c r="C514" i="12"/>
  <c r="D514" i="12"/>
  <c r="E514" i="12"/>
  <c r="F514" i="12"/>
  <c r="G514" i="12"/>
  <c r="A515" i="12"/>
  <c r="B515" i="12"/>
  <c r="C515" i="12"/>
  <c r="D515" i="12"/>
  <c r="E515" i="12"/>
  <c r="F515" i="12"/>
  <c r="G515" i="12"/>
  <c r="A516" i="12"/>
  <c r="B516" i="12"/>
  <c r="C516" i="12"/>
  <c r="D516" i="12"/>
  <c r="E516" i="12"/>
  <c r="F516" i="12"/>
  <c r="G516" i="12"/>
  <c r="A517" i="12"/>
  <c r="B517" i="12"/>
  <c r="C517" i="12"/>
  <c r="D517" i="12"/>
  <c r="E517" i="12"/>
  <c r="F517" i="12"/>
  <c r="G517" i="12"/>
  <c r="A518" i="12"/>
  <c r="B518" i="12"/>
  <c r="C518" i="12"/>
  <c r="D518" i="12"/>
  <c r="E518" i="12"/>
  <c r="F518" i="12"/>
  <c r="G518" i="12"/>
  <c r="A519" i="12"/>
  <c r="B519" i="12"/>
  <c r="C519" i="12"/>
  <c r="D519" i="12"/>
  <c r="E519" i="12"/>
  <c r="F519" i="12"/>
  <c r="G519" i="12"/>
  <c r="A520" i="12"/>
  <c r="B520" i="12"/>
  <c r="C520" i="12"/>
  <c r="D520" i="12"/>
  <c r="E520" i="12"/>
  <c r="F520" i="12"/>
  <c r="G520" i="12"/>
  <c r="A521" i="12"/>
  <c r="B521" i="12"/>
  <c r="C521" i="12"/>
  <c r="D521" i="12"/>
  <c r="E521" i="12"/>
  <c r="F521" i="12"/>
  <c r="G521" i="12"/>
  <c r="A522" i="12"/>
  <c r="B522" i="12"/>
  <c r="C522" i="12"/>
  <c r="D522" i="12"/>
  <c r="E522" i="12"/>
  <c r="F522" i="12"/>
  <c r="G522" i="12"/>
  <c r="A523" i="12"/>
  <c r="B523" i="12"/>
  <c r="C523" i="12"/>
  <c r="D523" i="12"/>
  <c r="E523" i="12"/>
  <c r="F523" i="12"/>
  <c r="G523" i="12"/>
  <c r="A524" i="12"/>
  <c r="B524" i="12"/>
  <c r="C524" i="12"/>
  <c r="D524" i="12"/>
  <c r="E524" i="12"/>
  <c r="F524" i="12"/>
  <c r="G524" i="12"/>
  <c r="A525" i="12"/>
  <c r="B525" i="12"/>
  <c r="C525" i="12"/>
  <c r="D525" i="12"/>
  <c r="E525" i="12"/>
  <c r="F525" i="12"/>
  <c r="G525" i="12"/>
  <c r="A526" i="12"/>
  <c r="B526" i="12"/>
  <c r="C526" i="12"/>
  <c r="D526" i="12"/>
  <c r="E526" i="12"/>
  <c r="F526" i="12"/>
  <c r="G526" i="12"/>
  <c r="A527" i="12"/>
  <c r="B527" i="12"/>
  <c r="C527" i="12"/>
  <c r="D527" i="12"/>
  <c r="E527" i="12"/>
  <c r="F527" i="12"/>
  <c r="G527" i="12"/>
  <c r="A528" i="12"/>
  <c r="B528" i="12"/>
  <c r="C528" i="12"/>
  <c r="D528" i="12"/>
  <c r="E528" i="12"/>
  <c r="F528" i="12"/>
  <c r="G528" i="12"/>
  <c r="A529" i="12"/>
  <c r="B529" i="12"/>
  <c r="C529" i="12"/>
  <c r="D529" i="12"/>
  <c r="E529" i="12"/>
  <c r="F529" i="12"/>
  <c r="G529" i="12"/>
  <c r="A530" i="12"/>
  <c r="B530" i="12"/>
  <c r="C530" i="12"/>
  <c r="D530" i="12"/>
  <c r="E530" i="12"/>
  <c r="F530" i="12"/>
  <c r="G530" i="12"/>
  <c r="A531" i="12"/>
  <c r="B531" i="12"/>
  <c r="C531" i="12"/>
  <c r="D531" i="12"/>
  <c r="E531" i="12"/>
  <c r="F531" i="12"/>
  <c r="G531" i="12"/>
  <c r="A532" i="12"/>
  <c r="B532" i="12"/>
  <c r="C532" i="12"/>
  <c r="D532" i="12"/>
  <c r="E532" i="12"/>
  <c r="F532" i="12"/>
  <c r="G532" i="12"/>
  <c r="A533" i="12"/>
  <c r="B533" i="12"/>
  <c r="C533" i="12"/>
  <c r="D533" i="12"/>
  <c r="E533" i="12"/>
  <c r="F533" i="12"/>
  <c r="G533" i="12"/>
  <c r="A534" i="12"/>
  <c r="B534" i="12"/>
  <c r="C534" i="12"/>
  <c r="D534" i="12"/>
  <c r="E534" i="12"/>
  <c r="F534" i="12"/>
  <c r="G534" i="12"/>
  <c r="A535" i="12"/>
  <c r="B535" i="12"/>
  <c r="C535" i="12"/>
  <c r="D535" i="12"/>
  <c r="E535" i="12"/>
  <c r="F535" i="12"/>
  <c r="G535" i="12"/>
  <c r="A536" i="12"/>
  <c r="B536" i="12"/>
  <c r="C536" i="12"/>
  <c r="D536" i="12"/>
  <c r="E536" i="12"/>
  <c r="F536" i="12"/>
  <c r="G536" i="12"/>
  <c r="A537" i="12"/>
  <c r="B537" i="12"/>
  <c r="C537" i="12"/>
  <c r="D537" i="12"/>
  <c r="E537" i="12"/>
  <c r="F537" i="12"/>
  <c r="G537" i="12"/>
  <c r="A538" i="12"/>
  <c r="B538" i="12"/>
  <c r="C538" i="12"/>
  <c r="D538" i="12"/>
  <c r="E538" i="12"/>
  <c r="F538" i="12"/>
  <c r="G538" i="12"/>
  <c r="A539" i="12"/>
  <c r="B539" i="12"/>
  <c r="C539" i="12"/>
  <c r="D539" i="12"/>
  <c r="E539" i="12"/>
  <c r="F539" i="12"/>
  <c r="G539" i="12"/>
  <c r="A540" i="12"/>
  <c r="B540" i="12"/>
  <c r="C540" i="12"/>
  <c r="D540" i="12"/>
  <c r="E540" i="12"/>
  <c r="F540" i="12"/>
  <c r="G540" i="12"/>
  <c r="A541" i="12"/>
  <c r="B541" i="12"/>
  <c r="C541" i="12"/>
  <c r="D541" i="12"/>
  <c r="E541" i="12"/>
  <c r="F541" i="12"/>
  <c r="G541" i="12"/>
  <c r="A542" i="12"/>
  <c r="B542" i="12"/>
  <c r="C542" i="12"/>
  <c r="D542" i="12"/>
  <c r="E542" i="12"/>
  <c r="F542" i="12"/>
  <c r="G542" i="12"/>
  <c r="A543" i="12"/>
  <c r="B543" i="12"/>
  <c r="C543" i="12"/>
  <c r="D543" i="12"/>
  <c r="E543" i="12"/>
  <c r="F543" i="12"/>
  <c r="G543" i="12"/>
  <c r="A544" i="12"/>
  <c r="B544" i="12"/>
  <c r="C544" i="12"/>
  <c r="D544" i="12"/>
  <c r="E544" i="12"/>
  <c r="F544" i="12"/>
  <c r="G544" i="12"/>
  <c r="A545" i="12"/>
  <c r="B545" i="12"/>
  <c r="C545" i="12"/>
  <c r="D545" i="12"/>
  <c r="E545" i="12"/>
  <c r="F545" i="12"/>
  <c r="G545" i="12"/>
  <c r="A546" i="12"/>
  <c r="B546" i="12"/>
  <c r="C546" i="12"/>
  <c r="D546" i="12"/>
  <c r="E546" i="12"/>
  <c r="F546" i="12"/>
  <c r="G546" i="12"/>
  <c r="A547" i="12"/>
  <c r="B547" i="12"/>
  <c r="C547" i="12"/>
  <c r="D547" i="12"/>
  <c r="E547" i="12"/>
  <c r="F547" i="12"/>
  <c r="G547" i="12"/>
  <c r="A548" i="12"/>
  <c r="B548" i="12"/>
  <c r="C548" i="12"/>
  <c r="D548" i="12"/>
  <c r="E548" i="12"/>
  <c r="F548" i="12"/>
  <c r="G548" i="12"/>
  <c r="A549" i="12"/>
  <c r="B549" i="12"/>
  <c r="C549" i="12"/>
  <c r="D549" i="12"/>
  <c r="E549" i="12"/>
  <c r="F549" i="12"/>
  <c r="G549" i="12"/>
  <c r="A550" i="12"/>
  <c r="B550" i="12"/>
  <c r="C550" i="12"/>
  <c r="D550" i="12"/>
  <c r="E550" i="12"/>
  <c r="F550" i="12"/>
  <c r="G550" i="12"/>
  <c r="A551" i="12"/>
  <c r="B551" i="12"/>
  <c r="C551" i="12"/>
  <c r="D551" i="12"/>
  <c r="E551" i="12"/>
  <c r="F551" i="12"/>
  <c r="G551" i="12"/>
  <c r="A552" i="12"/>
  <c r="B552" i="12"/>
  <c r="C552" i="12"/>
  <c r="D552" i="12"/>
  <c r="E552" i="12"/>
  <c r="F552" i="12"/>
  <c r="G552" i="12"/>
  <c r="A553" i="12"/>
  <c r="B553" i="12"/>
  <c r="C553" i="12"/>
  <c r="D553" i="12"/>
  <c r="E553" i="12"/>
  <c r="F553" i="12"/>
  <c r="G553" i="12"/>
  <c r="A554" i="12"/>
  <c r="B554" i="12"/>
  <c r="C554" i="12"/>
  <c r="D554" i="12"/>
  <c r="E554" i="12"/>
  <c r="F554" i="12"/>
  <c r="G554" i="12"/>
  <c r="A555" i="12"/>
  <c r="B555" i="12"/>
  <c r="C555" i="12"/>
  <c r="D555" i="12"/>
  <c r="E555" i="12"/>
  <c r="F555" i="12"/>
  <c r="G555" i="12"/>
  <c r="A556" i="12"/>
  <c r="B556" i="12"/>
  <c r="C556" i="12"/>
  <c r="D556" i="12"/>
  <c r="E556" i="12"/>
  <c r="F556" i="12"/>
  <c r="G556" i="12"/>
  <c r="A557" i="12"/>
  <c r="B557" i="12"/>
  <c r="C557" i="12"/>
  <c r="D557" i="12"/>
  <c r="E557" i="12"/>
  <c r="F557" i="12"/>
  <c r="G557" i="12"/>
  <c r="A558" i="12"/>
  <c r="B558" i="12"/>
  <c r="C558" i="12"/>
  <c r="D558" i="12"/>
  <c r="E558" i="12"/>
  <c r="F558" i="12"/>
  <c r="G558" i="12"/>
  <c r="A559" i="12"/>
  <c r="B559" i="12"/>
  <c r="C559" i="12"/>
  <c r="D559" i="12"/>
  <c r="E559" i="12"/>
  <c r="F559" i="12"/>
  <c r="G559" i="12"/>
  <c r="A560" i="12"/>
  <c r="B560" i="12"/>
  <c r="C560" i="12"/>
  <c r="D560" i="12"/>
  <c r="E560" i="12"/>
  <c r="F560" i="12"/>
  <c r="G560" i="12"/>
  <c r="A561" i="12"/>
  <c r="B561" i="12"/>
  <c r="C561" i="12"/>
  <c r="D561" i="12"/>
  <c r="E561" i="12"/>
  <c r="F561" i="12"/>
  <c r="G561" i="12"/>
  <c r="A562" i="12"/>
  <c r="B562" i="12"/>
  <c r="C562" i="12"/>
  <c r="D562" i="12"/>
  <c r="E562" i="12"/>
  <c r="F562" i="12"/>
  <c r="G562" i="12"/>
  <c r="A563" i="12"/>
  <c r="B563" i="12"/>
  <c r="C563" i="12"/>
  <c r="D563" i="12"/>
  <c r="E563" i="12"/>
  <c r="F563" i="12"/>
  <c r="G563" i="12"/>
  <c r="A564" i="12"/>
  <c r="B564" i="12"/>
  <c r="C564" i="12"/>
  <c r="D564" i="12"/>
  <c r="E564" i="12"/>
  <c r="F564" i="12"/>
  <c r="G564" i="12"/>
  <c r="A565" i="12"/>
  <c r="B565" i="12"/>
  <c r="C565" i="12"/>
  <c r="D565" i="12"/>
  <c r="E565" i="12"/>
  <c r="F565" i="12"/>
  <c r="G565" i="12"/>
  <c r="A566" i="12"/>
  <c r="B566" i="12"/>
  <c r="C566" i="12"/>
  <c r="D566" i="12"/>
  <c r="E566" i="12"/>
  <c r="F566" i="12"/>
  <c r="G566" i="12"/>
  <c r="A567" i="12"/>
  <c r="B567" i="12"/>
  <c r="C567" i="12"/>
  <c r="D567" i="12"/>
  <c r="E567" i="12"/>
  <c r="F567" i="12"/>
  <c r="G567" i="12"/>
  <c r="A568" i="12"/>
  <c r="B568" i="12"/>
  <c r="C568" i="12"/>
  <c r="D568" i="12"/>
  <c r="E568" i="12"/>
  <c r="F568" i="12"/>
  <c r="G568" i="12"/>
  <c r="A569" i="12"/>
  <c r="B569" i="12"/>
  <c r="C569" i="12"/>
  <c r="D569" i="12"/>
  <c r="E569" i="12"/>
  <c r="F569" i="12"/>
  <c r="G569" i="12"/>
  <c r="A570" i="12"/>
  <c r="B570" i="12"/>
  <c r="C570" i="12"/>
  <c r="D570" i="12"/>
  <c r="E570" i="12"/>
  <c r="F570" i="12"/>
  <c r="G570" i="12"/>
  <c r="A571" i="12"/>
  <c r="B571" i="12"/>
  <c r="C571" i="12"/>
  <c r="D571" i="12"/>
  <c r="E571" i="12"/>
  <c r="F571" i="12"/>
  <c r="G571" i="12"/>
  <c r="A572" i="12"/>
  <c r="B572" i="12"/>
  <c r="C572" i="12"/>
  <c r="D572" i="12"/>
  <c r="E572" i="12"/>
  <c r="F572" i="12"/>
  <c r="G572" i="12"/>
  <c r="A573" i="12"/>
  <c r="B573" i="12"/>
  <c r="C573" i="12"/>
  <c r="D573" i="12"/>
  <c r="E573" i="12"/>
  <c r="F573" i="12"/>
  <c r="G573" i="12"/>
  <c r="A574" i="12"/>
  <c r="B574" i="12"/>
  <c r="C574" i="12"/>
  <c r="D574" i="12"/>
  <c r="E574" i="12"/>
  <c r="F574" i="12"/>
  <c r="G574" i="12"/>
  <c r="A575" i="12"/>
  <c r="B575" i="12"/>
  <c r="C575" i="12"/>
  <c r="D575" i="12"/>
  <c r="E575" i="12"/>
  <c r="F575" i="12"/>
  <c r="G575" i="12"/>
  <c r="A576" i="12"/>
  <c r="B576" i="12"/>
  <c r="C576" i="12"/>
  <c r="D576" i="12"/>
  <c r="E576" i="12"/>
  <c r="F576" i="12"/>
  <c r="G576" i="12"/>
  <c r="A577" i="12"/>
  <c r="B577" i="12"/>
  <c r="C577" i="12"/>
  <c r="D577" i="12"/>
  <c r="E577" i="12"/>
  <c r="F577" i="12"/>
  <c r="G577" i="12"/>
  <c r="A578" i="12"/>
  <c r="B578" i="12"/>
  <c r="C578" i="12"/>
  <c r="D578" i="12"/>
  <c r="E578" i="12"/>
  <c r="F578" i="12"/>
  <c r="G578" i="12"/>
  <c r="A579" i="12"/>
  <c r="B579" i="12"/>
  <c r="C579" i="12"/>
  <c r="D579" i="12"/>
  <c r="E579" i="12"/>
  <c r="F579" i="12"/>
  <c r="G579" i="12"/>
  <c r="A580" i="12"/>
  <c r="B580" i="12"/>
  <c r="C580" i="12"/>
  <c r="D580" i="12"/>
  <c r="E580" i="12"/>
  <c r="F580" i="12"/>
  <c r="G580" i="12"/>
  <c r="A581" i="12"/>
  <c r="B581" i="12"/>
  <c r="C581" i="12"/>
  <c r="D581" i="12"/>
  <c r="E581" i="12"/>
  <c r="F581" i="12"/>
  <c r="G581" i="12"/>
  <c r="A582" i="12"/>
  <c r="B582" i="12"/>
  <c r="C582" i="12"/>
  <c r="D582" i="12"/>
  <c r="E582" i="12"/>
  <c r="F582" i="12"/>
  <c r="G582" i="12"/>
  <c r="A583" i="12"/>
  <c r="B583" i="12"/>
  <c r="C583" i="12"/>
  <c r="D583" i="12"/>
  <c r="E583" i="12"/>
  <c r="F583" i="12"/>
  <c r="G583" i="12"/>
  <c r="A584" i="12"/>
  <c r="B584" i="12"/>
  <c r="C584" i="12"/>
  <c r="D584" i="12"/>
  <c r="E584" i="12"/>
  <c r="F584" i="12"/>
  <c r="G584" i="12"/>
  <c r="A585" i="12"/>
  <c r="B585" i="12"/>
  <c r="C585" i="12"/>
  <c r="D585" i="12"/>
  <c r="E585" i="12"/>
  <c r="F585" i="12"/>
  <c r="G585" i="12"/>
  <c r="A586" i="12"/>
  <c r="B586" i="12"/>
  <c r="C586" i="12"/>
  <c r="D586" i="12"/>
  <c r="E586" i="12"/>
  <c r="F586" i="12"/>
  <c r="G586" i="12"/>
  <c r="A587" i="12"/>
  <c r="B587" i="12"/>
  <c r="C587" i="12"/>
  <c r="D587" i="12"/>
  <c r="E587" i="12"/>
  <c r="F587" i="12"/>
  <c r="G587" i="12"/>
  <c r="A588" i="12"/>
  <c r="B588" i="12"/>
  <c r="C588" i="12"/>
  <c r="D588" i="12"/>
  <c r="E588" i="12"/>
  <c r="F588" i="12"/>
  <c r="G588" i="12"/>
  <c r="A589" i="12"/>
  <c r="B589" i="12"/>
  <c r="C589" i="12"/>
  <c r="D589" i="12"/>
  <c r="E589" i="12"/>
  <c r="F589" i="12"/>
  <c r="G589" i="12"/>
  <c r="A590" i="12"/>
  <c r="B590" i="12"/>
  <c r="C590" i="12"/>
  <c r="D590" i="12"/>
  <c r="E590" i="12"/>
  <c r="F590" i="12"/>
  <c r="G590" i="12"/>
  <c r="A591" i="12"/>
  <c r="B591" i="12"/>
  <c r="C591" i="12"/>
  <c r="D591" i="12"/>
  <c r="E591" i="12"/>
  <c r="F591" i="12"/>
  <c r="G591" i="12"/>
  <c r="A592" i="12"/>
  <c r="B592" i="12"/>
  <c r="C592" i="12"/>
  <c r="D592" i="12"/>
  <c r="E592" i="12"/>
  <c r="F592" i="12"/>
  <c r="G592" i="12"/>
  <c r="A593" i="12"/>
  <c r="B593" i="12"/>
  <c r="C593" i="12"/>
  <c r="D593" i="12"/>
  <c r="E593" i="12"/>
  <c r="F593" i="12"/>
  <c r="G593" i="12"/>
  <c r="A594" i="12"/>
  <c r="B594" i="12"/>
  <c r="C594" i="12"/>
  <c r="D594" i="12"/>
  <c r="E594" i="12"/>
  <c r="F594" i="12"/>
  <c r="G594" i="12"/>
  <c r="A595" i="12"/>
  <c r="B595" i="12"/>
  <c r="C595" i="12"/>
  <c r="D595" i="12"/>
  <c r="E595" i="12"/>
  <c r="F595" i="12"/>
  <c r="G595" i="12"/>
  <c r="A596" i="12"/>
  <c r="B596" i="12"/>
  <c r="C596" i="12"/>
  <c r="D596" i="12"/>
  <c r="E596" i="12"/>
  <c r="F596" i="12"/>
  <c r="G596" i="12"/>
  <c r="A597" i="12"/>
  <c r="B597" i="12"/>
  <c r="C597" i="12"/>
  <c r="D597" i="12"/>
  <c r="E597" i="12"/>
  <c r="F597" i="12"/>
  <c r="G597" i="12"/>
  <c r="A598" i="12"/>
  <c r="B598" i="12"/>
  <c r="C598" i="12"/>
  <c r="D598" i="12"/>
  <c r="E598" i="12"/>
  <c r="F598" i="12"/>
  <c r="G598" i="12"/>
  <c r="A599" i="12"/>
  <c r="B599" i="12"/>
  <c r="C599" i="12"/>
  <c r="D599" i="12"/>
  <c r="E599" i="12"/>
  <c r="F599" i="12"/>
  <c r="G599" i="12"/>
  <c r="A600" i="12"/>
  <c r="B600" i="12"/>
  <c r="C600" i="12"/>
  <c r="D600" i="12"/>
  <c r="E600" i="12"/>
  <c r="F600" i="12"/>
  <c r="G600" i="12"/>
  <c r="A601" i="12"/>
  <c r="B601" i="12"/>
  <c r="C601" i="12"/>
  <c r="D601" i="12"/>
  <c r="E601" i="12"/>
  <c r="F601" i="12"/>
  <c r="G601" i="12"/>
  <c r="A602" i="12"/>
  <c r="B602" i="12"/>
  <c r="C602" i="12"/>
  <c r="D602" i="12"/>
  <c r="E602" i="12"/>
  <c r="F602" i="12"/>
  <c r="G602" i="12"/>
  <c r="A603" i="12"/>
  <c r="B603" i="12"/>
  <c r="C603" i="12"/>
  <c r="D603" i="12"/>
  <c r="E603" i="12"/>
  <c r="F603" i="12"/>
  <c r="G603" i="12"/>
  <c r="A604" i="12"/>
  <c r="B604" i="12"/>
  <c r="C604" i="12"/>
  <c r="D604" i="12"/>
  <c r="E604" i="12"/>
  <c r="F604" i="12"/>
  <c r="G604" i="12"/>
  <c r="A605" i="12"/>
  <c r="B605" i="12"/>
  <c r="C605" i="12"/>
  <c r="D605" i="12"/>
  <c r="E605" i="12"/>
  <c r="F605" i="12"/>
  <c r="G605" i="12"/>
  <c r="A606" i="12"/>
  <c r="B606" i="12"/>
  <c r="C606" i="12"/>
  <c r="D606" i="12"/>
  <c r="E606" i="12"/>
  <c r="F606" i="12"/>
  <c r="G606" i="12"/>
  <c r="A607" i="12"/>
  <c r="B607" i="12"/>
  <c r="C607" i="12"/>
  <c r="D607" i="12"/>
  <c r="E607" i="12"/>
  <c r="F607" i="12"/>
  <c r="G607" i="12"/>
  <c r="A608" i="12"/>
  <c r="B608" i="12"/>
  <c r="C608" i="12"/>
  <c r="D608" i="12"/>
  <c r="E608" i="12"/>
  <c r="F608" i="12"/>
  <c r="G608" i="12"/>
  <c r="A609" i="12"/>
  <c r="B609" i="12"/>
  <c r="C609" i="12"/>
  <c r="D609" i="12"/>
  <c r="E609" i="12"/>
  <c r="F609" i="12"/>
  <c r="G609" i="12"/>
  <c r="A610" i="12"/>
  <c r="B610" i="12"/>
  <c r="C610" i="12"/>
  <c r="D610" i="12"/>
  <c r="E610" i="12"/>
  <c r="F610" i="12"/>
  <c r="G610" i="12"/>
  <c r="A611" i="12"/>
  <c r="B611" i="12"/>
  <c r="C611" i="12"/>
  <c r="D611" i="12"/>
  <c r="E611" i="12"/>
  <c r="F611" i="12"/>
  <c r="G611" i="12"/>
  <c r="A612" i="12"/>
  <c r="B612" i="12"/>
  <c r="C612" i="12"/>
  <c r="D612" i="12"/>
  <c r="E612" i="12"/>
  <c r="F612" i="12"/>
  <c r="G612" i="12"/>
  <c r="A613" i="12"/>
  <c r="B613" i="12"/>
  <c r="C613" i="12"/>
  <c r="D613" i="12"/>
  <c r="E613" i="12"/>
  <c r="F613" i="12"/>
  <c r="G613" i="12"/>
  <c r="A614" i="12"/>
  <c r="B614" i="12"/>
  <c r="C614" i="12"/>
  <c r="D614" i="12"/>
  <c r="E614" i="12"/>
  <c r="F614" i="12"/>
  <c r="G614" i="12"/>
  <c r="A615" i="12"/>
  <c r="B615" i="12"/>
  <c r="C615" i="12"/>
  <c r="D615" i="12"/>
  <c r="E615" i="12"/>
  <c r="F615" i="12"/>
  <c r="G615" i="12"/>
  <c r="A616" i="12"/>
  <c r="B616" i="12"/>
  <c r="C616" i="12"/>
  <c r="D616" i="12"/>
  <c r="E616" i="12"/>
  <c r="F616" i="12"/>
  <c r="G616" i="12"/>
  <c r="A617" i="12"/>
  <c r="B617" i="12"/>
  <c r="C617" i="12"/>
  <c r="D617" i="12"/>
  <c r="E617" i="12"/>
  <c r="F617" i="12"/>
  <c r="G617" i="12"/>
  <c r="A618" i="12"/>
  <c r="B618" i="12"/>
  <c r="C618" i="12"/>
  <c r="D618" i="12"/>
  <c r="E618" i="12"/>
  <c r="F618" i="12"/>
  <c r="G618" i="12"/>
  <c r="A619" i="12"/>
  <c r="B619" i="12"/>
  <c r="C619" i="12"/>
  <c r="D619" i="12"/>
  <c r="E619" i="12"/>
  <c r="F619" i="12"/>
  <c r="G619" i="12"/>
  <c r="A620" i="12"/>
  <c r="B620" i="12"/>
  <c r="C620" i="12"/>
  <c r="D620" i="12"/>
  <c r="E620" i="12"/>
  <c r="F620" i="12"/>
  <c r="G620" i="12"/>
  <c r="A621" i="12"/>
  <c r="B621" i="12"/>
  <c r="C621" i="12"/>
  <c r="D621" i="12"/>
  <c r="E621" i="12"/>
  <c r="F621" i="12"/>
  <c r="G621" i="12"/>
  <c r="A622" i="12"/>
  <c r="B622" i="12"/>
  <c r="C622" i="12"/>
  <c r="D622" i="12"/>
  <c r="E622" i="12"/>
  <c r="F622" i="12"/>
  <c r="G622" i="12"/>
  <c r="A623" i="12"/>
  <c r="B623" i="12"/>
  <c r="C623" i="12"/>
  <c r="D623" i="12"/>
  <c r="E623" i="12"/>
  <c r="F623" i="12"/>
  <c r="G623" i="12"/>
  <c r="A624" i="12"/>
  <c r="B624" i="12"/>
  <c r="C624" i="12"/>
  <c r="D624" i="12"/>
  <c r="E624" i="12"/>
  <c r="F624" i="12"/>
  <c r="G624" i="12"/>
  <c r="A625" i="12"/>
  <c r="B625" i="12"/>
  <c r="C625" i="12"/>
  <c r="D625" i="12"/>
  <c r="E625" i="12"/>
  <c r="F625" i="12"/>
  <c r="G625" i="12"/>
  <c r="A626" i="12"/>
  <c r="B626" i="12"/>
  <c r="C626" i="12"/>
  <c r="D626" i="12"/>
  <c r="E626" i="12"/>
  <c r="F626" i="12"/>
  <c r="G626" i="12"/>
  <c r="A627" i="12"/>
  <c r="B627" i="12"/>
  <c r="C627" i="12"/>
  <c r="D627" i="12"/>
  <c r="E627" i="12"/>
  <c r="F627" i="12"/>
  <c r="G627" i="12"/>
  <c r="A628" i="12"/>
  <c r="B628" i="12"/>
  <c r="C628" i="12"/>
  <c r="D628" i="12"/>
  <c r="E628" i="12"/>
  <c r="F628" i="12"/>
  <c r="G628" i="12"/>
  <c r="A629" i="12"/>
  <c r="B629" i="12"/>
  <c r="C629" i="12"/>
  <c r="D629" i="12"/>
  <c r="E629" i="12"/>
  <c r="F629" i="12"/>
  <c r="G629" i="12"/>
  <c r="A630" i="12"/>
  <c r="B630" i="12"/>
  <c r="C630" i="12"/>
  <c r="D630" i="12"/>
  <c r="E630" i="12"/>
  <c r="F630" i="12"/>
  <c r="G630" i="12"/>
  <c r="A631" i="12"/>
  <c r="B631" i="12"/>
  <c r="C631" i="12"/>
  <c r="D631" i="12"/>
  <c r="E631" i="12"/>
  <c r="F631" i="12"/>
  <c r="G631" i="12"/>
  <c r="A632" i="12"/>
  <c r="B632" i="12"/>
  <c r="C632" i="12"/>
  <c r="D632" i="12"/>
  <c r="E632" i="12"/>
  <c r="F632" i="12"/>
  <c r="G632" i="12"/>
  <c r="A633" i="12"/>
  <c r="B633" i="12"/>
  <c r="C633" i="12"/>
  <c r="D633" i="12"/>
  <c r="E633" i="12"/>
  <c r="F633" i="12"/>
  <c r="G633" i="12"/>
  <c r="A634" i="12"/>
  <c r="B634" i="12"/>
  <c r="C634" i="12"/>
  <c r="D634" i="12"/>
  <c r="E634" i="12"/>
  <c r="F634" i="12"/>
  <c r="G634" i="12"/>
  <c r="A635" i="12"/>
  <c r="B635" i="12"/>
  <c r="C635" i="12"/>
  <c r="D635" i="12"/>
  <c r="E635" i="12"/>
  <c r="F635" i="12"/>
  <c r="G635" i="12"/>
  <c r="A636" i="12"/>
  <c r="B636" i="12"/>
  <c r="C636" i="12"/>
  <c r="D636" i="12"/>
  <c r="E636" i="12"/>
  <c r="F636" i="12"/>
  <c r="G636" i="12"/>
  <c r="A637" i="12"/>
  <c r="B637" i="12"/>
  <c r="C637" i="12"/>
  <c r="D637" i="12"/>
  <c r="E637" i="12"/>
  <c r="F637" i="12"/>
  <c r="G637" i="12"/>
  <c r="A638" i="12"/>
  <c r="B638" i="12"/>
  <c r="C638" i="12"/>
  <c r="D638" i="12"/>
  <c r="E638" i="12"/>
  <c r="F638" i="12"/>
  <c r="G638" i="12"/>
  <c r="A639" i="12"/>
  <c r="B639" i="12"/>
  <c r="C639" i="12"/>
  <c r="D639" i="12"/>
  <c r="E639" i="12"/>
  <c r="F639" i="12"/>
  <c r="G639" i="12"/>
  <c r="A640" i="12"/>
  <c r="B640" i="12"/>
  <c r="C640" i="12"/>
  <c r="D640" i="12"/>
  <c r="E640" i="12"/>
  <c r="F640" i="12"/>
  <c r="G640" i="12"/>
  <c r="A641" i="12"/>
  <c r="B641" i="12"/>
  <c r="C641" i="12"/>
  <c r="D641" i="12"/>
  <c r="E641" i="12"/>
  <c r="F641" i="12"/>
  <c r="G641" i="12"/>
  <c r="A642" i="12"/>
  <c r="B642" i="12"/>
  <c r="C642" i="12"/>
  <c r="D642" i="12"/>
  <c r="E642" i="12"/>
  <c r="F642" i="12"/>
  <c r="G642" i="12"/>
  <c r="A643" i="12"/>
  <c r="B643" i="12"/>
  <c r="C643" i="12"/>
  <c r="D643" i="12"/>
  <c r="E643" i="12"/>
  <c r="F643" i="12"/>
  <c r="G643" i="12"/>
  <c r="A644" i="12"/>
  <c r="B644" i="12"/>
  <c r="C644" i="12"/>
  <c r="D644" i="12"/>
  <c r="E644" i="12"/>
  <c r="F644" i="12"/>
  <c r="G644" i="12"/>
  <c r="A645" i="12"/>
  <c r="B645" i="12"/>
  <c r="C645" i="12"/>
  <c r="D645" i="12"/>
  <c r="E645" i="12"/>
  <c r="F645" i="12"/>
  <c r="G645" i="12"/>
  <c r="A646" i="12"/>
  <c r="B646" i="12"/>
  <c r="C646" i="12"/>
  <c r="D646" i="12"/>
  <c r="E646" i="12"/>
  <c r="F646" i="12"/>
  <c r="G646" i="12"/>
  <c r="A647" i="12"/>
  <c r="B647" i="12"/>
  <c r="C647" i="12"/>
  <c r="D647" i="12"/>
  <c r="E647" i="12"/>
  <c r="F647" i="12"/>
  <c r="G647" i="12"/>
  <c r="A648" i="12"/>
  <c r="B648" i="12"/>
  <c r="C648" i="12"/>
  <c r="D648" i="12"/>
  <c r="E648" i="12"/>
  <c r="F648" i="12"/>
  <c r="G648" i="12"/>
  <c r="A649" i="12"/>
  <c r="B649" i="12"/>
  <c r="C649" i="12"/>
  <c r="D649" i="12"/>
  <c r="E649" i="12"/>
  <c r="F649" i="12"/>
  <c r="G649" i="12"/>
  <c r="A650" i="12"/>
  <c r="B650" i="12"/>
  <c r="C650" i="12"/>
  <c r="D650" i="12"/>
  <c r="E650" i="12"/>
  <c r="F650" i="12"/>
  <c r="G650" i="12"/>
  <c r="A651" i="12"/>
  <c r="B651" i="12"/>
  <c r="C651" i="12"/>
  <c r="D651" i="12"/>
  <c r="E651" i="12"/>
  <c r="F651" i="12"/>
  <c r="G651" i="12"/>
  <c r="A652" i="12"/>
  <c r="B652" i="12"/>
  <c r="C652" i="12"/>
  <c r="D652" i="12"/>
  <c r="E652" i="12"/>
  <c r="F652" i="12"/>
  <c r="G652" i="12"/>
  <c r="A653" i="12"/>
  <c r="B653" i="12"/>
  <c r="C653" i="12"/>
  <c r="D653" i="12"/>
  <c r="E653" i="12"/>
  <c r="F653" i="12"/>
  <c r="G653" i="12"/>
  <c r="A654" i="12"/>
  <c r="B654" i="12"/>
  <c r="C654" i="12"/>
  <c r="D654" i="12"/>
  <c r="E654" i="12"/>
  <c r="F654" i="12"/>
  <c r="G654" i="12"/>
  <c r="A655" i="12"/>
  <c r="B655" i="12"/>
  <c r="C655" i="12"/>
  <c r="D655" i="12"/>
  <c r="E655" i="12"/>
  <c r="F655" i="12"/>
  <c r="G655" i="12"/>
  <c r="A656" i="12"/>
  <c r="B656" i="12"/>
  <c r="C656" i="12"/>
  <c r="D656" i="12"/>
  <c r="E656" i="12"/>
  <c r="F656" i="12"/>
  <c r="G656" i="12"/>
  <c r="A657" i="12"/>
  <c r="B657" i="12"/>
  <c r="C657" i="12"/>
  <c r="D657" i="12"/>
  <c r="E657" i="12"/>
  <c r="F657" i="12"/>
  <c r="G657" i="12"/>
  <c r="A658" i="12"/>
  <c r="B658" i="12"/>
  <c r="C658" i="12"/>
  <c r="D658" i="12"/>
  <c r="E658" i="12"/>
  <c r="F658" i="12"/>
  <c r="G658" i="12"/>
  <c r="A659" i="12"/>
  <c r="B659" i="12"/>
  <c r="C659" i="12"/>
  <c r="D659" i="12"/>
  <c r="E659" i="12"/>
  <c r="F659" i="12"/>
  <c r="G659" i="12"/>
  <c r="A660" i="12"/>
  <c r="B660" i="12"/>
  <c r="C660" i="12"/>
  <c r="D660" i="12"/>
  <c r="E660" i="12"/>
  <c r="F660" i="12"/>
  <c r="G660" i="12"/>
  <c r="A661" i="12"/>
  <c r="B661" i="12"/>
  <c r="C661" i="12"/>
  <c r="D661" i="12"/>
  <c r="E661" i="12"/>
  <c r="F661" i="12"/>
  <c r="G661" i="12"/>
  <c r="A662" i="12"/>
  <c r="B662" i="12"/>
  <c r="C662" i="12"/>
  <c r="D662" i="12"/>
  <c r="E662" i="12"/>
  <c r="F662" i="12"/>
  <c r="G662" i="12"/>
  <c r="A663" i="12"/>
  <c r="B663" i="12"/>
  <c r="C663" i="12"/>
  <c r="D663" i="12"/>
  <c r="E663" i="12"/>
  <c r="F663" i="12"/>
  <c r="G663" i="12"/>
  <c r="A664" i="12"/>
  <c r="B664" i="12"/>
  <c r="C664" i="12"/>
  <c r="D664" i="12"/>
  <c r="E664" i="12"/>
  <c r="F664" i="12"/>
  <c r="G664" i="12"/>
  <c r="A665" i="12"/>
  <c r="B665" i="12"/>
  <c r="C665" i="12"/>
  <c r="D665" i="12"/>
  <c r="E665" i="12"/>
  <c r="F665" i="12"/>
  <c r="G665" i="12"/>
  <c r="A666" i="12"/>
  <c r="B666" i="12"/>
  <c r="C666" i="12"/>
  <c r="D666" i="12"/>
  <c r="E666" i="12"/>
  <c r="F666" i="12"/>
  <c r="G666" i="12"/>
  <c r="A667" i="12"/>
  <c r="B667" i="12"/>
  <c r="C667" i="12"/>
  <c r="D667" i="12"/>
  <c r="E667" i="12"/>
  <c r="F667" i="12"/>
  <c r="G667" i="12"/>
  <c r="A668" i="12"/>
  <c r="B668" i="12"/>
  <c r="C668" i="12"/>
  <c r="D668" i="12"/>
  <c r="E668" i="12"/>
  <c r="F668" i="12"/>
  <c r="G668" i="12"/>
  <c r="A669" i="12"/>
  <c r="B669" i="12"/>
  <c r="C669" i="12"/>
  <c r="D669" i="12"/>
  <c r="E669" i="12"/>
  <c r="F669" i="12"/>
  <c r="G669" i="12"/>
  <c r="A670" i="12"/>
  <c r="B670" i="12"/>
  <c r="C670" i="12"/>
  <c r="D670" i="12"/>
  <c r="E670" i="12"/>
  <c r="F670" i="12"/>
  <c r="G670" i="12"/>
  <c r="A671" i="12"/>
  <c r="B671" i="12"/>
  <c r="C671" i="12"/>
  <c r="D671" i="12"/>
  <c r="E671" i="12"/>
  <c r="F671" i="12"/>
  <c r="G671" i="12"/>
  <c r="A672" i="12"/>
  <c r="B672" i="12"/>
  <c r="C672" i="12"/>
  <c r="D672" i="12"/>
  <c r="E672" i="12"/>
  <c r="F672" i="12"/>
  <c r="G672" i="12"/>
  <c r="A673" i="12"/>
  <c r="B673" i="12"/>
  <c r="C673" i="12"/>
  <c r="D673" i="12"/>
  <c r="E673" i="12"/>
  <c r="F673" i="12"/>
  <c r="G673" i="12"/>
  <c r="A674" i="12"/>
  <c r="B674" i="12"/>
  <c r="C674" i="12"/>
  <c r="D674" i="12"/>
  <c r="E674" i="12"/>
  <c r="F674" i="12"/>
  <c r="G674" i="12"/>
  <c r="A675" i="12"/>
  <c r="B675" i="12"/>
  <c r="C675" i="12"/>
  <c r="D675" i="12"/>
  <c r="E675" i="12"/>
  <c r="F675" i="12"/>
  <c r="G675" i="12"/>
  <c r="A676" i="12"/>
  <c r="B676" i="12"/>
  <c r="C676" i="12"/>
  <c r="D676" i="12"/>
  <c r="E676" i="12"/>
  <c r="F676" i="12"/>
  <c r="G676" i="12"/>
  <c r="A677" i="12"/>
  <c r="B677" i="12"/>
  <c r="C677" i="12"/>
  <c r="D677" i="12"/>
  <c r="E677" i="12"/>
  <c r="F677" i="12"/>
  <c r="G677" i="12"/>
  <c r="A678" i="12"/>
  <c r="B678" i="12"/>
  <c r="C678" i="12"/>
  <c r="D678" i="12"/>
  <c r="E678" i="12"/>
  <c r="F678" i="12"/>
  <c r="G678" i="12"/>
  <c r="A679" i="12"/>
  <c r="B679" i="12"/>
  <c r="C679" i="12"/>
  <c r="D679" i="12"/>
  <c r="E679" i="12"/>
  <c r="F679" i="12"/>
  <c r="G679" i="12"/>
  <c r="A680" i="12"/>
  <c r="B680" i="12"/>
  <c r="C680" i="12"/>
  <c r="D680" i="12"/>
  <c r="E680" i="12"/>
  <c r="F680" i="12"/>
  <c r="G680" i="12"/>
  <c r="A681" i="12"/>
  <c r="B681" i="12"/>
  <c r="C681" i="12"/>
  <c r="D681" i="12"/>
  <c r="E681" i="12"/>
  <c r="F681" i="12"/>
  <c r="G681" i="12"/>
  <c r="A682" i="12"/>
  <c r="B682" i="12"/>
  <c r="C682" i="12"/>
  <c r="D682" i="12"/>
  <c r="E682" i="12"/>
  <c r="F682" i="12"/>
  <c r="G682" i="12"/>
  <c r="A683" i="12"/>
  <c r="B683" i="12"/>
  <c r="C683" i="12"/>
  <c r="D683" i="12"/>
  <c r="E683" i="12"/>
  <c r="F683" i="12"/>
  <c r="G683" i="12"/>
  <c r="A684" i="12"/>
  <c r="B684" i="12"/>
  <c r="C684" i="12"/>
  <c r="D684" i="12"/>
  <c r="E684" i="12"/>
  <c r="F684" i="12"/>
  <c r="G684" i="12"/>
  <c r="A685" i="12"/>
  <c r="B685" i="12"/>
  <c r="C685" i="12"/>
  <c r="D685" i="12"/>
  <c r="E685" i="12"/>
  <c r="F685" i="12"/>
  <c r="G685" i="12"/>
  <c r="A686" i="12"/>
  <c r="B686" i="12"/>
  <c r="C686" i="12"/>
  <c r="D686" i="12"/>
  <c r="E686" i="12"/>
  <c r="F686" i="12"/>
  <c r="G686" i="12"/>
  <c r="A687" i="12"/>
  <c r="B687" i="12"/>
  <c r="C687" i="12"/>
  <c r="D687" i="12"/>
  <c r="E687" i="12"/>
  <c r="F687" i="12"/>
  <c r="G687" i="12"/>
  <c r="A688" i="12"/>
  <c r="B688" i="12"/>
  <c r="C688" i="12"/>
  <c r="D688" i="12"/>
  <c r="E688" i="12"/>
  <c r="F688" i="12"/>
  <c r="G688" i="12"/>
  <c r="A689" i="12"/>
  <c r="B689" i="12"/>
  <c r="C689" i="12"/>
  <c r="D689" i="12"/>
  <c r="E689" i="12"/>
  <c r="F689" i="12"/>
  <c r="G689" i="12"/>
  <c r="A690" i="12"/>
  <c r="B690" i="12"/>
  <c r="C690" i="12"/>
  <c r="D690" i="12"/>
  <c r="E690" i="12"/>
  <c r="F690" i="12"/>
  <c r="G690" i="12"/>
  <c r="A691" i="12"/>
  <c r="B691" i="12"/>
  <c r="C691" i="12"/>
  <c r="D691" i="12"/>
  <c r="E691" i="12"/>
  <c r="F691" i="12"/>
  <c r="G691" i="12"/>
  <c r="A692" i="12"/>
  <c r="B692" i="12"/>
  <c r="C692" i="12"/>
  <c r="D692" i="12"/>
  <c r="E692" i="12"/>
  <c r="F692" i="12"/>
  <c r="G692" i="12"/>
  <c r="A693" i="12"/>
  <c r="B693" i="12"/>
  <c r="C693" i="12"/>
  <c r="D693" i="12"/>
  <c r="E693" i="12"/>
  <c r="F693" i="12"/>
  <c r="G693" i="12"/>
  <c r="A694" i="12"/>
  <c r="B694" i="12"/>
  <c r="C694" i="12"/>
  <c r="D694" i="12"/>
  <c r="E694" i="12"/>
  <c r="F694" i="12"/>
  <c r="G694" i="12"/>
  <c r="A695" i="12"/>
  <c r="B695" i="12"/>
  <c r="C695" i="12"/>
  <c r="D695" i="12"/>
  <c r="E695" i="12"/>
  <c r="F695" i="12"/>
  <c r="G695" i="12"/>
  <c r="A696" i="12"/>
  <c r="B696" i="12"/>
  <c r="C696" i="12"/>
  <c r="D696" i="12"/>
  <c r="E696" i="12"/>
  <c r="F696" i="12"/>
  <c r="G696" i="12"/>
  <c r="A697" i="12"/>
  <c r="B697" i="12"/>
  <c r="C697" i="12"/>
  <c r="D697" i="12"/>
  <c r="E697" i="12"/>
  <c r="F697" i="12"/>
  <c r="G697" i="12"/>
  <c r="A698" i="12"/>
  <c r="B698" i="12"/>
  <c r="C698" i="12"/>
  <c r="D698" i="12"/>
  <c r="E698" i="12"/>
  <c r="F698" i="12"/>
  <c r="G698" i="12"/>
  <c r="A699" i="12"/>
  <c r="B699" i="12"/>
  <c r="C699" i="12"/>
  <c r="D699" i="12"/>
  <c r="E699" i="12"/>
  <c r="F699" i="12"/>
  <c r="G699" i="12"/>
  <c r="A700" i="12"/>
  <c r="B700" i="12"/>
  <c r="C700" i="12"/>
  <c r="D700" i="12"/>
  <c r="E700" i="12"/>
  <c r="F700" i="12"/>
  <c r="G700" i="12"/>
  <c r="A701" i="12"/>
  <c r="B701" i="12"/>
  <c r="C701" i="12"/>
  <c r="D701" i="12"/>
  <c r="E701" i="12"/>
  <c r="F701" i="12"/>
  <c r="G701" i="12"/>
  <c r="A702" i="12"/>
  <c r="B702" i="12"/>
  <c r="C702" i="12"/>
  <c r="D702" i="12"/>
  <c r="E702" i="12"/>
  <c r="F702" i="12"/>
  <c r="G702" i="12"/>
  <c r="A703" i="12"/>
  <c r="B703" i="12"/>
  <c r="C703" i="12"/>
  <c r="D703" i="12"/>
  <c r="E703" i="12"/>
  <c r="F703" i="12"/>
  <c r="G703" i="12"/>
  <c r="A704" i="12"/>
  <c r="B704" i="12"/>
  <c r="C704" i="12"/>
  <c r="D704" i="12"/>
  <c r="E704" i="12"/>
  <c r="F704" i="12"/>
  <c r="G704" i="12"/>
  <c r="A705" i="12"/>
  <c r="B705" i="12"/>
  <c r="C705" i="12"/>
  <c r="D705" i="12"/>
  <c r="E705" i="12"/>
  <c r="F705" i="12"/>
  <c r="G705" i="12"/>
  <c r="A706" i="12"/>
  <c r="B706" i="12"/>
  <c r="C706" i="12"/>
  <c r="D706" i="12"/>
  <c r="E706" i="12"/>
  <c r="F706" i="12"/>
  <c r="G706" i="12"/>
  <c r="A707" i="12"/>
  <c r="B707" i="12"/>
  <c r="C707" i="12"/>
  <c r="D707" i="12"/>
  <c r="E707" i="12"/>
  <c r="F707" i="12"/>
  <c r="G707" i="12"/>
  <c r="A708" i="12"/>
  <c r="B708" i="12"/>
  <c r="C708" i="12"/>
  <c r="D708" i="12"/>
  <c r="E708" i="12"/>
  <c r="F708" i="12"/>
  <c r="G708" i="12"/>
  <c r="A709" i="12"/>
  <c r="B709" i="12"/>
  <c r="C709" i="12"/>
  <c r="D709" i="12"/>
  <c r="E709" i="12"/>
  <c r="F709" i="12"/>
  <c r="G709" i="12"/>
  <c r="A710" i="12"/>
  <c r="B710" i="12"/>
  <c r="C710" i="12"/>
  <c r="D710" i="12"/>
  <c r="E710" i="12"/>
  <c r="F710" i="12"/>
  <c r="G710" i="12"/>
  <c r="A711" i="12"/>
  <c r="B711" i="12"/>
  <c r="C711" i="12"/>
  <c r="D711" i="12"/>
  <c r="E711" i="12"/>
  <c r="F711" i="12"/>
  <c r="G711" i="12"/>
  <c r="A712" i="12"/>
  <c r="B712" i="12"/>
  <c r="C712" i="12"/>
  <c r="D712" i="12"/>
  <c r="E712" i="12"/>
  <c r="F712" i="12"/>
  <c r="G712" i="12"/>
  <c r="A713" i="12"/>
  <c r="B713" i="12"/>
  <c r="C713" i="12"/>
  <c r="D713" i="12"/>
  <c r="E713" i="12"/>
  <c r="F713" i="12"/>
  <c r="G713" i="12"/>
  <c r="A714" i="12"/>
  <c r="B714" i="12"/>
  <c r="C714" i="12"/>
  <c r="D714" i="12"/>
  <c r="E714" i="12"/>
  <c r="F714" i="12"/>
  <c r="G714" i="12"/>
  <c r="A715" i="12"/>
  <c r="B715" i="12"/>
  <c r="C715" i="12"/>
  <c r="D715" i="12"/>
  <c r="E715" i="12"/>
  <c r="F715" i="12"/>
  <c r="G715" i="12"/>
  <c r="A716" i="12"/>
  <c r="B716" i="12"/>
  <c r="C716" i="12"/>
  <c r="D716" i="12"/>
  <c r="E716" i="12"/>
  <c r="F716" i="12"/>
  <c r="G716" i="12"/>
  <c r="A717" i="12"/>
  <c r="B717" i="12"/>
  <c r="C717" i="12"/>
  <c r="D717" i="12"/>
  <c r="E717" i="12"/>
  <c r="F717" i="12"/>
  <c r="G717" i="12"/>
  <c r="A718" i="12"/>
  <c r="B718" i="12"/>
  <c r="C718" i="12"/>
  <c r="D718" i="12"/>
  <c r="E718" i="12"/>
  <c r="F718" i="12"/>
  <c r="G718" i="12"/>
  <c r="A719" i="12"/>
  <c r="B719" i="12"/>
  <c r="C719" i="12"/>
  <c r="D719" i="12"/>
  <c r="E719" i="12"/>
  <c r="F719" i="12"/>
  <c r="G719" i="12"/>
  <c r="A720" i="12"/>
  <c r="B720" i="12"/>
  <c r="C720" i="12"/>
  <c r="D720" i="12"/>
  <c r="E720" i="12"/>
  <c r="F720" i="12"/>
  <c r="G720" i="12"/>
  <c r="A721" i="12"/>
  <c r="B721" i="12"/>
  <c r="C721" i="12"/>
  <c r="D721" i="12"/>
  <c r="E721" i="12"/>
  <c r="F721" i="12"/>
  <c r="G721" i="12"/>
  <c r="A722" i="12"/>
  <c r="B722" i="12"/>
  <c r="C722" i="12"/>
  <c r="D722" i="12"/>
  <c r="E722" i="12"/>
  <c r="F722" i="12"/>
  <c r="G722" i="12"/>
  <c r="A723" i="12"/>
  <c r="B723" i="12"/>
  <c r="C723" i="12"/>
  <c r="D723" i="12"/>
  <c r="E723" i="12"/>
  <c r="F723" i="12"/>
  <c r="G723" i="12"/>
  <c r="A724" i="12"/>
  <c r="B724" i="12"/>
  <c r="C724" i="12"/>
  <c r="D724" i="12"/>
  <c r="E724" i="12"/>
  <c r="F724" i="12"/>
  <c r="G724" i="12"/>
  <c r="A725" i="12"/>
  <c r="B725" i="12"/>
  <c r="C725" i="12"/>
  <c r="D725" i="12"/>
  <c r="E725" i="12"/>
  <c r="F725" i="12"/>
  <c r="G725" i="12"/>
  <c r="A726" i="12"/>
  <c r="B726" i="12"/>
  <c r="C726" i="12"/>
  <c r="D726" i="12"/>
  <c r="E726" i="12"/>
  <c r="F726" i="12"/>
  <c r="G726" i="12"/>
  <c r="A727" i="12"/>
  <c r="B727" i="12"/>
  <c r="C727" i="12"/>
  <c r="D727" i="12"/>
  <c r="E727" i="12"/>
  <c r="F727" i="12"/>
  <c r="G727" i="12"/>
  <c r="A728" i="12"/>
  <c r="B728" i="12"/>
  <c r="C728" i="12"/>
  <c r="D728" i="12"/>
  <c r="E728" i="12"/>
  <c r="F728" i="12"/>
  <c r="G728" i="12"/>
  <c r="A729" i="12"/>
  <c r="B729" i="12"/>
  <c r="C729" i="12"/>
  <c r="D729" i="12"/>
  <c r="E729" i="12"/>
  <c r="F729" i="12"/>
  <c r="G729" i="12"/>
  <c r="A730" i="12"/>
  <c r="B730" i="12"/>
  <c r="C730" i="12"/>
  <c r="D730" i="12"/>
  <c r="E730" i="12"/>
  <c r="F730" i="12"/>
  <c r="G730" i="12"/>
  <c r="A731" i="12"/>
  <c r="B731" i="12"/>
  <c r="C731" i="12"/>
  <c r="D731" i="12"/>
  <c r="E731" i="12"/>
  <c r="F731" i="12"/>
  <c r="G731" i="12"/>
  <c r="A732" i="12"/>
  <c r="B732" i="12"/>
  <c r="C732" i="12"/>
  <c r="D732" i="12"/>
  <c r="E732" i="12"/>
  <c r="F732" i="12"/>
  <c r="G732" i="12"/>
  <c r="A733" i="12"/>
  <c r="B733" i="12"/>
  <c r="C733" i="12"/>
  <c r="D733" i="12"/>
  <c r="E733" i="12"/>
  <c r="F733" i="12"/>
  <c r="G733" i="12"/>
  <c r="A734" i="12"/>
  <c r="B734" i="12"/>
  <c r="C734" i="12"/>
  <c r="D734" i="12"/>
  <c r="E734" i="12"/>
  <c r="F734" i="12"/>
  <c r="G734" i="12"/>
  <c r="A735" i="12"/>
  <c r="B735" i="12"/>
  <c r="C735" i="12"/>
  <c r="D735" i="12"/>
  <c r="E735" i="12"/>
  <c r="F735" i="12"/>
  <c r="G735" i="12"/>
  <c r="A736" i="12"/>
  <c r="B736" i="12"/>
  <c r="C736" i="12"/>
  <c r="D736" i="12"/>
  <c r="E736" i="12"/>
  <c r="F736" i="12"/>
  <c r="G736" i="12"/>
  <c r="A737" i="12"/>
  <c r="B737" i="12"/>
  <c r="C737" i="12"/>
  <c r="D737" i="12"/>
  <c r="E737" i="12"/>
  <c r="F737" i="12"/>
  <c r="G737" i="12"/>
  <c r="A738" i="12"/>
  <c r="B738" i="12"/>
  <c r="C738" i="12"/>
  <c r="D738" i="12"/>
  <c r="E738" i="12"/>
  <c r="F738" i="12"/>
  <c r="G738" i="12"/>
  <c r="A739" i="12"/>
  <c r="B739" i="12"/>
  <c r="C739" i="12"/>
  <c r="D739" i="12"/>
  <c r="E739" i="12"/>
  <c r="F739" i="12"/>
  <c r="G739" i="12"/>
  <c r="A740" i="12"/>
  <c r="B740" i="12"/>
  <c r="C740" i="12"/>
  <c r="D740" i="12"/>
  <c r="E740" i="12"/>
  <c r="F740" i="12"/>
  <c r="G740" i="12"/>
  <c r="A741" i="12"/>
  <c r="B741" i="12"/>
  <c r="C741" i="12"/>
  <c r="D741" i="12"/>
  <c r="E741" i="12"/>
  <c r="F741" i="12"/>
  <c r="G741" i="12"/>
  <c r="A742" i="12"/>
  <c r="B742" i="12"/>
  <c r="C742" i="12"/>
  <c r="D742" i="12"/>
  <c r="E742" i="12"/>
  <c r="F742" i="12"/>
  <c r="G742" i="12"/>
  <c r="A743" i="12"/>
  <c r="B743" i="12"/>
  <c r="C743" i="12"/>
  <c r="D743" i="12"/>
  <c r="E743" i="12"/>
  <c r="F743" i="12"/>
  <c r="G743" i="12"/>
  <c r="A744" i="12"/>
  <c r="B744" i="12"/>
  <c r="C744" i="12"/>
  <c r="D744" i="12"/>
  <c r="E744" i="12"/>
  <c r="F744" i="12"/>
  <c r="G744" i="12"/>
  <c r="A745" i="12"/>
  <c r="B745" i="12"/>
  <c r="C745" i="12"/>
  <c r="D745" i="12"/>
  <c r="E745" i="12"/>
  <c r="F745" i="12"/>
  <c r="G745" i="12"/>
  <c r="A746" i="12"/>
  <c r="B746" i="12"/>
  <c r="C746" i="12"/>
  <c r="D746" i="12"/>
  <c r="E746" i="12"/>
  <c r="F746" i="12"/>
  <c r="G746" i="12"/>
  <c r="A747" i="12"/>
  <c r="B747" i="12"/>
  <c r="C747" i="12"/>
  <c r="D747" i="12"/>
  <c r="E747" i="12"/>
  <c r="F747" i="12"/>
  <c r="G747" i="12"/>
  <c r="A748" i="12"/>
  <c r="B748" i="12"/>
  <c r="C748" i="12"/>
  <c r="D748" i="12"/>
  <c r="E748" i="12"/>
  <c r="F748" i="12"/>
  <c r="G748" i="12"/>
  <c r="A749" i="12"/>
  <c r="B749" i="12"/>
  <c r="C749" i="12"/>
  <c r="D749" i="12"/>
  <c r="E749" i="12"/>
  <c r="F749" i="12"/>
  <c r="G749" i="12"/>
  <c r="A750" i="12"/>
  <c r="B750" i="12"/>
  <c r="C750" i="12"/>
  <c r="D750" i="12"/>
  <c r="E750" i="12"/>
  <c r="F750" i="12"/>
  <c r="G750" i="12"/>
  <c r="A751" i="12"/>
  <c r="B751" i="12"/>
  <c r="C751" i="12"/>
  <c r="D751" i="12"/>
  <c r="E751" i="12"/>
  <c r="F751" i="12"/>
  <c r="G751" i="12"/>
  <c r="A752" i="12"/>
  <c r="B752" i="12"/>
  <c r="C752" i="12"/>
  <c r="D752" i="12"/>
  <c r="E752" i="12"/>
  <c r="F752" i="12"/>
  <c r="G752" i="12"/>
  <c r="A753" i="12"/>
  <c r="B753" i="12"/>
  <c r="C753" i="12"/>
  <c r="D753" i="12"/>
  <c r="E753" i="12"/>
  <c r="F753" i="12"/>
  <c r="G753" i="12"/>
  <c r="A754" i="12"/>
  <c r="B754" i="12"/>
  <c r="C754" i="12"/>
  <c r="D754" i="12"/>
  <c r="E754" i="12"/>
  <c r="F754" i="12"/>
  <c r="G754" i="12"/>
  <c r="A755" i="12"/>
  <c r="B755" i="12"/>
  <c r="C755" i="12"/>
  <c r="D755" i="12"/>
  <c r="E755" i="12"/>
  <c r="F755" i="12"/>
  <c r="G755" i="12"/>
  <c r="A756" i="12"/>
  <c r="B756" i="12"/>
  <c r="C756" i="12"/>
  <c r="D756" i="12"/>
  <c r="E756" i="12"/>
  <c r="F756" i="12"/>
  <c r="G756" i="12"/>
  <c r="A757" i="12"/>
  <c r="B757" i="12"/>
  <c r="C757" i="12"/>
  <c r="D757" i="12"/>
  <c r="E757" i="12"/>
  <c r="F757" i="12"/>
  <c r="G757" i="12"/>
  <c r="A758" i="12"/>
  <c r="B758" i="12"/>
  <c r="C758" i="12"/>
  <c r="D758" i="12"/>
  <c r="E758" i="12"/>
  <c r="F758" i="12"/>
  <c r="G758" i="12"/>
  <c r="A759" i="12"/>
  <c r="B759" i="12"/>
  <c r="C759" i="12"/>
  <c r="D759" i="12"/>
  <c r="E759" i="12"/>
  <c r="F759" i="12"/>
  <c r="G759" i="12"/>
  <c r="A760" i="12"/>
  <c r="B760" i="12"/>
  <c r="C760" i="12"/>
  <c r="D760" i="12"/>
  <c r="E760" i="12"/>
  <c r="F760" i="12"/>
  <c r="G760" i="12"/>
  <c r="A761" i="12"/>
  <c r="B761" i="12"/>
  <c r="C761" i="12"/>
  <c r="D761" i="12"/>
  <c r="E761" i="12"/>
  <c r="F761" i="12"/>
  <c r="G761" i="12"/>
  <c r="A762" i="12"/>
  <c r="B762" i="12"/>
  <c r="C762" i="12"/>
  <c r="D762" i="12"/>
  <c r="E762" i="12"/>
  <c r="F762" i="12"/>
  <c r="G762" i="12"/>
  <c r="A763" i="12"/>
  <c r="B763" i="12"/>
  <c r="C763" i="12"/>
  <c r="D763" i="12"/>
  <c r="E763" i="12"/>
  <c r="F763" i="12"/>
  <c r="G763" i="12"/>
  <c r="A764" i="12"/>
  <c r="B764" i="12"/>
  <c r="C764" i="12"/>
  <c r="D764" i="12"/>
  <c r="E764" i="12"/>
  <c r="F764" i="12"/>
  <c r="G764" i="12"/>
  <c r="A765" i="12"/>
  <c r="B765" i="12"/>
  <c r="C765" i="12"/>
  <c r="D765" i="12"/>
  <c r="E765" i="12"/>
  <c r="F765" i="12"/>
  <c r="G765" i="12"/>
  <c r="A766" i="12"/>
  <c r="B766" i="12"/>
  <c r="C766" i="12"/>
  <c r="D766" i="12"/>
  <c r="E766" i="12"/>
  <c r="F766" i="12"/>
  <c r="G766" i="12"/>
  <c r="A767" i="12"/>
  <c r="B767" i="12"/>
  <c r="C767" i="12"/>
  <c r="D767" i="12"/>
  <c r="E767" i="12"/>
  <c r="F767" i="12"/>
  <c r="G767" i="12"/>
  <c r="A768" i="12"/>
  <c r="B768" i="12"/>
  <c r="C768" i="12"/>
  <c r="D768" i="12"/>
  <c r="E768" i="12"/>
  <c r="F768" i="12"/>
  <c r="G768" i="12"/>
  <c r="A769" i="12"/>
  <c r="B769" i="12"/>
  <c r="C769" i="12"/>
  <c r="D769" i="12"/>
  <c r="E769" i="12"/>
  <c r="F769" i="12"/>
  <c r="G769" i="12"/>
  <c r="A770" i="12"/>
  <c r="B770" i="12"/>
  <c r="C770" i="12"/>
  <c r="D770" i="12"/>
  <c r="E770" i="12"/>
  <c r="F770" i="12"/>
  <c r="G770" i="12"/>
  <c r="A771" i="12"/>
  <c r="B771" i="12"/>
  <c r="C771" i="12"/>
  <c r="D771" i="12"/>
  <c r="E771" i="12"/>
  <c r="F771" i="12"/>
  <c r="G771" i="12"/>
  <c r="A772" i="12"/>
  <c r="B772" i="12"/>
  <c r="C772" i="12"/>
  <c r="D772" i="12"/>
  <c r="E772" i="12"/>
  <c r="F772" i="12"/>
  <c r="G772" i="12"/>
  <c r="A773" i="12"/>
  <c r="B773" i="12"/>
  <c r="C773" i="12"/>
  <c r="D773" i="12"/>
  <c r="E773" i="12"/>
  <c r="F773" i="12"/>
  <c r="G773" i="12"/>
  <c r="A774" i="12"/>
  <c r="B774" i="12"/>
  <c r="C774" i="12"/>
  <c r="D774" i="12"/>
  <c r="E774" i="12"/>
  <c r="F774" i="12"/>
  <c r="G774" i="12"/>
  <c r="A775" i="12"/>
  <c r="B775" i="12"/>
  <c r="C775" i="12"/>
  <c r="D775" i="12"/>
  <c r="E775" i="12"/>
  <c r="F775" i="12"/>
  <c r="G775" i="12"/>
  <c r="A776" i="12"/>
  <c r="B776" i="12"/>
  <c r="C776" i="12"/>
  <c r="D776" i="12"/>
  <c r="E776" i="12"/>
  <c r="F776" i="12"/>
  <c r="G776" i="12"/>
  <c r="A777" i="12"/>
  <c r="B777" i="12"/>
  <c r="C777" i="12"/>
  <c r="D777" i="12"/>
  <c r="E777" i="12"/>
  <c r="F777" i="12"/>
  <c r="G777" i="12"/>
  <c r="A778" i="12"/>
  <c r="B778" i="12"/>
  <c r="C778" i="12"/>
  <c r="D778" i="12"/>
  <c r="E778" i="12"/>
  <c r="F778" i="12"/>
  <c r="G778" i="12"/>
  <c r="A779" i="12"/>
  <c r="B779" i="12"/>
  <c r="C779" i="12"/>
  <c r="D779" i="12"/>
  <c r="E779" i="12"/>
  <c r="F779" i="12"/>
  <c r="G779" i="12"/>
  <c r="A780" i="12"/>
  <c r="B780" i="12"/>
  <c r="C780" i="12"/>
  <c r="D780" i="12"/>
  <c r="E780" i="12"/>
  <c r="F780" i="12"/>
  <c r="G780" i="12"/>
  <c r="A781" i="12"/>
  <c r="B781" i="12"/>
  <c r="C781" i="12"/>
  <c r="D781" i="12"/>
  <c r="E781" i="12"/>
  <c r="F781" i="12"/>
  <c r="G781" i="12"/>
  <c r="A782" i="12"/>
  <c r="B782" i="12"/>
  <c r="C782" i="12"/>
  <c r="D782" i="12"/>
  <c r="E782" i="12"/>
  <c r="F782" i="12"/>
  <c r="G782" i="12"/>
  <c r="A783" i="12"/>
  <c r="B783" i="12"/>
  <c r="C783" i="12"/>
  <c r="D783" i="12"/>
  <c r="E783" i="12"/>
  <c r="F783" i="12"/>
  <c r="G783" i="12"/>
  <c r="A784" i="12"/>
  <c r="B784" i="12"/>
  <c r="C784" i="12"/>
  <c r="D784" i="12"/>
  <c r="E784" i="12"/>
  <c r="F784" i="12"/>
  <c r="G784" i="12"/>
  <c r="A785" i="12"/>
  <c r="B785" i="12"/>
  <c r="C785" i="12"/>
  <c r="D785" i="12"/>
  <c r="E785" i="12"/>
  <c r="F785" i="12"/>
  <c r="G785" i="12"/>
  <c r="A786" i="12"/>
  <c r="B786" i="12"/>
  <c r="C786" i="12"/>
  <c r="D786" i="12"/>
  <c r="E786" i="12"/>
  <c r="F786" i="12"/>
  <c r="G786" i="12"/>
  <c r="A787" i="12"/>
  <c r="B787" i="12"/>
  <c r="C787" i="12"/>
  <c r="D787" i="12"/>
  <c r="E787" i="12"/>
  <c r="F787" i="12"/>
  <c r="G787" i="12"/>
  <c r="A788" i="12"/>
  <c r="B788" i="12"/>
  <c r="C788" i="12"/>
  <c r="D788" i="12"/>
  <c r="E788" i="12"/>
  <c r="F788" i="12"/>
  <c r="G788" i="12"/>
  <c r="A789" i="12"/>
  <c r="B789" i="12"/>
  <c r="C789" i="12"/>
  <c r="D789" i="12"/>
  <c r="E789" i="12"/>
  <c r="F789" i="12"/>
  <c r="G789" i="12"/>
  <c r="A790" i="12"/>
  <c r="B790" i="12"/>
  <c r="C790" i="12"/>
  <c r="D790" i="12"/>
  <c r="E790" i="12"/>
  <c r="F790" i="12"/>
  <c r="G790" i="12"/>
  <c r="A791" i="12"/>
  <c r="B791" i="12"/>
  <c r="C791" i="12"/>
  <c r="D791" i="12"/>
  <c r="E791" i="12"/>
  <c r="F791" i="12"/>
  <c r="G791" i="12"/>
  <c r="A792" i="12"/>
  <c r="B792" i="12"/>
  <c r="C792" i="12"/>
  <c r="D792" i="12"/>
  <c r="E792" i="12"/>
  <c r="F792" i="12"/>
  <c r="G792" i="12"/>
  <c r="A793" i="12"/>
  <c r="B793" i="12"/>
  <c r="C793" i="12"/>
  <c r="D793" i="12"/>
  <c r="E793" i="12"/>
  <c r="F793" i="12"/>
  <c r="G793" i="12"/>
  <c r="A794" i="12"/>
  <c r="B794" i="12"/>
  <c r="C794" i="12"/>
  <c r="D794" i="12"/>
  <c r="E794" i="12"/>
  <c r="F794" i="12"/>
  <c r="G794" i="12"/>
  <c r="A795" i="12"/>
  <c r="B795" i="12"/>
  <c r="C795" i="12"/>
  <c r="D795" i="12"/>
  <c r="E795" i="12"/>
  <c r="F795" i="12"/>
  <c r="G795" i="12"/>
  <c r="A796" i="12"/>
  <c r="B796" i="12"/>
  <c r="C796" i="12"/>
  <c r="D796" i="12"/>
  <c r="E796" i="12"/>
  <c r="F796" i="12"/>
  <c r="G796" i="12"/>
  <c r="A797" i="12"/>
  <c r="B797" i="12"/>
  <c r="C797" i="12"/>
  <c r="D797" i="12"/>
  <c r="E797" i="12"/>
  <c r="F797" i="12"/>
  <c r="G797" i="12"/>
  <c r="A798" i="12"/>
  <c r="B798" i="12"/>
  <c r="C798" i="12"/>
  <c r="D798" i="12"/>
  <c r="E798" i="12"/>
  <c r="F798" i="12"/>
  <c r="G798" i="12"/>
  <c r="A799" i="12"/>
  <c r="B799" i="12"/>
  <c r="C799" i="12"/>
  <c r="D799" i="12"/>
  <c r="E799" i="12"/>
  <c r="F799" i="12"/>
  <c r="G799" i="12"/>
  <c r="A800" i="12"/>
  <c r="B800" i="12"/>
  <c r="C800" i="12"/>
  <c r="D800" i="12"/>
  <c r="E800" i="12"/>
  <c r="F800" i="12"/>
  <c r="G800" i="12"/>
  <c r="A801" i="12"/>
  <c r="B801" i="12"/>
  <c r="C801" i="12"/>
  <c r="D801" i="12"/>
  <c r="E801" i="12"/>
  <c r="F801" i="12"/>
  <c r="G801" i="12"/>
  <c r="A802" i="12"/>
  <c r="B802" i="12"/>
  <c r="C802" i="12"/>
  <c r="D802" i="12"/>
  <c r="E802" i="12"/>
  <c r="F802" i="12"/>
  <c r="G802" i="12"/>
  <c r="A803" i="12"/>
  <c r="B803" i="12"/>
  <c r="C803" i="12"/>
  <c r="D803" i="12"/>
  <c r="E803" i="12"/>
  <c r="F803" i="12"/>
  <c r="G803" i="12"/>
  <c r="A804" i="12"/>
  <c r="B804" i="12"/>
  <c r="C804" i="12"/>
  <c r="D804" i="12"/>
  <c r="E804" i="12"/>
  <c r="F804" i="12"/>
  <c r="G804" i="12"/>
  <c r="A805" i="12"/>
  <c r="B805" i="12"/>
  <c r="C805" i="12"/>
  <c r="D805" i="12"/>
  <c r="E805" i="12"/>
  <c r="F805" i="12"/>
  <c r="G805" i="12"/>
  <c r="A806" i="12"/>
  <c r="B806" i="12"/>
  <c r="C806" i="12"/>
  <c r="D806" i="12"/>
  <c r="E806" i="12"/>
  <c r="F806" i="12"/>
  <c r="G806" i="12"/>
  <c r="A807" i="12"/>
  <c r="B807" i="12"/>
  <c r="C807" i="12"/>
  <c r="D807" i="12"/>
  <c r="E807" i="12"/>
  <c r="F807" i="12"/>
  <c r="G807" i="12"/>
  <c r="A808" i="12"/>
  <c r="B808" i="12"/>
  <c r="C808" i="12"/>
  <c r="D808" i="12"/>
  <c r="E808" i="12"/>
  <c r="F808" i="12"/>
  <c r="G808" i="12"/>
  <c r="A809" i="12"/>
  <c r="B809" i="12"/>
  <c r="C809" i="12"/>
  <c r="D809" i="12"/>
  <c r="E809" i="12"/>
  <c r="F809" i="12"/>
  <c r="G809" i="12"/>
  <c r="A810" i="12"/>
  <c r="B810" i="12"/>
  <c r="C810" i="12"/>
  <c r="D810" i="12"/>
  <c r="E810" i="12"/>
  <c r="F810" i="12"/>
  <c r="G810" i="12"/>
  <c r="A811" i="12"/>
  <c r="B811" i="12"/>
  <c r="C811" i="12"/>
  <c r="D811" i="12"/>
  <c r="E811" i="12"/>
  <c r="F811" i="12"/>
  <c r="G811" i="12"/>
  <c r="A812" i="12"/>
  <c r="B812" i="12"/>
  <c r="C812" i="12"/>
  <c r="D812" i="12"/>
  <c r="E812" i="12"/>
  <c r="F812" i="12"/>
  <c r="G812" i="12"/>
  <c r="A813" i="12"/>
  <c r="B813" i="12"/>
  <c r="C813" i="12"/>
  <c r="D813" i="12"/>
  <c r="E813" i="12"/>
  <c r="F813" i="12"/>
  <c r="G813" i="12"/>
  <c r="A814" i="12"/>
  <c r="B814" i="12"/>
  <c r="C814" i="12"/>
  <c r="D814" i="12"/>
  <c r="E814" i="12"/>
  <c r="F814" i="12"/>
  <c r="G814" i="12"/>
  <c r="A815" i="12"/>
  <c r="B815" i="12"/>
  <c r="C815" i="12"/>
  <c r="D815" i="12"/>
  <c r="E815" i="12"/>
  <c r="F815" i="12"/>
  <c r="G815" i="12"/>
  <c r="A816" i="12"/>
  <c r="B816" i="12"/>
  <c r="C816" i="12"/>
  <c r="D816" i="12"/>
  <c r="E816" i="12"/>
  <c r="F816" i="12"/>
  <c r="G816" i="12"/>
  <c r="A817" i="12"/>
  <c r="B817" i="12"/>
  <c r="C817" i="12"/>
  <c r="D817" i="12"/>
  <c r="E817" i="12"/>
  <c r="F817" i="12"/>
  <c r="G817" i="12"/>
  <c r="A818" i="12"/>
  <c r="B818" i="12"/>
  <c r="C818" i="12"/>
  <c r="D818" i="12"/>
  <c r="E818" i="12"/>
  <c r="F818" i="12"/>
  <c r="G818" i="12"/>
  <c r="A819" i="12"/>
  <c r="B819" i="12"/>
  <c r="C819" i="12"/>
  <c r="D819" i="12"/>
  <c r="E819" i="12"/>
  <c r="F819" i="12"/>
  <c r="G819" i="12"/>
  <c r="A820" i="12"/>
  <c r="B820" i="12"/>
  <c r="C820" i="12"/>
  <c r="D820" i="12"/>
  <c r="E820" i="12"/>
  <c r="F820" i="12"/>
  <c r="G820" i="12"/>
  <c r="A821" i="12"/>
  <c r="B821" i="12"/>
  <c r="C821" i="12"/>
  <c r="D821" i="12"/>
  <c r="E821" i="12"/>
  <c r="F821" i="12"/>
  <c r="G821" i="12"/>
  <c r="A822" i="12"/>
  <c r="B822" i="12"/>
  <c r="C822" i="12"/>
  <c r="D822" i="12"/>
  <c r="E822" i="12"/>
  <c r="F822" i="12"/>
  <c r="G822" i="12"/>
  <c r="A823" i="12"/>
  <c r="B823" i="12"/>
  <c r="C823" i="12"/>
  <c r="D823" i="12"/>
  <c r="E823" i="12"/>
  <c r="F823" i="12"/>
  <c r="G823" i="12"/>
  <c r="A824" i="12"/>
  <c r="B824" i="12"/>
  <c r="C824" i="12"/>
  <c r="D824" i="12"/>
  <c r="E824" i="12"/>
  <c r="F824" i="12"/>
  <c r="G824" i="12"/>
  <c r="A825" i="12"/>
  <c r="B825" i="12"/>
  <c r="C825" i="12"/>
  <c r="D825" i="12"/>
  <c r="E825" i="12"/>
  <c r="F825" i="12"/>
  <c r="G825" i="12"/>
  <c r="A826" i="12"/>
  <c r="B826" i="12"/>
  <c r="C826" i="12"/>
  <c r="D826" i="12"/>
  <c r="E826" i="12"/>
  <c r="F826" i="12"/>
  <c r="G826" i="12"/>
  <c r="A827" i="12"/>
  <c r="B827" i="12"/>
  <c r="C827" i="12"/>
  <c r="D827" i="12"/>
  <c r="E827" i="12"/>
  <c r="F827" i="12"/>
  <c r="G827" i="12"/>
  <c r="A828" i="12"/>
  <c r="B828" i="12"/>
  <c r="C828" i="12"/>
  <c r="D828" i="12"/>
  <c r="E828" i="12"/>
  <c r="F828" i="12"/>
  <c r="G828" i="12"/>
  <c r="A829" i="12"/>
  <c r="B829" i="12"/>
  <c r="C829" i="12"/>
  <c r="D829" i="12"/>
  <c r="E829" i="12"/>
  <c r="F829" i="12"/>
  <c r="G829" i="12"/>
  <c r="A830" i="12"/>
  <c r="B830" i="12"/>
  <c r="C830" i="12"/>
  <c r="D830" i="12"/>
  <c r="E830" i="12"/>
  <c r="F830" i="12"/>
  <c r="G830" i="12"/>
  <c r="A831" i="12"/>
  <c r="B831" i="12"/>
  <c r="C831" i="12"/>
  <c r="D831" i="12"/>
  <c r="E831" i="12"/>
  <c r="F831" i="12"/>
  <c r="G831" i="12"/>
  <c r="A832" i="12"/>
  <c r="B832" i="12"/>
  <c r="C832" i="12"/>
  <c r="D832" i="12"/>
  <c r="E832" i="12"/>
  <c r="F832" i="12"/>
  <c r="G832" i="12"/>
  <c r="A833" i="12"/>
  <c r="B833" i="12"/>
  <c r="C833" i="12"/>
  <c r="D833" i="12"/>
  <c r="E833" i="12"/>
  <c r="F833" i="12"/>
  <c r="G833" i="12"/>
  <c r="A834" i="12"/>
  <c r="B834" i="12"/>
  <c r="C834" i="12"/>
  <c r="D834" i="12"/>
  <c r="E834" i="12"/>
  <c r="F834" i="12"/>
  <c r="G834" i="12"/>
  <c r="A835" i="12"/>
  <c r="B835" i="12"/>
  <c r="C835" i="12"/>
  <c r="D835" i="12"/>
  <c r="E835" i="12"/>
  <c r="F835" i="12"/>
  <c r="G835" i="12"/>
  <c r="A836" i="12"/>
  <c r="B836" i="12"/>
  <c r="C836" i="12"/>
  <c r="D836" i="12"/>
  <c r="E836" i="12"/>
  <c r="F836" i="12"/>
  <c r="G836" i="12"/>
  <c r="A837" i="12"/>
  <c r="B837" i="12"/>
  <c r="C837" i="12"/>
  <c r="D837" i="12"/>
  <c r="E837" i="12"/>
  <c r="F837" i="12"/>
  <c r="G837" i="12"/>
  <c r="A838" i="12"/>
  <c r="B838" i="12"/>
  <c r="C838" i="12"/>
  <c r="D838" i="12"/>
  <c r="E838" i="12"/>
  <c r="F838" i="12"/>
  <c r="G838" i="12"/>
  <c r="A839" i="12"/>
  <c r="B839" i="12"/>
  <c r="C839" i="12"/>
  <c r="D839" i="12"/>
  <c r="E839" i="12"/>
  <c r="F839" i="12"/>
  <c r="G839" i="12"/>
  <c r="A840" i="12"/>
  <c r="B840" i="12"/>
  <c r="C840" i="12"/>
  <c r="D840" i="12"/>
  <c r="E840" i="12"/>
  <c r="F840" i="12"/>
  <c r="G840" i="12"/>
  <c r="A841" i="12"/>
  <c r="B841" i="12"/>
  <c r="C841" i="12"/>
  <c r="D841" i="12"/>
  <c r="E841" i="12"/>
  <c r="F841" i="12"/>
  <c r="G841" i="12"/>
  <c r="A842" i="12"/>
  <c r="B842" i="12"/>
  <c r="C842" i="12"/>
  <c r="D842" i="12"/>
  <c r="E842" i="12"/>
  <c r="F842" i="12"/>
  <c r="G842" i="12"/>
  <c r="A843" i="12"/>
  <c r="B843" i="12"/>
  <c r="C843" i="12"/>
  <c r="D843" i="12"/>
  <c r="E843" i="12"/>
  <c r="F843" i="12"/>
  <c r="G843" i="12"/>
  <c r="A844" i="12"/>
  <c r="B844" i="12"/>
  <c r="C844" i="12"/>
  <c r="D844" i="12"/>
  <c r="E844" i="12"/>
  <c r="F844" i="12"/>
  <c r="G844" i="12"/>
  <c r="A845" i="12"/>
  <c r="B845" i="12"/>
  <c r="C845" i="12"/>
  <c r="D845" i="12"/>
  <c r="E845" i="12"/>
  <c r="F845" i="12"/>
  <c r="G845" i="12"/>
  <c r="A846" i="12"/>
  <c r="B846" i="12"/>
  <c r="C846" i="12"/>
  <c r="D846" i="12"/>
  <c r="E846" i="12"/>
  <c r="F846" i="12"/>
  <c r="G846" i="12"/>
  <c r="A847" i="12"/>
  <c r="B847" i="12"/>
  <c r="C847" i="12"/>
  <c r="D847" i="12"/>
  <c r="E847" i="12"/>
  <c r="F847" i="12"/>
  <c r="G847" i="12"/>
  <c r="A848" i="12"/>
  <c r="B848" i="12"/>
  <c r="C848" i="12"/>
  <c r="D848" i="12"/>
  <c r="E848" i="12"/>
  <c r="F848" i="12"/>
  <c r="G848" i="12"/>
  <c r="A849" i="12"/>
  <c r="B849" i="12"/>
  <c r="C849" i="12"/>
  <c r="D849" i="12"/>
  <c r="E849" i="12"/>
  <c r="F849" i="12"/>
  <c r="G849" i="12"/>
  <c r="A850" i="12"/>
  <c r="B850" i="12"/>
  <c r="C850" i="12"/>
  <c r="D850" i="12"/>
  <c r="E850" i="12"/>
  <c r="F850" i="12"/>
  <c r="G850" i="12"/>
  <c r="A851" i="12"/>
  <c r="B851" i="12"/>
  <c r="C851" i="12"/>
  <c r="D851" i="12"/>
  <c r="E851" i="12"/>
  <c r="F851" i="12"/>
  <c r="G851" i="12"/>
  <c r="A852" i="12"/>
  <c r="B852" i="12"/>
  <c r="C852" i="12"/>
  <c r="D852" i="12"/>
  <c r="E852" i="12"/>
  <c r="F852" i="12"/>
  <c r="G852" i="12"/>
  <c r="A853" i="12"/>
  <c r="B853" i="12"/>
  <c r="C853" i="12"/>
  <c r="D853" i="12"/>
  <c r="E853" i="12"/>
  <c r="F853" i="12"/>
  <c r="G853" i="12"/>
  <c r="A854" i="12"/>
  <c r="B854" i="12"/>
  <c r="C854" i="12"/>
  <c r="D854" i="12"/>
  <c r="E854" i="12"/>
  <c r="F854" i="12"/>
  <c r="G854" i="12"/>
  <c r="A855" i="12"/>
  <c r="B855" i="12"/>
  <c r="C855" i="12"/>
  <c r="D855" i="12"/>
  <c r="E855" i="12"/>
  <c r="F855" i="12"/>
  <c r="G855" i="12"/>
  <c r="A856" i="12"/>
  <c r="B856" i="12"/>
  <c r="C856" i="12"/>
  <c r="D856" i="12"/>
  <c r="E856" i="12"/>
  <c r="F856" i="12"/>
  <c r="G856" i="12"/>
  <c r="A857" i="12"/>
  <c r="B857" i="12"/>
  <c r="C857" i="12"/>
  <c r="D857" i="12"/>
  <c r="E857" i="12"/>
  <c r="F857" i="12"/>
  <c r="G857" i="12"/>
  <c r="A858" i="12"/>
  <c r="B858" i="12"/>
  <c r="C858" i="12"/>
  <c r="D858" i="12"/>
  <c r="E858" i="12"/>
  <c r="F858" i="12"/>
  <c r="G858" i="12"/>
  <c r="A859" i="12"/>
  <c r="B859" i="12"/>
  <c r="C859" i="12"/>
  <c r="D859" i="12"/>
  <c r="E859" i="12"/>
  <c r="F859" i="12"/>
  <c r="G859" i="12"/>
  <c r="A860" i="12"/>
  <c r="B860" i="12"/>
  <c r="C860" i="12"/>
  <c r="D860" i="12"/>
  <c r="E860" i="12"/>
  <c r="F860" i="12"/>
  <c r="G860" i="12"/>
  <c r="A861" i="12"/>
  <c r="B861" i="12"/>
  <c r="C861" i="12"/>
  <c r="D861" i="12"/>
  <c r="E861" i="12"/>
  <c r="F861" i="12"/>
  <c r="G861" i="12"/>
  <c r="A862" i="12"/>
  <c r="B862" i="12"/>
  <c r="C862" i="12"/>
  <c r="D862" i="12"/>
  <c r="E862" i="12"/>
  <c r="F862" i="12"/>
  <c r="G862" i="12"/>
  <c r="A863" i="12"/>
  <c r="B863" i="12"/>
  <c r="C863" i="12"/>
  <c r="D863" i="12"/>
  <c r="E863" i="12"/>
  <c r="F863" i="12"/>
  <c r="G863" i="12"/>
  <c r="A864" i="12"/>
  <c r="B864" i="12"/>
  <c r="C864" i="12"/>
  <c r="D864" i="12"/>
  <c r="E864" i="12"/>
  <c r="F864" i="12"/>
  <c r="G864" i="12"/>
  <c r="A865" i="12"/>
  <c r="B865" i="12"/>
  <c r="C865" i="12"/>
  <c r="D865" i="12"/>
  <c r="E865" i="12"/>
  <c r="F865" i="12"/>
  <c r="G865" i="12"/>
  <c r="A866" i="12"/>
  <c r="B866" i="12"/>
  <c r="C866" i="12"/>
  <c r="D866" i="12"/>
  <c r="E866" i="12"/>
  <c r="F866" i="12"/>
  <c r="G866" i="12"/>
  <c r="A867" i="12"/>
  <c r="B867" i="12"/>
  <c r="C867" i="12"/>
  <c r="D867" i="12"/>
  <c r="E867" i="12"/>
  <c r="F867" i="12"/>
  <c r="G867" i="12"/>
  <c r="A868" i="12"/>
  <c r="B868" i="12"/>
  <c r="C868" i="12"/>
  <c r="D868" i="12"/>
  <c r="E868" i="12"/>
  <c r="F868" i="12"/>
  <c r="G868" i="12"/>
  <c r="A869" i="12"/>
  <c r="B869" i="12"/>
  <c r="C869" i="12"/>
  <c r="D869" i="12"/>
  <c r="E869" i="12"/>
  <c r="F869" i="12"/>
  <c r="G869" i="12"/>
  <c r="A870" i="12"/>
  <c r="B870" i="12"/>
  <c r="C870" i="12"/>
  <c r="D870" i="12"/>
  <c r="E870" i="12"/>
  <c r="F870" i="12"/>
  <c r="G870" i="12"/>
  <c r="A871" i="12"/>
  <c r="B871" i="12"/>
  <c r="C871" i="12"/>
  <c r="D871" i="12"/>
  <c r="E871" i="12"/>
  <c r="F871" i="12"/>
  <c r="G871" i="12"/>
  <c r="A872" i="12"/>
  <c r="B872" i="12"/>
  <c r="C872" i="12"/>
  <c r="D872" i="12"/>
  <c r="E872" i="12"/>
  <c r="F872" i="12"/>
  <c r="G872" i="12"/>
  <c r="A873" i="12"/>
  <c r="B873" i="12"/>
  <c r="C873" i="12"/>
  <c r="D873" i="12"/>
  <c r="E873" i="12"/>
  <c r="F873" i="12"/>
  <c r="G873" i="12"/>
  <c r="A874" i="12"/>
  <c r="B874" i="12"/>
  <c r="C874" i="12"/>
  <c r="D874" i="12"/>
  <c r="E874" i="12"/>
  <c r="F874" i="12"/>
  <c r="G874" i="12"/>
  <c r="A875" i="12"/>
  <c r="B875" i="12"/>
  <c r="C875" i="12"/>
  <c r="D875" i="12"/>
  <c r="E875" i="12"/>
  <c r="F875" i="12"/>
  <c r="G875" i="12"/>
  <c r="A876" i="12"/>
  <c r="B876" i="12"/>
  <c r="C876" i="12"/>
  <c r="D876" i="12"/>
  <c r="E876" i="12"/>
  <c r="F876" i="12"/>
  <c r="G876" i="12"/>
  <c r="A877" i="12"/>
  <c r="B877" i="12"/>
  <c r="C877" i="12"/>
  <c r="D877" i="12"/>
  <c r="E877" i="12"/>
  <c r="F877" i="12"/>
  <c r="G877" i="12"/>
  <c r="A878" i="12"/>
  <c r="B878" i="12"/>
  <c r="C878" i="12"/>
  <c r="D878" i="12"/>
  <c r="E878" i="12"/>
  <c r="F878" i="12"/>
  <c r="G878" i="12"/>
  <c r="A879" i="12"/>
  <c r="B879" i="12"/>
  <c r="C879" i="12"/>
  <c r="D879" i="12"/>
  <c r="E879" i="12"/>
  <c r="F879" i="12"/>
  <c r="G879" i="12"/>
  <c r="A880" i="12"/>
  <c r="B880" i="12"/>
  <c r="C880" i="12"/>
  <c r="D880" i="12"/>
  <c r="E880" i="12"/>
  <c r="F880" i="12"/>
  <c r="G880" i="12"/>
  <c r="A881" i="12"/>
  <c r="B881" i="12"/>
  <c r="C881" i="12"/>
  <c r="D881" i="12"/>
  <c r="E881" i="12"/>
  <c r="F881" i="12"/>
  <c r="G881" i="12"/>
  <c r="A882" i="12"/>
  <c r="B882" i="12"/>
  <c r="C882" i="12"/>
  <c r="D882" i="12"/>
  <c r="E882" i="12"/>
  <c r="F882" i="12"/>
  <c r="G882" i="12"/>
  <c r="A883" i="12"/>
  <c r="B883" i="12"/>
  <c r="C883" i="12"/>
  <c r="D883" i="12"/>
  <c r="E883" i="12"/>
  <c r="F883" i="12"/>
  <c r="G883" i="12"/>
  <c r="A884" i="12"/>
  <c r="B884" i="12"/>
  <c r="C884" i="12"/>
  <c r="D884" i="12"/>
  <c r="E884" i="12"/>
  <c r="F884" i="12"/>
  <c r="G884" i="12"/>
  <c r="A885" i="12"/>
  <c r="B885" i="12"/>
  <c r="C885" i="12"/>
  <c r="D885" i="12"/>
  <c r="E885" i="12"/>
  <c r="F885" i="12"/>
  <c r="G885" i="12"/>
  <c r="A886" i="12"/>
  <c r="B886" i="12"/>
  <c r="C886" i="12"/>
  <c r="D886" i="12"/>
  <c r="E886" i="12"/>
  <c r="F886" i="12"/>
  <c r="G886" i="12"/>
  <c r="A887" i="12"/>
  <c r="B887" i="12"/>
  <c r="C887" i="12"/>
  <c r="D887" i="12"/>
  <c r="E887" i="12"/>
  <c r="F887" i="12"/>
  <c r="G887" i="12"/>
  <c r="A888" i="12"/>
  <c r="B888" i="12"/>
  <c r="C888" i="12"/>
  <c r="D888" i="12"/>
  <c r="E888" i="12"/>
  <c r="F888" i="12"/>
  <c r="G888" i="12"/>
  <c r="A889" i="12"/>
  <c r="B889" i="12"/>
  <c r="C889" i="12"/>
  <c r="D889" i="12"/>
  <c r="E889" i="12"/>
  <c r="F889" i="12"/>
  <c r="G889" i="12"/>
  <c r="A890" i="12"/>
  <c r="B890" i="12"/>
  <c r="C890" i="12"/>
  <c r="D890" i="12"/>
  <c r="E890" i="12"/>
  <c r="F890" i="12"/>
  <c r="G890" i="12"/>
  <c r="A891" i="12"/>
  <c r="B891" i="12"/>
  <c r="C891" i="12"/>
  <c r="D891" i="12"/>
  <c r="E891" i="12"/>
  <c r="F891" i="12"/>
  <c r="G891" i="12"/>
  <c r="A892" i="12"/>
  <c r="B892" i="12"/>
  <c r="C892" i="12"/>
  <c r="D892" i="12"/>
  <c r="E892" i="12"/>
  <c r="F892" i="12"/>
  <c r="G892" i="12"/>
  <c r="A893" i="12"/>
  <c r="B893" i="12"/>
  <c r="C893" i="12"/>
  <c r="D893" i="12"/>
  <c r="E893" i="12"/>
  <c r="F893" i="12"/>
  <c r="G893" i="12"/>
  <c r="A894" i="12"/>
  <c r="B894" i="12"/>
  <c r="C894" i="12"/>
  <c r="D894" i="12"/>
  <c r="E894" i="12"/>
  <c r="F894" i="12"/>
  <c r="G894" i="12"/>
  <c r="A895" i="12"/>
  <c r="B895" i="12"/>
  <c r="C895" i="12"/>
  <c r="D895" i="12"/>
  <c r="E895" i="12"/>
  <c r="F895" i="12"/>
  <c r="G895" i="12"/>
  <c r="A896" i="12"/>
  <c r="B896" i="12"/>
  <c r="C896" i="12"/>
  <c r="D896" i="12"/>
  <c r="E896" i="12"/>
  <c r="F896" i="12"/>
  <c r="G896" i="12"/>
  <c r="A897" i="12"/>
  <c r="B897" i="12"/>
  <c r="C897" i="12"/>
  <c r="D897" i="12"/>
  <c r="E897" i="12"/>
  <c r="F897" i="12"/>
  <c r="G897" i="12"/>
  <c r="A898" i="12"/>
  <c r="B898" i="12"/>
  <c r="C898" i="12"/>
  <c r="D898" i="12"/>
  <c r="E898" i="12"/>
  <c r="F898" i="12"/>
  <c r="G898" i="12"/>
  <c r="A899" i="12"/>
  <c r="B899" i="12"/>
  <c r="C899" i="12"/>
  <c r="D899" i="12"/>
  <c r="E899" i="12"/>
  <c r="F899" i="12"/>
  <c r="G899" i="12"/>
  <c r="A900" i="12"/>
  <c r="B900" i="12"/>
  <c r="C900" i="12"/>
  <c r="D900" i="12"/>
  <c r="E900" i="12"/>
  <c r="F900" i="12"/>
  <c r="G900" i="12"/>
  <c r="A901" i="12"/>
  <c r="B901" i="12"/>
  <c r="C901" i="12"/>
  <c r="D901" i="12"/>
  <c r="E901" i="12"/>
  <c r="F901" i="12"/>
  <c r="G901" i="12"/>
  <c r="A902" i="12"/>
  <c r="B902" i="12"/>
  <c r="C902" i="12"/>
  <c r="D902" i="12"/>
  <c r="E902" i="12"/>
  <c r="F902" i="12"/>
  <c r="G902" i="12"/>
  <c r="A903" i="12"/>
  <c r="B903" i="12"/>
  <c r="C903" i="12"/>
  <c r="D903" i="12"/>
  <c r="E903" i="12"/>
  <c r="F903" i="12"/>
  <c r="G903" i="12"/>
  <c r="A904" i="12"/>
  <c r="B904" i="12"/>
  <c r="C904" i="12"/>
  <c r="D904" i="12"/>
  <c r="E904" i="12"/>
  <c r="F904" i="12"/>
  <c r="G904" i="12"/>
  <c r="A905" i="12"/>
  <c r="B905" i="12"/>
  <c r="C905" i="12"/>
  <c r="D905" i="12"/>
  <c r="E905" i="12"/>
  <c r="F905" i="12"/>
  <c r="G905" i="12"/>
  <c r="A906" i="12"/>
  <c r="B906" i="12"/>
  <c r="C906" i="12"/>
  <c r="D906" i="12"/>
  <c r="E906" i="12"/>
  <c r="F906" i="12"/>
  <c r="G906" i="12"/>
  <c r="A907" i="12"/>
  <c r="B907" i="12"/>
  <c r="C907" i="12"/>
  <c r="D907" i="12"/>
  <c r="E907" i="12"/>
  <c r="F907" i="12"/>
  <c r="G907" i="12"/>
  <c r="A908" i="12"/>
  <c r="B908" i="12"/>
  <c r="C908" i="12"/>
  <c r="D908" i="12"/>
  <c r="E908" i="12"/>
  <c r="F908" i="12"/>
  <c r="G908" i="12"/>
  <c r="A909" i="12"/>
  <c r="B909" i="12"/>
  <c r="C909" i="12"/>
  <c r="D909" i="12"/>
  <c r="E909" i="12"/>
  <c r="F909" i="12"/>
  <c r="G909" i="12"/>
  <c r="A910" i="12"/>
  <c r="B910" i="12"/>
  <c r="C910" i="12"/>
  <c r="D910" i="12"/>
  <c r="E910" i="12"/>
  <c r="F910" i="12"/>
  <c r="G910" i="12"/>
  <c r="A911" i="12"/>
  <c r="B911" i="12"/>
  <c r="C911" i="12"/>
  <c r="D911" i="12"/>
  <c r="E911" i="12"/>
  <c r="F911" i="12"/>
  <c r="G911" i="12"/>
  <c r="A912" i="12"/>
  <c r="B912" i="12"/>
  <c r="C912" i="12"/>
  <c r="D912" i="12"/>
  <c r="E912" i="12"/>
  <c r="F912" i="12"/>
  <c r="G912" i="12"/>
  <c r="A913" i="12"/>
  <c r="B913" i="12"/>
  <c r="C913" i="12"/>
  <c r="D913" i="12"/>
  <c r="E913" i="12"/>
  <c r="F913" i="12"/>
  <c r="G913" i="12"/>
  <c r="A914" i="12"/>
  <c r="B914" i="12"/>
  <c r="C914" i="12"/>
  <c r="D914" i="12"/>
  <c r="E914" i="12"/>
  <c r="F914" i="12"/>
  <c r="G914" i="12"/>
  <c r="A915" i="12"/>
  <c r="B915" i="12"/>
  <c r="C915" i="12"/>
  <c r="D915" i="12"/>
  <c r="E915" i="12"/>
  <c r="F915" i="12"/>
  <c r="G915" i="12"/>
  <c r="A916" i="12"/>
  <c r="B916" i="12"/>
  <c r="C916" i="12"/>
  <c r="D916" i="12"/>
  <c r="E916" i="12"/>
  <c r="F916" i="12"/>
  <c r="G916" i="12"/>
  <c r="A917" i="12"/>
  <c r="B917" i="12"/>
  <c r="C917" i="12"/>
  <c r="D917" i="12"/>
  <c r="E917" i="12"/>
  <c r="F917" i="12"/>
  <c r="G917" i="12"/>
  <c r="A918" i="12"/>
  <c r="B918" i="12"/>
  <c r="C918" i="12"/>
  <c r="D918" i="12"/>
  <c r="E918" i="12"/>
  <c r="F918" i="12"/>
  <c r="G918" i="12"/>
  <c r="A919" i="12"/>
  <c r="B919" i="12"/>
  <c r="C919" i="12"/>
  <c r="D919" i="12"/>
  <c r="E919" i="12"/>
  <c r="F919" i="12"/>
  <c r="G919" i="12"/>
  <c r="A920" i="12"/>
  <c r="B920" i="12"/>
  <c r="C920" i="12"/>
  <c r="D920" i="12"/>
  <c r="E920" i="12"/>
  <c r="F920" i="12"/>
  <c r="G920" i="12"/>
  <c r="A921" i="12"/>
  <c r="B921" i="12"/>
  <c r="C921" i="12"/>
  <c r="D921" i="12"/>
  <c r="E921" i="12"/>
  <c r="F921" i="12"/>
  <c r="G921" i="12"/>
  <c r="A922" i="12"/>
  <c r="B922" i="12"/>
  <c r="C922" i="12"/>
  <c r="D922" i="12"/>
  <c r="E922" i="12"/>
  <c r="F922" i="12"/>
  <c r="G922" i="12"/>
  <c r="A923" i="12"/>
  <c r="B923" i="12"/>
  <c r="C923" i="12"/>
  <c r="D923" i="12"/>
  <c r="E923" i="12"/>
  <c r="F923" i="12"/>
  <c r="G923" i="12"/>
  <c r="A924" i="12"/>
  <c r="B924" i="12"/>
  <c r="C924" i="12"/>
  <c r="D924" i="12"/>
  <c r="E924" i="12"/>
  <c r="F924" i="12"/>
  <c r="G924" i="12"/>
  <c r="A925" i="12"/>
  <c r="B925" i="12"/>
  <c r="C925" i="12"/>
  <c r="D925" i="12"/>
  <c r="E925" i="12"/>
  <c r="F925" i="12"/>
  <c r="G925" i="12"/>
  <c r="A926" i="12"/>
  <c r="B926" i="12"/>
  <c r="C926" i="12"/>
  <c r="D926" i="12"/>
  <c r="E926" i="12"/>
  <c r="F926" i="12"/>
  <c r="G926" i="12"/>
  <c r="A927" i="12"/>
  <c r="B927" i="12"/>
  <c r="C927" i="12"/>
  <c r="D927" i="12"/>
  <c r="E927" i="12"/>
  <c r="F927" i="12"/>
  <c r="G927" i="12"/>
  <c r="A928" i="12"/>
  <c r="B928" i="12"/>
  <c r="C928" i="12"/>
  <c r="D928" i="12"/>
  <c r="E928" i="12"/>
  <c r="F928" i="12"/>
  <c r="G928" i="12"/>
  <c r="A929" i="12"/>
  <c r="B929" i="12"/>
  <c r="C929" i="12"/>
  <c r="D929" i="12"/>
  <c r="E929" i="12"/>
  <c r="F929" i="12"/>
  <c r="G929" i="12"/>
  <c r="A930" i="12"/>
  <c r="B930" i="12"/>
  <c r="C930" i="12"/>
  <c r="D930" i="12"/>
  <c r="E930" i="12"/>
  <c r="F930" i="12"/>
  <c r="G930" i="12"/>
  <c r="A931" i="12"/>
  <c r="B931" i="12"/>
  <c r="C931" i="12"/>
  <c r="D931" i="12"/>
  <c r="E931" i="12"/>
  <c r="F931" i="12"/>
  <c r="G931" i="12"/>
  <c r="A932" i="12"/>
  <c r="B932" i="12"/>
  <c r="C932" i="12"/>
  <c r="D932" i="12"/>
  <c r="E932" i="12"/>
  <c r="F932" i="12"/>
  <c r="G932" i="12"/>
  <c r="A933" i="12"/>
  <c r="B933" i="12"/>
  <c r="C933" i="12"/>
  <c r="D933" i="12"/>
  <c r="E933" i="12"/>
  <c r="F933" i="12"/>
  <c r="G933" i="12"/>
  <c r="A934" i="12"/>
  <c r="B934" i="12"/>
  <c r="C934" i="12"/>
  <c r="D934" i="12"/>
  <c r="E934" i="12"/>
  <c r="F934" i="12"/>
  <c r="G934" i="12"/>
  <c r="A935" i="12"/>
  <c r="B935" i="12"/>
  <c r="C935" i="12"/>
  <c r="D935" i="12"/>
  <c r="E935" i="12"/>
  <c r="F935" i="12"/>
  <c r="G935" i="12"/>
  <c r="A936" i="12"/>
  <c r="B936" i="12"/>
  <c r="C936" i="12"/>
  <c r="D936" i="12"/>
  <c r="E936" i="12"/>
  <c r="F936" i="12"/>
  <c r="G936" i="12"/>
  <c r="A937" i="12"/>
  <c r="B937" i="12"/>
  <c r="C937" i="12"/>
  <c r="D937" i="12"/>
  <c r="E937" i="12"/>
  <c r="F937" i="12"/>
  <c r="G937" i="12"/>
  <c r="A938" i="12"/>
  <c r="B938" i="12"/>
  <c r="C938" i="12"/>
  <c r="D938" i="12"/>
  <c r="E938" i="12"/>
  <c r="F938" i="12"/>
  <c r="G938" i="12"/>
  <c r="A939" i="12"/>
  <c r="B939" i="12"/>
  <c r="C939" i="12"/>
  <c r="D939" i="12"/>
  <c r="E939" i="12"/>
  <c r="F939" i="12"/>
  <c r="G939" i="12"/>
  <c r="A940" i="12"/>
  <c r="B940" i="12"/>
  <c r="C940" i="12"/>
  <c r="D940" i="12"/>
  <c r="E940" i="12"/>
  <c r="F940" i="12"/>
  <c r="G940" i="12"/>
  <c r="A941" i="12"/>
  <c r="B941" i="12"/>
  <c r="C941" i="12"/>
  <c r="D941" i="12"/>
  <c r="E941" i="12"/>
  <c r="F941" i="12"/>
  <c r="G941" i="12"/>
  <c r="A942" i="12"/>
  <c r="B942" i="12"/>
  <c r="C942" i="12"/>
  <c r="D942" i="12"/>
  <c r="E942" i="12"/>
  <c r="F942" i="12"/>
  <c r="G942" i="12"/>
  <c r="A943" i="12"/>
  <c r="B943" i="12"/>
  <c r="C943" i="12"/>
  <c r="D943" i="12"/>
  <c r="E943" i="12"/>
  <c r="F943" i="12"/>
  <c r="G943" i="12"/>
  <c r="A944" i="12"/>
  <c r="B944" i="12"/>
  <c r="C944" i="12"/>
  <c r="D944" i="12"/>
  <c r="E944" i="12"/>
  <c r="F944" i="12"/>
  <c r="G944" i="12"/>
  <c r="A945" i="12"/>
  <c r="B945" i="12"/>
  <c r="C945" i="12"/>
  <c r="D945" i="12"/>
  <c r="E945" i="12"/>
  <c r="F945" i="12"/>
  <c r="G945" i="12"/>
  <c r="A946" i="12"/>
  <c r="B946" i="12"/>
  <c r="C946" i="12"/>
  <c r="D946" i="12"/>
  <c r="E946" i="12"/>
  <c r="F946" i="12"/>
  <c r="G946" i="12"/>
  <c r="A947" i="12"/>
  <c r="B947" i="12"/>
  <c r="C947" i="12"/>
  <c r="D947" i="12"/>
  <c r="E947" i="12"/>
  <c r="F947" i="12"/>
  <c r="G947" i="12"/>
  <c r="A948" i="12"/>
  <c r="B948" i="12"/>
  <c r="C948" i="12"/>
  <c r="D948" i="12"/>
  <c r="E948" i="12"/>
  <c r="F948" i="12"/>
  <c r="G948" i="12"/>
  <c r="A949" i="12"/>
  <c r="B949" i="12"/>
  <c r="C949" i="12"/>
  <c r="D949" i="12"/>
  <c r="E949" i="12"/>
  <c r="F949" i="12"/>
  <c r="G949" i="12"/>
  <c r="A950" i="12"/>
  <c r="B950" i="12"/>
  <c r="C950" i="12"/>
  <c r="D950" i="12"/>
  <c r="E950" i="12"/>
  <c r="F950" i="12"/>
  <c r="G950" i="12"/>
  <c r="A951" i="12"/>
  <c r="B951" i="12"/>
  <c r="C951" i="12"/>
  <c r="D951" i="12"/>
  <c r="E951" i="12"/>
  <c r="F951" i="12"/>
  <c r="G951" i="12"/>
  <c r="A952" i="12"/>
  <c r="B952" i="12"/>
  <c r="C952" i="12"/>
  <c r="D952" i="12"/>
  <c r="E952" i="12"/>
  <c r="F952" i="12"/>
  <c r="G952" i="12"/>
  <c r="A953" i="12"/>
  <c r="B953" i="12"/>
  <c r="C953" i="12"/>
  <c r="D953" i="12"/>
  <c r="E953" i="12"/>
  <c r="F953" i="12"/>
  <c r="G953" i="12"/>
  <c r="A954" i="12"/>
  <c r="B954" i="12"/>
  <c r="C954" i="12"/>
  <c r="D954" i="12"/>
  <c r="E954" i="12"/>
  <c r="F954" i="12"/>
  <c r="G954" i="12"/>
  <c r="A955" i="12"/>
  <c r="B955" i="12"/>
  <c r="C955" i="12"/>
  <c r="D955" i="12"/>
  <c r="E955" i="12"/>
  <c r="F955" i="12"/>
  <c r="G955" i="12"/>
  <c r="A956" i="12"/>
  <c r="B956" i="12"/>
  <c r="C956" i="12"/>
  <c r="D956" i="12"/>
  <c r="E956" i="12"/>
  <c r="F956" i="12"/>
  <c r="G956" i="12"/>
  <c r="A957" i="12"/>
  <c r="B957" i="12"/>
  <c r="C957" i="12"/>
  <c r="D957" i="12"/>
  <c r="E957" i="12"/>
  <c r="F957" i="12"/>
  <c r="G957" i="12"/>
  <c r="A958" i="12"/>
  <c r="B958" i="12"/>
  <c r="C958" i="12"/>
  <c r="D958" i="12"/>
  <c r="E958" i="12"/>
  <c r="F958" i="12"/>
  <c r="G958" i="12"/>
  <c r="A959" i="12"/>
  <c r="B959" i="12"/>
  <c r="C959" i="12"/>
  <c r="D959" i="12"/>
  <c r="E959" i="12"/>
  <c r="F959" i="12"/>
  <c r="G959" i="12"/>
  <c r="A960" i="12"/>
  <c r="B960" i="12"/>
  <c r="C960" i="12"/>
  <c r="D960" i="12"/>
  <c r="E960" i="12"/>
  <c r="F960" i="12"/>
  <c r="G960" i="12"/>
  <c r="A961" i="12"/>
  <c r="B961" i="12"/>
  <c r="C961" i="12"/>
  <c r="D961" i="12"/>
  <c r="E961" i="12"/>
  <c r="F961" i="12"/>
  <c r="G961" i="12"/>
  <c r="A962" i="12"/>
  <c r="B962" i="12"/>
  <c r="C962" i="12"/>
  <c r="D962" i="12"/>
  <c r="E962" i="12"/>
  <c r="F962" i="12"/>
  <c r="G962" i="12"/>
  <c r="A963" i="12"/>
  <c r="B963" i="12"/>
  <c r="C963" i="12"/>
  <c r="D963" i="12"/>
  <c r="E963" i="12"/>
  <c r="F963" i="12"/>
  <c r="G963" i="12"/>
  <c r="A964" i="12"/>
  <c r="B964" i="12"/>
  <c r="C964" i="12"/>
  <c r="D964" i="12"/>
  <c r="E964" i="12"/>
  <c r="F964" i="12"/>
  <c r="G964" i="12"/>
  <c r="A965" i="12"/>
  <c r="B965" i="12"/>
  <c r="C965" i="12"/>
  <c r="D965" i="12"/>
  <c r="E965" i="12"/>
  <c r="F965" i="12"/>
  <c r="G965" i="12"/>
  <c r="A966" i="12"/>
  <c r="B966" i="12"/>
  <c r="C966" i="12"/>
  <c r="D966" i="12"/>
  <c r="E966" i="12"/>
  <c r="F966" i="12"/>
  <c r="G966" i="12"/>
  <c r="A967" i="12"/>
  <c r="B967" i="12"/>
  <c r="C967" i="12"/>
  <c r="D967" i="12"/>
  <c r="E967" i="12"/>
  <c r="F967" i="12"/>
  <c r="G967" i="12"/>
  <c r="A968" i="12"/>
  <c r="B968" i="12"/>
  <c r="C968" i="12"/>
  <c r="D968" i="12"/>
  <c r="E968" i="12"/>
  <c r="F968" i="12"/>
  <c r="G968" i="12"/>
  <c r="A969" i="12"/>
  <c r="B969" i="12"/>
  <c r="C969" i="12"/>
  <c r="D969" i="12"/>
  <c r="E969" i="12"/>
  <c r="F969" i="12"/>
  <c r="G969" i="12"/>
  <c r="A970" i="12"/>
  <c r="B970" i="12"/>
  <c r="C970" i="12"/>
  <c r="D970" i="12"/>
  <c r="E970" i="12"/>
  <c r="F970" i="12"/>
  <c r="G970" i="12"/>
  <c r="A971" i="12"/>
  <c r="B971" i="12"/>
  <c r="C971" i="12"/>
  <c r="D971" i="12"/>
  <c r="E971" i="12"/>
  <c r="F971" i="12"/>
  <c r="G971" i="12"/>
  <c r="A972" i="12"/>
  <c r="B972" i="12"/>
  <c r="C972" i="12"/>
  <c r="D972" i="12"/>
  <c r="E972" i="12"/>
  <c r="F972" i="12"/>
  <c r="G972" i="12"/>
  <c r="A973" i="12"/>
  <c r="B973" i="12"/>
  <c r="C973" i="12"/>
  <c r="D973" i="12"/>
  <c r="E973" i="12"/>
  <c r="F973" i="12"/>
  <c r="G973" i="12"/>
  <c r="A974" i="12"/>
  <c r="B974" i="12"/>
  <c r="C974" i="12"/>
  <c r="D974" i="12"/>
  <c r="E974" i="12"/>
  <c r="F974" i="12"/>
  <c r="G974" i="12"/>
  <c r="A975" i="12"/>
  <c r="B975" i="12"/>
  <c r="C975" i="12"/>
  <c r="D975" i="12"/>
  <c r="E975" i="12"/>
  <c r="F975" i="12"/>
  <c r="G975" i="12"/>
  <c r="A976" i="12"/>
  <c r="B976" i="12"/>
  <c r="C976" i="12"/>
  <c r="D976" i="12"/>
  <c r="E976" i="12"/>
  <c r="F976" i="12"/>
  <c r="G976" i="12"/>
  <c r="A977" i="12"/>
  <c r="B977" i="12"/>
  <c r="C977" i="12"/>
  <c r="D977" i="12"/>
  <c r="E977" i="12"/>
  <c r="F977" i="12"/>
  <c r="G977" i="12"/>
  <c r="A978" i="12"/>
  <c r="B978" i="12"/>
  <c r="C978" i="12"/>
  <c r="D978" i="12"/>
  <c r="E978" i="12"/>
  <c r="F978" i="12"/>
  <c r="G978" i="12"/>
  <c r="A979" i="12"/>
  <c r="B979" i="12"/>
  <c r="C979" i="12"/>
  <c r="D979" i="12"/>
  <c r="E979" i="12"/>
  <c r="F979" i="12"/>
  <c r="G979" i="12"/>
  <c r="A980" i="12"/>
  <c r="B980" i="12"/>
  <c r="C980" i="12"/>
  <c r="D980" i="12"/>
  <c r="E980" i="12"/>
  <c r="F980" i="12"/>
  <c r="G980" i="12"/>
  <c r="A981" i="12"/>
  <c r="B981" i="12"/>
  <c r="C981" i="12"/>
  <c r="D981" i="12"/>
  <c r="E981" i="12"/>
  <c r="F981" i="12"/>
  <c r="G981" i="12"/>
  <c r="A982" i="12"/>
  <c r="B982" i="12"/>
  <c r="C982" i="12"/>
  <c r="D982" i="12"/>
  <c r="E982" i="12"/>
  <c r="F982" i="12"/>
  <c r="G982" i="12"/>
  <c r="A983" i="12"/>
  <c r="B983" i="12"/>
  <c r="C983" i="12"/>
  <c r="D983" i="12"/>
  <c r="E983" i="12"/>
  <c r="F983" i="12"/>
  <c r="G983" i="12"/>
  <c r="A984" i="12"/>
  <c r="B984" i="12"/>
  <c r="C984" i="12"/>
  <c r="D984" i="12"/>
  <c r="E984" i="12"/>
  <c r="F984" i="12"/>
  <c r="G984" i="12"/>
  <c r="A985" i="12"/>
  <c r="B985" i="12"/>
  <c r="C985" i="12"/>
  <c r="D985" i="12"/>
  <c r="E985" i="12"/>
  <c r="F985" i="12"/>
  <c r="G985" i="12"/>
  <c r="A986" i="12"/>
  <c r="B986" i="12"/>
  <c r="C986" i="12"/>
  <c r="D986" i="12"/>
  <c r="E986" i="12"/>
  <c r="F986" i="12"/>
  <c r="G986" i="12"/>
  <c r="A987" i="12"/>
  <c r="B987" i="12"/>
  <c r="C987" i="12"/>
  <c r="D987" i="12"/>
  <c r="E987" i="12"/>
  <c r="F987" i="12"/>
  <c r="G987" i="12"/>
  <c r="A988" i="12"/>
  <c r="B988" i="12"/>
  <c r="C988" i="12"/>
  <c r="D988" i="12"/>
  <c r="E988" i="12"/>
  <c r="F988" i="12"/>
  <c r="G988" i="12"/>
  <c r="A989" i="12"/>
  <c r="B989" i="12"/>
  <c r="C989" i="12"/>
  <c r="D989" i="12"/>
  <c r="E989" i="12"/>
  <c r="F989" i="12"/>
  <c r="G989" i="12"/>
  <c r="A990" i="12"/>
  <c r="B990" i="12"/>
  <c r="C990" i="12"/>
  <c r="D990" i="12"/>
  <c r="E990" i="12"/>
  <c r="F990" i="12"/>
  <c r="G990" i="12"/>
  <c r="A991" i="12"/>
  <c r="B991" i="12"/>
  <c r="C991" i="12"/>
  <c r="D991" i="12"/>
  <c r="E991" i="12"/>
  <c r="F991" i="12"/>
  <c r="G991" i="12"/>
  <c r="A992" i="12"/>
  <c r="B992" i="12"/>
  <c r="C992" i="12"/>
  <c r="D992" i="12"/>
  <c r="E992" i="12"/>
  <c r="F992" i="12"/>
  <c r="G992" i="12"/>
  <c r="A993" i="12"/>
  <c r="B993" i="12"/>
  <c r="C993" i="12"/>
  <c r="D993" i="12"/>
  <c r="E993" i="12"/>
  <c r="F993" i="12"/>
  <c r="G993" i="12"/>
  <c r="A994" i="12"/>
  <c r="B994" i="12"/>
  <c r="C994" i="12"/>
  <c r="D994" i="12"/>
  <c r="E994" i="12"/>
  <c r="F994" i="12"/>
  <c r="G994" i="12"/>
  <c r="A995" i="12"/>
  <c r="B995" i="12"/>
  <c r="C995" i="12"/>
  <c r="D995" i="12"/>
  <c r="E995" i="12"/>
  <c r="F995" i="12"/>
  <c r="G995" i="12"/>
  <c r="A996" i="12"/>
  <c r="B996" i="12"/>
  <c r="C996" i="12"/>
  <c r="D996" i="12"/>
  <c r="E996" i="12"/>
  <c r="F996" i="12"/>
  <c r="G996" i="12"/>
  <c r="A997" i="12"/>
  <c r="B997" i="12"/>
  <c r="C997" i="12"/>
  <c r="D997" i="12"/>
  <c r="E997" i="12"/>
  <c r="F997" i="12"/>
  <c r="G997" i="12"/>
  <c r="A998" i="12"/>
  <c r="B998" i="12"/>
  <c r="C998" i="12"/>
  <c r="D998" i="12"/>
  <c r="E998" i="12"/>
  <c r="F998" i="12"/>
  <c r="G998" i="12"/>
  <c r="A999" i="12"/>
  <c r="B999" i="12"/>
  <c r="C999" i="12"/>
  <c r="D999" i="12"/>
  <c r="E999" i="12"/>
  <c r="F999" i="12"/>
  <c r="G999" i="12"/>
  <c r="A1000" i="12"/>
  <c r="B1000" i="12"/>
  <c r="C1000" i="12"/>
  <c r="D1000" i="12"/>
  <c r="E1000" i="12"/>
  <c r="F1000" i="12"/>
  <c r="G1000" i="12"/>
  <c r="A1001" i="12"/>
  <c r="B1001" i="12"/>
  <c r="C1001" i="12"/>
  <c r="D1001" i="12"/>
  <c r="E1001" i="12"/>
  <c r="F1001" i="12"/>
  <c r="G1001" i="12"/>
  <c r="A1002" i="12"/>
  <c r="B1002" i="12"/>
  <c r="C1002" i="12"/>
  <c r="D1002" i="12"/>
  <c r="E1002" i="12"/>
  <c r="F1002" i="12"/>
  <c r="G1002" i="12"/>
  <c r="A1003" i="12"/>
  <c r="B1003" i="12"/>
  <c r="C1003" i="12"/>
  <c r="D1003" i="12"/>
  <c r="E1003" i="12"/>
  <c r="F1003" i="12"/>
  <c r="G1003" i="12"/>
  <c r="A1004" i="12"/>
  <c r="B1004" i="12"/>
  <c r="C1004" i="12"/>
  <c r="D1004" i="12"/>
  <c r="E1004" i="12"/>
  <c r="F1004" i="12"/>
  <c r="G1004" i="12"/>
  <c r="A1005" i="12"/>
  <c r="B1005" i="12"/>
  <c r="C1005" i="12"/>
  <c r="D1005" i="12"/>
  <c r="E1005" i="12"/>
  <c r="F1005" i="12"/>
  <c r="G1005" i="12"/>
  <c r="A1006" i="12"/>
  <c r="B1006" i="12"/>
  <c r="C1006" i="12"/>
  <c r="D1006" i="12"/>
  <c r="E1006" i="12"/>
  <c r="F1006" i="12"/>
  <c r="G1006" i="12"/>
  <c r="A1007" i="12"/>
  <c r="B1007" i="12"/>
  <c r="C1007" i="12"/>
  <c r="D1007" i="12"/>
  <c r="E1007" i="12"/>
  <c r="F1007" i="12"/>
  <c r="G1007" i="12"/>
  <c r="A1008" i="12"/>
  <c r="B1008" i="12"/>
  <c r="C1008" i="12"/>
  <c r="D1008" i="12"/>
  <c r="E1008" i="12"/>
  <c r="F1008" i="12"/>
  <c r="G1008" i="12"/>
  <c r="A1009" i="12"/>
  <c r="B1009" i="12"/>
  <c r="C1009" i="12"/>
  <c r="D1009" i="12"/>
  <c r="E1009" i="12"/>
  <c r="F1009" i="12"/>
  <c r="G1009" i="12"/>
  <c r="A1010" i="12"/>
  <c r="B1010" i="12"/>
  <c r="C1010" i="12"/>
  <c r="D1010" i="12"/>
  <c r="E1010" i="12"/>
  <c r="F1010" i="12"/>
  <c r="G1010" i="12"/>
  <c r="A1011" i="12"/>
  <c r="B1011" i="12"/>
  <c r="C1011" i="12"/>
  <c r="D1011" i="12"/>
  <c r="E1011" i="12"/>
  <c r="F1011" i="12"/>
  <c r="G1011" i="12"/>
  <c r="A1012" i="12"/>
  <c r="B1012" i="12"/>
  <c r="C1012" i="12"/>
  <c r="D1012" i="12"/>
  <c r="E1012" i="12"/>
  <c r="F1012" i="12"/>
  <c r="G1012" i="12"/>
  <c r="A1013" i="12"/>
  <c r="B1013" i="12"/>
  <c r="C1013" i="12"/>
  <c r="D1013" i="12"/>
  <c r="E1013" i="12"/>
  <c r="F1013" i="12"/>
  <c r="G1013" i="12"/>
  <c r="A1014" i="12"/>
  <c r="B1014" i="12"/>
  <c r="C1014" i="12"/>
  <c r="D1014" i="12"/>
  <c r="E1014" i="12"/>
  <c r="F1014" i="12"/>
  <c r="G1014" i="12"/>
  <c r="A1015" i="12"/>
  <c r="B1015" i="12"/>
  <c r="C1015" i="12"/>
  <c r="D1015" i="12"/>
  <c r="E1015" i="12"/>
  <c r="F1015" i="12"/>
  <c r="G1015" i="12"/>
  <c r="A1016" i="12"/>
  <c r="B1016" i="12"/>
  <c r="C1016" i="12"/>
  <c r="D1016" i="12"/>
  <c r="E1016" i="12"/>
  <c r="F1016" i="12"/>
  <c r="G1016" i="12"/>
  <c r="A1017" i="12"/>
  <c r="B1017" i="12"/>
  <c r="C1017" i="12"/>
  <c r="D1017" i="12"/>
  <c r="E1017" i="12"/>
  <c r="F1017" i="12"/>
  <c r="G1017" i="12"/>
  <c r="A1018" i="12"/>
  <c r="B1018" i="12"/>
  <c r="C1018" i="12"/>
  <c r="D1018" i="12"/>
  <c r="E1018" i="12"/>
  <c r="F1018" i="12"/>
  <c r="G1018" i="12"/>
  <c r="A1019" i="12"/>
  <c r="B1019" i="12"/>
  <c r="C1019" i="12"/>
  <c r="D1019" i="12"/>
  <c r="E1019" i="12"/>
  <c r="F1019" i="12"/>
  <c r="G1019" i="12"/>
  <c r="A1020" i="12"/>
  <c r="B1020" i="12"/>
  <c r="C1020" i="12"/>
  <c r="D1020" i="12"/>
  <c r="E1020" i="12"/>
  <c r="F1020" i="12"/>
  <c r="G1020" i="12"/>
  <c r="A1021" i="12"/>
  <c r="B1021" i="12"/>
  <c r="C1021" i="12"/>
  <c r="D1021" i="12"/>
  <c r="E1021" i="12"/>
  <c r="F1021" i="12"/>
  <c r="G1021" i="12"/>
  <c r="A1022" i="12"/>
  <c r="B1022" i="12"/>
  <c r="C1022" i="12"/>
  <c r="D1022" i="12"/>
  <c r="E1022" i="12"/>
  <c r="F1022" i="12"/>
  <c r="G1022" i="12"/>
  <c r="A1023" i="12"/>
  <c r="B1023" i="12"/>
  <c r="C1023" i="12"/>
  <c r="D1023" i="12"/>
  <c r="E1023" i="12"/>
  <c r="F1023" i="12"/>
  <c r="G1023" i="12"/>
  <c r="A1024" i="12"/>
  <c r="B1024" i="12"/>
  <c r="C1024" i="12"/>
  <c r="D1024" i="12"/>
  <c r="E1024" i="12"/>
  <c r="F1024" i="12"/>
  <c r="G1024" i="12"/>
  <c r="A1025" i="12"/>
  <c r="B1025" i="12"/>
  <c r="C1025" i="12"/>
  <c r="D1025" i="12"/>
  <c r="E1025" i="12"/>
  <c r="F1025" i="12"/>
  <c r="G1025" i="12"/>
  <c r="A1026" i="12"/>
  <c r="B1026" i="12"/>
  <c r="C1026" i="12"/>
  <c r="D1026" i="12"/>
  <c r="E1026" i="12"/>
  <c r="F1026" i="12"/>
  <c r="G1026" i="12"/>
  <c r="A1027" i="12"/>
  <c r="B1027" i="12"/>
  <c r="C1027" i="12"/>
  <c r="D1027" i="12"/>
  <c r="E1027" i="12"/>
  <c r="F1027" i="12"/>
  <c r="G1027" i="12"/>
  <c r="A1028" i="12"/>
  <c r="B1028" i="12"/>
  <c r="C1028" i="12"/>
  <c r="D1028" i="12"/>
  <c r="E1028" i="12"/>
  <c r="F1028" i="12"/>
  <c r="G1028" i="12"/>
  <c r="A1029" i="12"/>
  <c r="B1029" i="12"/>
  <c r="C1029" i="12"/>
  <c r="D1029" i="12"/>
  <c r="E1029" i="12"/>
  <c r="F1029" i="12"/>
  <c r="G1029" i="12"/>
  <c r="A1030" i="12"/>
  <c r="B1030" i="12"/>
  <c r="C1030" i="12"/>
  <c r="D1030" i="12"/>
  <c r="E1030" i="12"/>
  <c r="F1030" i="12"/>
  <c r="G1030" i="12"/>
  <c r="A1031" i="12"/>
  <c r="B1031" i="12"/>
  <c r="C1031" i="12"/>
  <c r="D1031" i="12"/>
  <c r="E1031" i="12"/>
  <c r="F1031" i="12"/>
  <c r="G1031" i="12"/>
  <c r="A1032" i="12"/>
  <c r="B1032" i="12"/>
  <c r="C1032" i="12"/>
  <c r="D1032" i="12"/>
  <c r="E1032" i="12"/>
  <c r="F1032" i="12"/>
  <c r="G1032" i="12"/>
  <c r="A1033" i="12"/>
  <c r="B1033" i="12"/>
  <c r="C1033" i="12"/>
  <c r="D1033" i="12"/>
  <c r="E1033" i="12"/>
  <c r="F1033" i="12"/>
  <c r="G1033" i="12"/>
  <c r="A1034" i="12"/>
  <c r="B1034" i="12"/>
  <c r="C1034" i="12"/>
  <c r="D1034" i="12"/>
  <c r="E1034" i="12"/>
  <c r="F1034" i="12"/>
  <c r="G1034" i="12"/>
  <c r="A1035" i="12"/>
  <c r="B1035" i="12"/>
  <c r="C1035" i="12"/>
  <c r="D1035" i="12"/>
  <c r="E1035" i="12"/>
  <c r="F1035" i="12"/>
  <c r="G1035" i="12"/>
  <c r="A1036" i="12"/>
  <c r="B1036" i="12"/>
  <c r="C1036" i="12"/>
  <c r="D1036" i="12"/>
  <c r="E1036" i="12"/>
  <c r="F1036" i="12"/>
  <c r="G1036" i="12"/>
  <c r="A1037" i="12"/>
  <c r="B1037" i="12"/>
  <c r="C1037" i="12"/>
  <c r="D1037" i="12"/>
  <c r="E1037" i="12"/>
  <c r="F1037" i="12"/>
  <c r="G1037" i="12"/>
  <c r="A1038" i="12"/>
  <c r="B1038" i="12"/>
  <c r="C1038" i="12"/>
  <c r="D1038" i="12"/>
  <c r="E1038" i="12"/>
  <c r="F1038" i="12"/>
  <c r="G1038" i="12"/>
  <c r="A1039" i="12"/>
  <c r="B1039" i="12"/>
  <c r="C1039" i="12"/>
  <c r="D1039" i="12"/>
  <c r="E1039" i="12"/>
  <c r="F1039" i="12"/>
  <c r="G1039" i="12"/>
  <c r="A1040" i="12"/>
  <c r="B1040" i="12"/>
  <c r="C1040" i="12"/>
  <c r="D1040" i="12"/>
  <c r="E1040" i="12"/>
  <c r="F1040" i="12"/>
  <c r="G1040" i="12"/>
  <c r="A1041" i="12"/>
  <c r="B1041" i="12"/>
  <c r="C1041" i="12"/>
  <c r="D1041" i="12"/>
  <c r="E1041" i="12"/>
  <c r="F1041" i="12"/>
  <c r="G1041" i="12"/>
  <c r="A1042" i="12"/>
  <c r="B1042" i="12"/>
  <c r="C1042" i="12"/>
  <c r="D1042" i="12"/>
  <c r="E1042" i="12"/>
  <c r="F1042" i="12"/>
  <c r="G1042" i="12"/>
  <c r="A1043" i="12"/>
  <c r="B1043" i="12"/>
  <c r="C1043" i="12"/>
  <c r="D1043" i="12"/>
  <c r="E1043" i="12"/>
  <c r="F1043" i="12"/>
  <c r="G1043" i="12"/>
  <c r="A1044" i="12"/>
  <c r="B1044" i="12"/>
  <c r="C1044" i="12"/>
  <c r="D1044" i="12"/>
  <c r="E1044" i="12"/>
  <c r="F1044" i="12"/>
  <c r="G1044" i="12"/>
  <c r="A1045" i="12"/>
  <c r="B1045" i="12"/>
  <c r="C1045" i="12"/>
  <c r="D1045" i="12"/>
  <c r="E1045" i="12"/>
  <c r="F1045" i="12"/>
  <c r="G1045" i="12"/>
  <c r="A1046" i="12"/>
  <c r="B1046" i="12"/>
  <c r="C1046" i="12"/>
  <c r="D1046" i="12"/>
  <c r="E1046" i="12"/>
  <c r="F1046" i="12"/>
  <c r="G1046" i="12"/>
  <c r="A1047" i="12"/>
  <c r="B1047" i="12"/>
  <c r="C1047" i="12"/>
  <c r="D1047" i="12"/>
  <c r="E1047" i="12"/>
  <c r="F1047" i="12"/>
  <c r="G1047" i="12"/>
  <c r="A1048" i="12"/>
  <c r="B1048" i="12"/>
  <c r="C1048" i="12"/>
  <c r="D1048" i="12"/>
  <c r="E1048" i="12"/>
  <c r="F1048" i="12"/>
  <c r="G1048" i="12"/>
  <c r="A1049" i="12"/>
  <c r="B1049" i="12"/>
  <c r="C1049" i="12"/>
  <c r="D1049" i="12"/>
  <c r="E1049" i="12"/>
  <c r="F1049" i="12"/>
  <c r="G1049" i="12"/>
  <c r="A1050" i="12"/>
  <c r="B1050" i="12"/>
  <c r="C1050" i="12"/>
  <c r="D1050" i="12"/>
  <c r="E1050" i="12"/>
  <c r="F1050" i="12"/>
  <c r="G1050" i="12"/>
  <c r="A1051" i="12"/>
  <c r="B1051" i="12"/>
  <c r="C1051" i="12"/>
  <c r="D1051" i="12"/>
  <c r="E1051" i="12"/>
  <c r="F1051" i="12"/>
  <c r="G1051" i="12"/>
  <c r="A1052" i="12"/>
  <c r="B1052" i="12"/>
  <c r="C1052" i="12"/>
  <c r="D1052" i="12"/>
  <c r="E1052" i="12"/>
  <c r="F1052" i="12"/>
  <c r="G1052" i="12"/>
  <c r="A1053" i="12"/>
  <c r="B1053" i="12"/>
  <c r="C1053" i="12"/>
  <c r="D1053" i="12"/>
  <c r="E1053" i="12"/>
  <c r="F1053" i="12"/>
  <c r="G1053" i="12"/>
  <c r="A1054" i="12"/>
  <c r="B1054" i="12"/>
  <c r="C1054" i="12"/>
  <c r="D1054" i="12"/>
  <c r="E1054" i="12"/>
  <c r="F1054" i="12"/>
  <c r="G1054" i="12"/>
  <c r="A1055" i="12"/>
  <c r="B1055" i="12"/>
  <c r="C1055" i="12"/>
  <c r="D1055" i="12"/>
  <c r="E1055" i="12"/>
  <c r="F1055" i="12"/>
  <c r="G1055" i="12"/>
  <c r="A1056" i="12"/>
  <c r="B1056" i="12"/>
  <c r="C1056" i="12"/>
  <c r="D1056" i="12"/>
  <c r="E1056" i="12"/>
  <c r="F1056" i="12"/>
  <c r="G1056" i="12"/>
  <c r="A1057" i="12"/>
  <c r="B1057" i="12"/>
  <c r="C1057" i="12"/>
  <c r="D1057" i="12"/>
  <c r="E1057" i="12"/>
  <c r="F1057" i="12"/>
  <c r="G1057" i="12"/>
  <c r="A1058" i="12"/>
  <c r="B1058" i="12"/>
  <c r="C1058" i="12"/>
  <c r="D1058" i="12"/>
  <c r="E1058" i="12"/>
  <c r="F1058" i="12"/>
  <c r="G1058" i="12"/>
  <c r="A1059" i="12"/>
  <c r="B1059" i="12"/>
  <c r="C1059" i="12"/>
  <c r="D1059" i="12"/>
  <c r="E1059" i="12"/>
  <c r="F1059" i="12"/>
  <c r="G1059" i="12"/>
  <c r="A1060" i="12"/>
  <c r="B1060" i="12"/>
  <c r="C1060" i="12"/>
  <c r="D1060" i="12"/>
  <c r="E1060" i="12"/>
  <c r="F1060" i="12"/>
  <c r="G1060" i="12"/>
  <c r="A1061" i="12"/>
  <c r="B1061" i="12"/>
  <c r="C1061" i="12"/>
  <c r="D1061" i="12"/>
  <c r="E1061" i="12"/>
  <c r="F1061" i="12"/>
  <c r="G1061" i="12"/>
  <c r="A1062" i="12"/>
  <c r="B1062" i="12"/>
  <c r="C1062" i="12"/>
  <c r="D1062" i="12"/>
  <c r="E1062" i="12"/>
  <c r="F1062" i="12"/>
  <c r="G1062" i="12"/>
  <c r="A1063" i="12"/>
  <c r="B1063" i="12"/>
  <c r="C1063" i="12"/>
  <c r="D1063" i="12"/>
  <c r="E1063" i="12"/>
  <c r="F1063" i="12"/>
  <c r="G1063" i="12"/>
  <c r="A1064" i="12"/>
  <c r="B1064" i="12"/>
  <c r="C1064" i="12"/>
  <c r="D1064" i="12"/>
  <c r="E1064" i="12"/>
  <c r="F1064" i="12"/>
  <c r="G1064" i="12"/>
  <c r="A1065" i="12"/>
  <c r="B1065" i="12"/>
  <c r="C1065" i="12"/>
  <c r="D1065" i="12"/>
  <c r="E1065" i="12"/>
  <c r="F1065" i="12"/>
  <c r="G1065" i="12"/>
  <c r="A1066" i="12"/>
  <c r="B1066" i="12"/>
  <c r="C1066" i="12"/>
  <c r="D1066" i="12"/>
  <c r="E1066" i="12"/>
  <c r="F1066" i="12"/>
  <c r="G1066" i="12"/>
  <c r="A1067" i="12"/>
  <c r="B1067" i="12"/>
  <c r="C1067" i="12"/>
  <c r="D1067" i="12"/>
  <c r="E1067" i="12"/>
  <c r="F1067" i="12"/>
  <c r="G1067" i="12"/>
  <c r="A1068" i="12"/>
  <c r="B1068" i="12"/>
  <c r="C1068" i="12"/>
  <c r="D1068" i="12"/>
  <c r="E1068" i="12"/>
  <c r="F1068" i="12"/>
  <c r="G1068" i="12"/>
  <c r="A1069" i="12"/>
  <c r="B1069" i="12"/>
  <c r="C1069" i="12"/>
  <c r="D1069" i="12"/>
  <c r="E1069" i="12"/>
  <c r="F1069" i="12"/>
  <c r="G1069" i="12"/>
  <c r="A1070" i="12"/>
  <c r="B1070" i="12"/>
  <c r="C1070" i="12"/>
  <c r="D1070" i="12"/>
  <c r="E1070" i="12"/>
  <c r="F1070" i="12"/>
  <c r="G1070" i="12"/>
  <c r="A1071" i="12"/>
  <c r="B1071" i="12"/>
  <c r="C1071" i="12"/>
  <c r="D1071" i="12"/>
  <c r="E1071" i="12"/>
  <c r="F1071" i="12"/>
  <c r="G1071" i="12"/>
  <c r="A1072" i="12"/>
  <c r="B1072" i="12"/>
  <c r="C1072" i="12"/>
  <c r="D1072" i="12"/>
  <c r="E1072" i="12"/>
  <c r="F1072" i="12"/>
  <c r="G1072" i="12"/>
  <c r="A1073" i="12"/>
  <c r="B1073" i="12"/>
  <c r="C1073" i="12"/>
  <c r="D1073" i="12"/>
  <c r="E1073" i="12"/>
  <c r="F1073" i="12"/>
  <c r="G1073" i="12"/>
  <c r="A1074" i="12"/>
  <c r="B1074" i="12"/>
  <c r="C1074" i="12"/>
  <c r="D1074" i="12"/>
  <c r="E1074" i="12"/>
  <c r="F1074" i="12"/>
  <c r="G1074" i="12"/>
  <c r="A1075" i="12"/>
  <c r="B1075" i="12"/>
  <c r="C1075" i="12"/>
  <c r="D1075" i="12"/>
  <c r="E1075" i="12"/>
  <c r="F1075" i="12"/>
  <c r="G1075" i="12"/>
  <c r="A1076" i="12"/>
  <c r="B1076" i="12"/>
  <c r="C1076" i="12"/>
  <c r="D1076" i="12"/>
  <c r="E1076" i="12"/>
  <c r="F1076" i="12"/>
  <c r="G1076" i="12"/>
  <c r="A1077" i="12"/>
  <c r="B1077" i="12"/>
  <c r="C1077" i="12"/>
  <c r="D1077" i="12"/>
  <c r="E1077" i="12"/>
  <c r="F1077" i="12"/>
  <c r="G1077" i="12"/>
  <c r="A1078" i="12"/>
  <c r="B1078" i="12"/>
  <c r="C1078" i="12"/>
  <c r="D1078" i="12"/>
  <c r="E1078" i="12"/>
  <c r="F1078" i="12"/>
  <c r="G1078" i="12"/>
  <c r="A1079" i="12"/>
  <c r="B1079" i="12"/>
  <c r="C1079" i="12"/>
  <c r="D1079" i="12"/>
  <c r="E1079" i="12"/>
  <c r="F1079" i="12"/>
  <c r="G1079" i="12"/>
  <c r="A1080" i="12"/>
  <c r="B1080" i="12"/>
  <c r="C1080" i="12"/>
  <c r="D1080" i="12"/>
  <c r="E1080" i="12"/>
  <c r="F1080" i="12"/>
  <c r="G1080" i="12"/>
  <c r="A1081" i="12"/>
  <c r="B1081" i="12"/>
  <c r="C1081" i="12"/>
  <c r="D1081" i="12"/>
  <c r="E1081" i="12"/>
  <c r="F1081" i="12"/>
  <c r="G1081" i="12"/>
  <c r="A1082" i="12"/>
  <c r="B1082" i="12"/>
  <c r="C1082" i="12"/>
  <c r="D1082" i="12"/>
  <c r="E1082" i="12"/>
  <c r="F1082" i="12"/>
  <c r="G1082" i="12"/>
  <c r="A1083" i="12"/>
  <c r="B1083" i="12"/>
  <c r="C1083" i="12"/>
  <c r="D1083" i="12"/>
  <c r="E1083" i="12"/>
  <c r="F1083" i="12"/>
  <c r="G1083" i="12"/>
  <c r="A1084" i="12"/>
  <c r="B1084" i="12"/>
  <c r="C1084" i="12"/>
  <c r="D1084" i="12"/>
  <c r="E1084" i="12"/>
  <c r="F1084" i="12"/>
  <c r="G1084" i="12"/>
  <c r="A1085" i="12"/>
  <c r="B1085" i="12"/>
  <c r="C1085" i="12"/>
  <c r="D1085" i="12"/>
  <c r="E1085" i="12"/>
  <c r="F1085" i="12"/>
  <c r="G1085" i="12"/>
  <c r="A1086" i="12"/>
  <c r="B1086" i="12"/>
  <c r="C1086" i="12"/>
  <c r="D1086" i="12"/>
  <c r="E1086" i="12"/>
  <c r="F1086" i="12"/>
  <c r="G1086" i="12"/>
  <c r="A1087" i="12"/>
  <c r="B1087" i="12"/>
  <c r="C1087" i="12"/>
  <c r="D1087" i="12"/>
  <c r="E1087" i="12"/>
  <c r="F1087" i="12"/>
  <c r="G1087" i="12"/>
  <c r="A1088" i="12"/>
  <c r="B1088" i="12"/>
  <c r="C1088" i="12"/>
  <c r="D1088" i="12"/>
  <c r="E1088" i="12"/>
  <c r="F1088" i="12"/>
  <c r="G1088" i="12"/>
  <c r="A1089" i="12"/>
  <c r="B1089" i="12"/>
  <c r="C1089" i="12"/>
  <c r="D1089" i="12"/>
  <c r="E1089" i="12"/>
  <c r="F1089" i="12"/>
  <c r="G1089" i="12"/>
  <c r="A1090" i="12"/>
  <c r="B1090" i="12"/>
  <c r="C1090" i="12"/>
  <c r="D1090" i="12"/>
  <c r="E1090" i="12"/>
  <c r="F1090" i="12"/>
  <c r="G1090" i="12"/>
  <c r="A1091" i="12"/>
  <c r="B1091" i="12"/>
  <c r="C1091" i="12"/>
  <c r="D1091" i="12"/>
  <c r="E1091" i="12"/>
  <c r="F1091" i="12"/>
  <c r="G1091" i="12"/>
  <c r="A1092" i="12"/>
  <c r="B1092" i="12"/>
  <c r="C1092" i="12"/>
  <c r="D1092" i="12"/>
  <c r="E1092" i="12"/>
  <c r="F1092" i="12"/>
  <c r="G1092" i="12"/>
  <c r="A1093" i="12"/>
  <c r="B1093" i="12"/>
  <c r="C1093" i="12"/>
  <c r="D1093" i="12"/>
  <c r="E1093" i="12"/>
  <c r="F1093" i="12"/>
  <c r="G1093" i="12"/>
  <c r="A1094" i="12"/>
  <c r="B1094" i="12"/>
  <c r="C1094" i="12"/>
  <c r="D1094" i="12"/>
  <c r="E1094" i="12"/>
  <c r="F1094" i="12"/>
  <c r="G1094" i="12"/>
  <c r="A1095" i="12"/>
  <c r="B1095" i="12"/>
  <c r="C1095" i="12"/>
  <c r="D1095" i="12"/>
  <c r="E1095" i="12"/>
  <c r="F1095" i="12"/>
  <c r="G1095" i="12"/>
  <c r="A1096" i="12"/>
  <c r="B1096" i="12"/>
  <c r="C1096" i="12"/>
  <c r="D1096" i="12"/>
  <c r="E1096" i="12"/>
  <c r="F1096" i="12"/>
  <c r="G1096" i="12"/>
  <c r="A1097" i="12"/>
  <c r="B1097" i="12"/>
  <c r="C1097" i="12"/>
  <c r="D1097" i="12"/>
  <c r="E1097" i="12"/>
  <c r="F1097" i="12"/>
  <c r="G1097" i="12"/>
  <c r="A1098" i="12"/>
  <c r="B1098" i="12"/>
  <c r="C1098" i="12"/>
  <c r="D1098" i="12"/>
  <c r="E1098" i="12"/>
  <c r="F1098" i="12"/>
  <c r="G1098" i="12"/>
  <c r="A1099" i="12"/>
  <c r="B1099" i="12"/>
  <c r="C1099" i="12"/>
  <c r="D1099" i="12"/>
  <c r="E1099" i="12"/>
  <c r="F1099" i="12"/>
  <c r="G1099" i="12"/>
  <c r="A1100" i="12"/>
  <c r="B1100" i="12"/>
  <c r="C1100" i="12"/>
  <c r="D1100" i="12"/>
  <c r="E1100" i="12"/>
  <c r="F1100" i="12"/>
  <c r="G1100" i="12"/>
  <c r="A1101" i="12"/>
  <c r="B1101" i="12"/>
  <c r="C1101" i="12"/>
  <c r="D1101" i="12"/>
  <c r="E1101" i="12"/>
  <c r="F1101" i="12"/>
  <c r="G1101" i="12"/>
  <c r="A1102" i="12"/>
  <c r="B1102" i="12"/>
  <c r="C1102" i="12"/>
  <c r="D1102" i="12"/>
  <c r="E1102" i="12"/>
  <c r="F1102" i="12"/>
  <c r="G1102" i="12"/>
  <c r="A1103" i="12"/>
  <c r="B1103" i="12"/>
  <c r="C1103" i="12"/>
  <c r="D1103" i="12"/>
  <c r="E1103" i="12"/>
  <c r="F1103" i="12"/>
  <c r="G1103" i="12"/>
  <c r="A1104" i="12"/>
  <c r="B1104" i="12"/>
  <c r="C1104" i="12"/>
  <c r="D1104" i="12"/>
  <c r="E1104" i="12"/>
  <c r="F1104" i="12"/>
  <c r="G1104" i="12"/>
  <c r="A1105" i="12"/>
  <c r="B1105" i="12"/>
  <c r="C1105" i="12"/>
  <c r="D1105" i="12"/>
  <c r="E1105" i="12"/>
  <c r="F1105" i="12"/>
  <c r="G1105" i="12"/>
  <c r="A1106" i="12"/>
  <c r="B1106" i="12"/>
  <c r="C1106" i="12"/>
  <c r="D1106" i="12"/>
  <c r="E1106" i="12"/>
  <c r="F1106" i="12"/>
  <c r="G1106" i="12"/>
  <c r="A1107" i="12"/>
  <c r="B1107" i="12"/>
  <c r="C1107" i="12"/>
  <c r="D1107" i="12"/>
  <c r="E1107" i="12"/>
  <c r="F1107" i="12"/>
  <c r="G1107" i="12"/>
  <c r="A1108" i="12"/>
  <c r="B1108" i="12"/>
  <c r="C1108" i="12"/>
  <c r="D1108" i="12"/>
  <c r="E1108" i="12"/>
  <c r="F1108" i="12"/>
  <c r="G1108" i="12"/>
  <c r="A1109" i="12"/>
  <c r="B1109" i="12"/>
  <c r="C1109" i="12"/>
  <c r="D1109" i="12"/>
  <c r="E1109" i="12"/>
  <c r="F1109" i="12"/>
  <c r="G1109" i="12"/>
  <c r="A1110" i="12"/>
  <c r="B1110" i="12"/>
  <c r="C1110" i="12"/>
  <c r="D1110" i="12"/>
  <c r="E1110" i="12"/>
  <c r="F1110" i="12"/>
  <c r="G1110" i="12"/>
  <c r="A1111" i="12"/>
  <c r="B1111" i="12"/>
  <c r="C1111" i="12"/>
  <c r="D1111" i="12"/>
  <c r="E1111" i="12"/>
  <c r="F1111" i="12"/>
  <c r="G1111" i="12"/>
  <c r="A1112" i="12"/>
  <c r="B1112" i="12"/>
  <c r="C1112" i="12"/>
  <c r="D1112" i="12"/>
  <c r="E1112" i="12"/>
  <c r="F1112" i="12"/>
  <c r="G1112" i="12"/>
  <c r="A1113" i="12"/>
  <c r="B1113" i="12"/>
  <c r="C1113" i="12"/>
  <c r="D1113" i="12"/>
  <c r="E1113" i="12"/>
  <c r="F1113" i="12"/>
  <c r="G1113" i="12"/>
  <c r="A1114" i="12"/>
  <c r="B1114" i="12"/>
  <c r="C1114" i="12"/>
  <c r="D1114" i="12"/>
  <c r="E1114" i="12"/>
  <c r="F1114" i="12"/>
  <c r="G1114" i="12"/>
  <c r="A1115" i="12"/>
  <c r="B1115" i="12"/>
  <c r="C1115" i="12"/>
  <c r="D1115" i="12"/>
  <c r="E1115" i="12"/>
  <c r="F1115" i="12"/>
  <c r="G1115" i="12"/>
  <c r="A1116" i="12"/>
  <c r="B1116" i="12"/>
  <c r="C1116" i="12"/>
  <c r="D1116" i="12"/>
  <c r="E1116" i="12"/>
  <c r="F1116" i="12"/>
  <c r="G1116" i="12"/>
  <c r="A1117" i="12"/>
  <c r="B1117" i="12"/>
  <c r="C1117" i="12"/>
  <c r="D1117" i="12"/>
  <c r="E1117" i="12"/>
  <c r="F1117" i="12"/>
  <c r="G1117" i="12"/>
  <c r="A1118" i="12"/>
  <c r="B1118" i="12"/>
  <c r="C1118" i="12"/>
  <c r="D1118" i="12"/>
  <c r="E1118" i="12"/>
  <c r="F1118" i="12"/>
  <c r="G1118" i="12"/>
  <c r="A1119" i="12"/>
  <c r="B1119" i="12"/>
  <c r="C1119" i="12"/>
  <c r="D1119" i="12"/>
  <c r="E1119" i="12"/>
  <c r="F1119" i="12"/>
  <c r="G1119" i="12"/>
  <c r="A1120" i="12"/>
  <c r="B1120" i="12"/>
  <c r="C1120" i="12"/>
  <c r="D1120" i="12"/>
  <c r="E1120" i="12"/>
  <c r="F1120" i="12"/>
  <c r="G1120" i="12"/>
  <c r="A1121" i="12"/>
  <c r="B1121" i="12"/>
  <c r="C1121" i="12"/>
  <c r="D1121" i="12"/>
  <c r="E1121" i="12"/>
  <c r="F1121" i="12"/>
  <c r="G1121" i="12"/>
  <c r="A1122" i="12"/>
  <c r="B1122" i="12"/>
  <c r="C1122" i="12"/>
  <c r="D1122" i="12"/>
  <c r="E1122" i="12"/>
  <c r="F1122" i="12"/>
  <c r="G1122" i="12"/>
  <c r="A1123" i="12"/>
  <c r="B1123" i="12"/>
  <c r="C1123" i="12"/>
  <c r="D1123" i="12"/>
  <c r="E1123" i="12"/>
  <c r="F1123" i="12"/>
  <c r="G1123" i="12"/>
  <c r="A1124" i="12"/>
  <c r="B1124" i="12"/>
  <c r="C1124" i="12"/>
  <c r="D1124" i="12"/>
  <c r="E1124" i="12"/>
  <c r="F1124" i="12"/>
  <c r="G1124" i="12"/>
  <c r="A1125" i="12"/>
  <c r="B1125" i="12"/>
  <c r="C1125" i="12"/>
  <c r="D1125" i="12"/>
  <c r="E1125" i="12"/>
  <c r="F1125" i="12"/>
  <c r="G1125" i="12"/>
  <c r="A1126" i="12"/>
  <c r="B1126" i="12"/>
  <c r="C1126" i="12"/>
  <c r="D1126" i="12"/>
  <c r="E1126" i="12"/>
  <c r="F1126" i="12"/>
  <c r="G1126" i="12"/>
  <c r="A1127" i="12"/>
  <c r="B1127" i="12"/>
  <c r="C1127" i="12"/>
  <c r="D1127" i="12"/>
  <c r="E1127" i="12"/>
  <c r="F1127" i="12"/>
  <c r="G1127" i="12"/>
  <c r="A1128" i="12"/>
  <c r="B1128" i="12"/>
  <c r="C1128" i="12"/>
  <c r="D1128" i="12"/>
  <c r="E1128" i="12"/>
  <c r="F1128" i="12"/>
  <c r="G1128" i="12"/>
  <c r="A1129" i="12"/>
  <c r="B1129" i="12"/>
  <c r="C1129" i="12"/>
  <c r="D1129" i="12"/>
  <c r="E1129" i="12"/>
  <c r="F1129" i="12"/>
  <c r="G1129" i="12"/>
  <c r="A1130" i="12"/>
  <c r="B1130" i="12"/>
  <c r="C1130" i="12"/>
  <c r="D1130" i="12"/>
  <c r="E1130" i="12"/>
  <c r="F1130" i="12"/>
  <c r="G1130" i="12"/>
  <c r="A1131" i="12"/>
  <c r="B1131" i="12"/>
  <c r="C1131" i="12"/>
  <c r="D1131" i="12"/>
  <c r="E1131" i="12"/>
  <c r="F1131" i="12"/>
  <c r="G1131" i="12"/>
  <c r="A1132" i="12"/>
  <c r="B1132" i="12"/>
  <c r="C1132" i="12"/>
  <c r="D1132" i="12"/>
  <c r="E1132" i="12"/>
  <c r="F1132" i="12"/>
  <c r="G1132" i="12"/>
  <c r="A1133" i="12"/>
  <c r="B1133" i="12"/>
  <c r="C1133" i="12"/>
  <c r="D1133" i="12"/>
  <c r="E1133" i="12"/>
  <c r="F1133" i="12"/>
  <c r="G1133" i="12"/>
  <c r="A1134" i="12"/>
  <c r="B1134" i="12"/>
  <c r="C1134" i="12"/>
  <c r="D1134" i="12"/>
  <c r="E1134" i="12"/>
  <c r="F1134" i="12"/>
  <c r="G1134" i="12"/>
  <c r="A1135" i="12"/>
  <c r="B1135" i="12"/>
  <c r="C1135" i="12"/>
  <c r="D1135" i="12"/>
  <c r="E1135" i="12"/>
  <c r="F1135" i="12"/>
  <c r="G1135" i="12"/>
  <c r="A1136" i="12"/>
  <c r="B1136" i="12"/>
  <c r="C1136" i="12"/>
  <c r="D1136" i="12"/>
  <c r="E1136" i="12"/>
  <c r="F1136" i="12"/>
  <c r="G1136" i="12"/>
  <c r="A1137" i="12"/>
  <c r="B1137" i="12"/>
  <c r="C1137" i="12"/>
  <c r="D1137" i="12"/>
  <c r="E1137" i="12"/>
  <c r="F1137" i="12"/>
  <c r="G1137" i="12"/>
  <c r="A1138" i="12"/>
  <c r="B1138" i="12"/>
  <c r="C1138" i="12"/>
  <c r="D1138" i="12"/>
  <c r="E1138" i="12"/>
  <c r="F1138" i="12"/>
  <c r="G1138" i="12"/>
  <c r="A1139" i="12"/>
  <c r="B1139" i="12"/>
  <c r="C1139" i="12"/>
  <c r="D1139" i="12"/>
  <c r="E1139" i="12"/>
  <c r="F1139" i="12"/>
  <c r="G1139" i="12"/>
  <c r="A1140" i="12"/>
  <c r="B1140" i="12"/>
  <c r="C1140" i="12"/>
  <c r="D1140" i="12"/>
  <c r="E1140" i="12"/>
  <c r="F1140" i="12"/>
  <c r="G1140" i="12"/>
  <c r="A1141" i="12"/>
  <c r="B1141" i="12"/>
  <c r="C1141" i="12"/>
  <c r="D1141" i="12"/>
  <c r="E1141" i="12"/>
  <c r="F1141" i="12"/>
  <c r="G1141" i="12"/>
  <c r="A1142" i="12"/>
  <c r="B1142" i="12"/>
  <c r="C1142" i="12"/>
  <c r="D1142" i="12"/>
  <c r="E1142" i="12"/>
  <c r="F1142" i="12"/>
  <c r="G1142" i="12"/>
  <c r="A1143" i="12"/>
  <c r="B1143" i="12"/>
  <c r="C1143" i="12"/>
  <c r="D1143" i="12"/>
  <c r="E1143" i="12"/>
  <c r="F1143" i="12"/>
  <c r="G1143" i="12"/>
  <c r="A1144" i="12"/>
  <c r="B1144" i="12"/>
  <c r="C1144" i="12"/>
  <c r="D1144" i="12"/>
  <c r="E1144" i="12"/>
  <c r="F1144" i="12"/>
  <c r="G1144" i="12"/>
  <c r="A1145" i="12"/>
  <c r="B1145" i="12"/>
  <c r="C1145" i="12"/>
  <c r="D1145" i="12"/>
  <c r="E1145" i="12"/>
  <c r="F1145" i="12"/>
  <c r="G1145" i="12"/>
  <c r="A1146" i="12"/>
  <c r="B1146" i="12"/>
  <c r="C1146" i="12"/>
  <c r="D1146" i="12"/>
  <c r="E1146" i="12"/>
  <c r="F1146" i="12"/>
  <c r="G1146" i="12"/>
  <c r="A1147" i="12"/>
  <c r="B1147" i="12"/>
  <c r="C1147" i="12"/>
  <c r="D1147" i="12"/>
  <c r="E1147" i="12"/>
  <c r="F1147" i="12"/>
  <c r="G1147" i="12"/>
  <c r="A1148" i="12"/>
  <c r="B1148" i="12"/>
  <c r="C1148" i="12"/>
  <c r="D1148" i="12"/>
  <c r="E1148" i="12"/>
  <c r="F1148" i="12"/>
  <c r="G1148" i="12"/>
  <c r="A1149" i="12"/>
  <c r="B1149" i="12"/>
  <c r="C1149" i="12"/>
  <c r="D1149" i="12"/>
  <c r="E1149" i="12"/>
  <c r="F1149" i="12"/>
  <c r="G1149" i="12"/>
  <c r="A1150" i="12"/>
  <c r="B1150" i="12"/>
  <c r="C1150" i="12"/>
  <c r="D1150" i="12"/>
  <c r="E1150" i="12"/>
  <c r="F1150" i="12"/>
  <c r="G1150" i="12"/>
  <c r="A1151" i="12"/>
  <c r="B1151" i="12"/>
  <c r="C1151" i="12"/>
  <c r="D1151" i="12"/>
  <c r="E1151" i="12"/>
  <c r="F1151" i="12"/>
  <c r="G1151" i="12"/>
  <c r="A1152" i="12"/>
  <c r="B1152" i="12"/>
  <c r="C1152" i="12"/>
  <c r="D1152" i="12"/>
  <c r="E1152" i="12"/>
  <c r="F1152" i="12"/>
  <c r="G1152" i="12"/>
  <c r="A1153" i="12"/>
  <c r="B1153" i="12"/>
  <c r="C1153" i="12"/>
  <c r="D1153" i="12"/>
  <c r="E1153" i="12"/>
  <c r="F1153" i="12"/>
  <c r="G1153" i="12"/>
  <c r="A1154" i="12"/>
  <c r="B1154" i="12"/>
  <c r="C1154" i="12"/>
  <c r="D1154" i="12"/>
  <c r="E1154" i="12"/>
  <c r="F1154" i="12"/>
  <c r="G1154" i="12"/>
  <c r="A1155" i="12"/>
  <c r="B1155" i="12"/>
  <c r="C1155" i="12"/>
  <c r="D1155" i="12"/>
  <c r="E1155" i="12"/>
  <c r="F1155" i="12"/>
  <c r="G1155" i="12"/>
  <c r="A1156" i="12"/>
  <c r="B1156" i="12"/>
  <c r="C1156" i="12"/>
  <c r="D1156" i="12"/>
  <c r="E1156" i="12"/>
  <c r="F1156" i="12"/>
  <c r="G1156" i="12"/>
  <c r="A1157" i="12"/>
  <c r="B1157" i="12"/>
  <c r="C1157" i="12"/>
  <c r="D1157" i="12"/>
  <c r="E1157" i="12"/>
  <c r="F1157" i="12"/>
  <c r="G1157" i="12"/>
  <c r="A1158" i="12"/>
  <c r="B1158" i="12"/>
  <c r="C1158" i="12"/>
  <c r="D1158" i="12"/>
  <c r="E1158" i="12"/>
  <c r="F1158" i="12"/>
  <c r="G1158" i="12"/>
  <c r="A1159" i="12"/>
  <c r="B1159" i="12"/>
  <c r="C1159" i="12"/>
  <c r="D1159" i="12"/>
  <c r="E1159" i="12"/>
  <c r="F1159" i="12"/>
  <c r="G1159" i="12"/>
  <c r="A1160" i="12"/>
  <c r="B1160" i="12"/>
  <c r="C1160" i="12"/>
  <c r="D1160" i="12"/>
  <c r="E1160" i="12"/>
  <c r="F1160" i="12"/>
  <c r="G1160" i="12"/>
  <c r="A1161" i="12"/>
  <c r="B1161" i="12"/>
  <c r="C1161" i="12"/>
  <c r="D1161" i="12"/>
  <c r="E1161" i="12"/>
  <c r="F1161" i="12"/>
  <c r="G1161" i="12"/>
  <c r="A1162" i="12"/>
  <c r="B1162" i="12"/>
  <c r="C1162" i="12"/>
  <c r="D1162" i="12"/>
  <c r="E1162" i="12"/>
  <c r="F1162" i="12"/>
  <c r="G1162" i="12"/>
  <c r="A1163" i="12"/>
  <c r="B1163" i="12"/>
  <c r="C1163" i="12"/>
  <c r="D1163" i="12"/>
  <c r="E1163" i="12"/>
  <c r="F1163" i="12"/>
  <c r="G1163" i="12"/>
  <c r="A1164" i="12"/>
  <c r="B1164" i="12"/>
  <c r="C1164" i="12"/>
  <c r="D1164" i="12"/>
  <c r="E1164" i="12"/>
  <c r="F1164" i="12"/>
  <c r="G1164" i="12"/>
  <c r="A1165" i="12"/>
  <c r="B1165" i="12"/>
  <c r="C1165" i="12"/>
  <c r="D1165" i="12"/>
  <c r="E1165" i="12"/>
  <c r="F1165" i="12"/>
  <c r="G1165" i="12"/>
  <c r="A1166" i="12"/>
  <c r="B1166" i="12"/>
  <c r="C1166" i="12"/>
  <c r="D1166" i="12"/>
  <c r="E1166" i="12"/>
  <c r="F1166" i="12"/>
  <c r="G1166" i="12"/>
  <c r="A1167" i="12"/>
  <c r="B1167" i="12"/>
  <c r="C1167" i="12"/>
  <c r="D1167" i="12"/>
  <c r="E1167" i="12"/>
  <c r="F1167" i="12"/>
  <c r="G1167" i="12"/>
  <c r="A1168" i="12"/>
  <c r="B1168" i="12"/>
  <c r="C1168" i="12"/>
  <c r="D1168" i="12"/>
  <c r="E1168" i="12"/>
  <c r="F1168" i="12"/>
  <c r="G1168" i="12"/>
  <c r="A1169" i="12"/>
  <c r="B1169" i="12"/>
  <c r="C1169" i="12"/>
  <c r="D1169" i="12"/>
  <c r="E1169" i="12"/>
  <c r="F1169" i="12"/>
  <c r="G1169" i="12"/>
  <c r="A1170" i="12"/>
  <c r="B1170" i="12"/>
  <c r="C1170" i="12"/>
  <c r="D1170" i="12"/>
  <c r="E1170" i="12"/>
  <c r="F1170" i="12"/>
  <c r="G1170" i="12"/>
  <c r="A1171" i="12"/>
  <c r="B1171" i="12"/>
  <c r="C1171" i="12"/>
  <c r="D1171" i="12"/>
  <c r="E1171" i="12"/>
  <c r="F1171" i="12"/>
  <c r="G1171" i="12"/>
  <c r="A1172" i="12"/>
  <c r="B1172" i="12"/>
  <c r="C1172" i="12"/>
  <c r="D1172" i="12"/>
  <c r="E1172" i="12"/>
  <c r="F1172" i="12"/>
  <c r="G1172" i="12"/>
  <c r="A1173" i="12"/>
  <c r="B1173" i="12"/>
  <c r="C1173" i="12"/>
  <c r="D1173" i="12"/>
  <c r="E1173" i="12"/>
  <c r="F1173" i="12"/>
  <c r="G1173" i="12"/>
  <c r="A1174" i="12"/>
  <c r="B1174" i="12"/>
  <c r="C1174" i="12"/>
  <c r="D1174" i="12"/>
  <c r="E1174" i="12"/>
  <c r="F1174" i="12"/>
  <c r="G1174" i="12"/>
  <c r="A1175" i="12"/>
  <c r="B1175" i="12"/>
  <c r="C1175" i="12"/>
  <c r="D1175" i="12"/>
  <c r="E1175" i="12"/>
  <c r="F1175" i="12"/>
  <c r="G1175" i="12"/>
  <c r="A1176" i="12"/>
  <c r="B1176" i="12"/>
  <c r="C1176" i="12"/>
  <c r="D1176" i="12"/>
  <c r="E1176" i="12"/>
  <c r="F1176" i="12"/>
  <c r="G1176" i="12"/>
  <c r="A1177" i="12"/>
  <c r="B1177" i="12"/>
  <c r="C1177" i="12"/>
  <c r="D1177" i="12"/>
  <c r="E1177" i="12"/>
  <c r="F1177" i="12"/>
  <c r="G1177" i="12"/>
  <c r="A1178" i="12"/>
  <c r="B1178" i="12"/>
  <c r="C1178" i="12"/>
  <c r="D1178" i="12"/>
  <c r="E1178" i="12"/>
  <c r="F1178" i="12"/>
  <c r="G1178" i="12"/>
  <c r="A1179" i="12"/>
  <c r="B1179" i="12"/>
  <c r="C1179" i="12"/>
  <c r="D1179" i="12"/>
  <c r="E1179" i="12"/>
  <c r="F1179" i="12"/>
  <c r="G1179" i="12"/>
  <c r="A1180" i="12"/>
  <c r="B1180" i="12"/>
  <c r="C1180" i="12"/>
  <c r="D1180" i="12"/>
  <c r="E1180" i="12"/>
  <c r="F1180" i="12"/>
  <c r="G1180" i="12"/>
  <c r="A1181" i="12"/>
  <c r="B1181" i="12"/>
  <c r="C1181" i="12"/>
  <c r="D1181" i="12"/>
  <c r="E1181" i="12"/>
  <c r="F1181" i="12"/>
  <c r="G1181" i="12"/>
  <c r="A1182" i="12"/>
  <c r="B1182" i="12"/>
  <c r="C1182" i="12"/>
  <c r="D1182" i="12"/>
  <c r="E1182" i="12"/>
  <c r="F1182" i="12"/>
  <c r="G1182" i="12"/>
  <c r="A1183" i="12"/>
  <c r="B1183" i="12"/>
  <c r="C1183" i="12"/>
  <c r="D1183" i="12"/>
  <c r="E1183" i="12"/>
  <c r="F1183" i="12"/>
  <c r="G1183" i="12"/>
  <c r="A1184" i="12"/>
  <c r="B1184" i="12"/>
  <c r="C1184" i="12"/>
  <c r="D1184" i="12"/>
  <c r="E1184" i="12"/>
  <c r="F1184" i="12"/>
  <c r="G1184" i="12"/>
  <c r="A1185" i="12"/>
  <c r="B1185" i="12"/>
  <c r="C1185" i="12"/>
  <c r="D1185" i="12"/>
  <c r="E1185" i="12"/>
  <c r="F1185" i="12"/>
  <c r="G1185" i="12"/>
  <c r="A1186" i="12"/>
  <c r="B1186" i="12"/>
  <c r="C1186" i="12"/>
  <c r="D1186" i="12"/>
  <c r="E1186" i="12"/>
  <c r="F1186" i="12"/>
  <c r="G1186" i="12"/>
  <c r="A1187" i="12"/>
  <c r="B1187" i="12"/>
  <c r="C1187" i="12"/>
  <c r="D1187" i="12"/>
  <c r="E1187" i="12"/>
  <c r="F1187" i="12"/>
  <c r="G1187" i="12"/>
  <c r="A1188" i="12"/>
  <c r="B1188" i="12"/>
  <c r="C1188" i="12"/>
  <c r="D1188" i="12"/>
  <c r="E1188" i="12"/>
  <c r="F1188" i="12"/>
  <c r="G1188" i="12"/>
  <c r="A1189" i="12"/>
  <c r="B1189" i="12"/>
  <c r="C1189" i="12"/>
  <c r="D1189" i="12"/>
  <c r="E1189" i="12"/>
  <c r="F1189" i="12"/>
  <c r="G1189" i="12"/>
  <c r="A1190" i="12"/>
  <c r="B1190" i="12"/>
  <c r="C1190" i="12"/>
  <c r="D1190" i="12"/>
  <c r="E1190" i="12"/>
  <c r="F1190" i="12"/>
  <c r="G1190" i="12"/>
  <c r="A1191" i="12"/>
  <c r="B1191" i="12"/>
  <c r="C1191" i="12"/>
  <c r="D1191" i="12"/>
  <c r="E1191" i="12"/>
  <c r="F1191" i="12"/>
  <c r="G1191" i="12"/>
  <c r="A1192" i="12"/>
  <c r="B1192" i="12"/>
  <c r="C1192" i="12"/>
  <c r="D1192" i="12"/>
  <c r="E1192" i="12"/>
  <c r="F1192" i="12"/>
  <c r="G1192" i="12"/>
  <c r="A1193" i="12"/>
  <c r="B1193" i="12"/>
  <c r="C1193" i="12"/>
  <c r="D1193" i="12"/>
  <c r="E1193" i="12"/>
  <c r="F1193" i="12"/>
  <c r="G1193" i="12"/>
  <c r="A1194" i="12"/>
  <c r="B1194" i="12"/>
  <c r="C1194" i="12"/>
  <c r="D1194" i="12"/>
  <c r="E1194" i="12"/>
  <c r="F1194" i="12"/>
  <c r="G1194" i="12"/>
  <c r="A1195" i="12"/>
  <c r="B1195" i="12"/>
  <c r="C1195" i="12"/>
  <c r="D1195" i="12"/>
  <c r="E1195" i="12"/>
  <c r="F1195" i="12"/>
  <c r="G1195" i="12"/>
  <c r="A1196" i="12"/>
  <c r="B1196" i="12"/>
  <c r="C1196" i="12"/>
  <c r="D1196" i="12"/>
  <c r="E1196" i="12"/>
  <c r="F1196" i="12"/>
  <c r="G1196" i="12"/>
  <c r="A1197" i="12"/>
  <c r="B1197" i="12"/>
  <c r="C1197" i="12"/>
  <c r="D1197" i="12"/>
  <c r="E1197" i="12"/>
  <c r="F1197" i="12"/>
  <c r="G1197" i="12"/>
  <c r="A1198" i="12"/>
  <c r="B1198" i="12"/>
  <c r="C1198" i="12"/>
  <c r="D1198" i="12"/>
  <c r="E1198" i="12"/>
  <c r="F1198" i="12"/>
  <c r="G1198" i="12"/>
  <c r="A1199" i="12"/>
  <c r="B1199" i="12"/>
  <c r="C1199" i="12"/>
  <c r="D1199" i="12"/>
  <c r="E1199" i="12"/>
  <c r="F1199" i="12"/>
  <c r="G1199" i="12"/>
  <c r="A1200" i="12"/>
  <c r="B1200" i="12"/>
  <c r="C1200" i="12"/>
  <c r="D1200" i="12"/>
  <c r="E1200" i="12"/>
  <c r="F1200" i="12"/>
  <c r="G1200" i="12"/>
  <c r="A1201" i="12"/>
  <c r="B1201" i="12"/>
  <c r="C1201" i="12"/>
  <c r="D1201" i="12"/>
  <c r="E1201" i="12"/>
  <c r="F1201" i="12"/>
  <c r="G1201" i="12"/>
  <c r="A1202" i="12"/>
  <c r="B1202" i="12"/>
  <c r="C1202" i="12"/>
  <c r="D1202" i="12"/>
  <c r="E1202" i="12"/>
  <c r="F1202" i="12"/>
  <c r="G1202" i="12"/>
  <c r="A1203" i="12"/>
  <c r="B1203" i="12"/>
  <c r="C1203" i="12"/>
  <c r="D1203" i="12"/>
  <c r="E1203" i="12"/>
  <c r="F1203" i="12"/>
  <c r="G1203" i="12"/>
  <c r="A1204" i="12"/>
  <c r="B1204" i="12"/>
  <c r="C1204" i="12"/>
  <c r="D1204" i="12"/>
  <c r="E1204" i="12"/>
  <c r="F1204" i="12"/>
  <c r="G1204" i="12"/>
  <c r="A1205" i="12"/>
  <c r="B1205" i="12"/>
  <c r="C1205" i="12"/>
  <c r="D1205" i="12"/>
  <c r="E1205" i="12"/>
  <c r="F1205" i="12"/>
  <c r="G1205" i="12"/>
  <c r="A1206" i="12"/>
  <c r="B1206" i="12"/>
  <c r="C1206" i="12"/>
  <c r="D1206" i="12"/>
  <c r="E1206" i="12"/>
  <c r="F1206" i="12"/>
  <c r="G1206" i="12"/>
  <c r="A1207" i="12"/>
  <c r="B1207" i="12"/>
  <c r="C1207" i="12"/>
  <c r="D1207" i="12"/>
  <c r="E1207" i="12"/>
  <c r="F1207" i="12"/>
  <c r="G1207" i="12"/>
  <c r="A1208" i="12"/>
  <c r="B1208" i="12"/>
  <c r="C1208" i="12"/>
  <c r="D1208" i="12"/>
  <c r="E1208" i="12"/>
  <c r="F1208" i="12"/>
  <c r="G1208" i="12"/>
  <c r="A1209" i="12"/>
  <c r="B1209" i="12"/>
  <c r="C1209" i="12"/>
  <c r="D1209" i="12"/>
  <c r="E1209" i="12"/>
  <c r="F1209" i="12"/>
  <c r="G1209" i="12"/>
  <c r="A1210" i="12"/>
  <c r="B1210" i="12"/>
  <c r="C1210" i="12"/>
  <c r="D1210" i="12"/>
  <c r="E1210" i="12"/>
  <c r="F1210" i="12"/>
  <c r="G1210" i="12"/>
  <c r="A1211" i="12"/>
  <c r="B1211" i="12"/>
  <c r="C1211" i="12"/>
  <c r="D1211" i="12"/>
  <c r="E1211" i="12"/>
  <c r="F1211" i="12"/>
  <c r="G1211" i="12"/>
  <c r="A1212" i="12"/>
  <c r="B1212" i="12"/>
  <c r="C1212" i="12"/>
  <c r="D1212" i="12"/>
  <c r="E1212" i="12"/>
  <c r="F1212" i="12"/>
  <c r="G1212" i="12"/>
  <c r="A1213" i="12"/>
  <c r="B1213" i="12"/>
  <c r="C1213" i="12"/>
  <c r="D1213" i="12"/>
  <c r="E1213" i="12"/>
  <c r="F1213" i="12"/>
  <c r="G1213" i="12"/>
  <c r="A1214" i="12"/>
  <c r="B1214" i="12"/>
  <c r="C1214" i="12"/>
  <c r="D1214" i="12"/>
  <c r="E1214" i="12"/>
  <c r="F1214" i="12"/>
  <c r="G1214" i="12"/>
  <c r="A1215" i="12"/>
  <c r="B1215" i="12"/>
  <c r="C1215" i="12"/>
  <c r="D1215" i="12"/>
  <c r="E1215" i="12"/>
  <c r="F1215" i="12"/>
  <c r="G1215" i="12"/>
  <c r="A1216" i="12"/>
  <c r="B1216" i="12"/>
  <c r="C1216" i="12"/>
  <c r="D1216" i="12"/>
  <c r="E1216" i="12"/>
  <c r="F1216" i="12"/>
  <c r="G1216" i="12"/>
  <c r="A1217" i="12"/>
  <c r="B1217" i="12"/>
  <c r="C1217" i="12"/>
  <c r="D1217" i="12"/>
  <c r="E1217" i="12"/>
  <c r="F1217" i="12"/>
  <c r="G1217" i="12"/>
  <c r="A1218" i="12"/>
  <c r="B1218" i="12"/>
  <c r="C1218" i="12"/>
  <c r="D1218" i="12"/>
  <c r="E1218" i="12"/>
  <c r="F1218" i="12"/>
  <c r="G1218" i="12"/>
  <c r="A1219" i="12"/>
  <c r="B1219" i="12"/>
  <c r="C1219" i="12"/>
  <c r="D1219" i="12"/>
  <c r="E1219" i="12"/>
  <c r="F1219" i="12"/>
  <c r="G1219" i="12"/>
  <c r="A1220" i="12"/>
  <c r="B1220" i="12"/>
  <c r="C1220" i="12"/>
  <c r="D1220" i="12"/>
  <c r="E1220" i="12"/>
  <c r="F1220" i="12"/>
  <c r="G1220" i="12"/>
  <c r="A1221" i="12"/>
  <c r="B1221" i="12"/>
  <c r="C1221" i="12"/>
  <c r="D1221" i="12"/>
  <c r="E1221" i="12"/>
  <c r="F1221" i="12"/>
  <c r="G1221" i="12"/>
  <c r="A1222" i="12"/>
  <c r="B1222" i="12"/>
  <c r="C1222" i="12"/>
  <c r="D1222" i="12"/>
  <c r="E1222" i="12"/>
  <c r="F1222" i="12"/>
  <c r="G1222" i="12"/>
  <c r="A1223" i="12"/>
  <c r="B1223" i="12"/>
  <c r="C1223" i="12"/>
  <c r="D1223" i="12"/>
  <c r="E1223" i="12"/>
  <c r="F1223" i="12"/>
  <c r="G1223" i="12"/>
  <c r="A1224" i="12"/>
  <c r="B1224" i="12"/>
  <c r="C1224" i="12"/>
  <c r="D1224" i="12"/>
  <c r="E1224" i="12"/>
  <c r="F1224" i="12"/>
  <c r="G1224" i="12"/>
  <c r="A1225" i="12"/>
  <c r="B1225" i="12"/>
  <c r="C1225" i="12"/>
  <c r="D1225" i="12"/>
  <c r="E1225" i="12"/>
  <c r="F1225" i="12"/>
  <c r="G1225" i="12"/>
  <c r="A1226" i="12"/>
  <c r="B1226" i="12"/>
  <c r="C1226" i="12"/>
  <c r="D1226" i="12"/>
  <c r="E1226" i="12"/>
  <c r="F1226" i="12"/>
  <c r="G1226" i="12"/>
  <c r="A1227" i="12"/>
  <c r="B1227" i="12"/>
  <c r="C1227" i="12"/>
  <c r="D1227" i="12"/>
  <c r="E1227" i="12"/>
  <c r="F1227" i="12"/>
  <c r="G1227" i="12"/>
  <c r="A1228" i="12"/>
  <c r="B1228" i="12"/>
  <c r="C1228" i="12"/>
  <c r="D1228" i="12"/>
  <c r="E1228" i="12"/>
  <c r="F1228" i="12"/>
  <c r="G1228" i="12"/>
  <c r="A1229" i="12"/>
  <c r="B1229" i="12"/>
  <c r="C1229" i="12"/>
  <c r="D1229" i="12"/>
  <c r="E1229" i="12"/>
  <c r="F1229" i="12"/>
  <c r="G1229" i="12"/>
  <c r="A1230" i="12"/>
  <c r="B1230" i="12"/>
  <c r="C1230" i="12"/>
  <c r="D1230" i="12"/>
  <c r="E1230" i="12"/>
  <c r="F1230" i="12"/>
  <c r="G1230" i="12"/>
  <c r="A1231" i="12"/>
  <c r="B1231" i="12"/>
  <c r="C1231" i="12"/>
  <c r="D1231" i="12"/>
  <c r="E1231" i="12"/>
  <c r="F1231" i="12"/>
  <c r="G1231" i="12"/>
  <c r="A1232" i="12"/>
  <c r="B1232" i="12"/>
  <c r="C1232" i="12"/>
  <c r="D1232" i="12"/>
  <c r="E1232" i="12"/>
  <c r="F1232" i="12"/>
  <c r="G1232" i="12"/>
  <c r="A1233" i="12"/>
  <c r="B1233" i="12"/>
  <c r="C1233" i="12"/>
  <c r="D1233" i="12"/>
  <c r="E1233" i="12"/>
  <c r="F1233" i="12"/>
  <c r="G1233" i="12"/>
  <c r="A1234" i="12"/>
  <c r="B1234" i="12"/>
  <c r="C1234" i="12"/>
  <c r="D1234" i="12"/>
  <c r="E1234" i="12"/>
  <c r="F1234" i="12"/>
  <c r="G1234" i="12"/>
  <c r="A1235" i="12"/>
  <c r="B1235" i="12"/>
  <c r="C1235" i="12"/>
  <c r="D1235" i="12"/>
  <c r="E1235" i="12"/>
  <c r="F1235" i="12"/>
  <c r="G1235" i="12"/>
  <c r="A1236" i="12"/>
  <c r="B1236" i="12"/>
  <c r="C1236" i="12"/>
  <c r="D1236" i="12"/>
  <c r="E1236" i="12"/>
  <c r="F1236" i="12"/>
  <c r="G1236" i="12"/>
  <c r="A1237" i="12"/>
  <c r="B1237" i="12"/>
  <c r="C1237" i="12"/>
  <c r="D1237" i="12"/>
  <c r="E1237" i="12"/>
  <c r="F1237" i="12"/>
  <c r="G1237" i="12"/>
  <c r="A1238" i="12"/>
  <c r="B1238" i="12"/>
  <c r="C1238" i="12"/>
  <c r="D1238" i="12"/>
  <c r="E1238" i="12"/>
  <c r="F1238" i="12"/>
  <c r="G1238" i="12"/>
  <c r="A1239" i="12"/>
  <c r="B1239" i="12"/>
  <c r="C1239" i="12"/>
  <c r="D1239" i="12"/>
  <c r="E1239" i="12"/>
  <c r="F1239" i="12"/>
  <c r="G1239" i="12"/>
  <c r="A1240" i="12"/>
  <c r="B1240" i="12"/>
  <c r="C1240" i="12"/>
  <c r="D1240" i="12"/>
  <c r="E1240" i="12"/>
  <c r="F1240" i="12"/>
  <c r="G1240" i="12"/>
  <c r="A1241" i="12"/>
  <c r="B1241" i="12"/>
  <c r="C1241" i="12"/>
  <c r="D1241" i="12"/>
  <c r="E1241" i="12"/>
  <c r="F1241" i="12"/>
  <c r="G1241" i="12"/>
  <c r="A1242" i="12"/>
  <c r="B1242" i="12"/>
  <c r="C1242" i="12"/>
  <c r="D1242" i="12"/>
  <c r="E1242" i="12"/>
  <c r="F1242" i="12"/>
  <c r="G1242" i="12"/>
  <c r="A1243" i="12"/>
  <c r="B1243" i="12"/>
  <c r="C1243" i="12"/>
  <c r="D1243" i="12"/>
  <c r="E1243" i="12"/>
  <c r="F1243" i="12"/>
  <c r="G1243" i="12"/>
  <c r="A1244" i="12"/>
  <c r="B1244" i="12"/>
  <c r="C1244" i="12"/>
  <c r="D1244" i="12"/>
  <c r="E1244" i="12"/>
  <c r="F1244" i="12"/>
  <c r="G1244" i="12"/>
  <c r="A1245" i="12"/>
  <c r="B1245" i="12"/>
  <c r="C1245" i="12"/>
  <c r="D1245" i="12"/>
  <c r="E1245" i="12"/>
  <c r="F1245" i="12"/>
  <c r="G1245" i="12"/>
  <c r="A1246" i="12"/>
  <c r="B1246" i="12"/>
  <c r="C1246" i="12"/>
  <c r="D1246" i="12"/>
  <c r="E1246" i="12"/>
  <c r="F1246" i="12"/>
  <c r="G1246" i="12"/>
  <c r="A1247" i="12"/>
  <c r="B1247" i="12"/>
  <c r="C1247" i="12"/>
  <c r="D1247" i="12"/>
  <c r="E1247" i="12"/>
  <c r="F1247" i="12"/>
  <c r="G1247" i="12"/>
  <c r="A1248" i="12"/>
  <c r="B1248" i="12"/>
  <c r="C1248" i="12"/>
  <c r="D1248" i="12"/>
  <c r="E1248" i="12"/>
  <c r="F1248" i="12"/>
  <c r="G1248" i="12"/>
  <c r="A1249" i="12"/>
  <c r="B1249" i="12"/>
  <c r="C1249" i="12"/>
  <c r="D1249" i="12"/>
  <c r="E1249" i="12"/>
  <c r="F1249" i="12"/>
  <c r="G1249" i="12"/>
  <c r="A1250" i="12"/>
  <c r="B1250" i="12"/>
  <c r="C1250" i="12"/>
  <c r="D1250" i="12"/>
  <c r="E1250" i="12"/>
  <c r="F1250" i="12"/>
  <c r="G1250" i="12"/>
  <c r="A1251" i="12"/>
  <c r="B1251" i="12"/>
  <c r="C1251" i="12"/>
  <c r="D1251" i="12"/>
  <c r="E1251" i="12"/>
  <c r="F1251" i="12"/>
  <c r="G1251" i="12"/>
  <c r="A1252" i="12"/>
  <c r="B1252" i="12"/>
  <c r="C1252" i="12"/>
  <c r="D1252" i="12"/>
  <c r="E1252" i="12"/>
  <c r="F1252" i="12"/>
  <c r="G1252" i="12"/>
  <c r="A1253" i="12"/>
  <c r="B1253" i="12"/>
  <c r="C1253" i="12"/>
  <c r="D1253" i="12"/>
  <c r="E1253" i="12"/>
  <c r="F1253" i="12"/>
  <c r="G1253" i="12"/>
  <c r="A1254" i="12"/>
  <c r="B1254" i="12"/>
  <c r="C1254" i="12"/>
  <c r="D1254" i="12"/>
  <c r="E1254" i="12"/>
  <c r="F1254" i="12"/>
  <c r="G1254" i="12"/>
  <c r="A1255" i="12"/>
  <c r="B1255" i="12"/>
  <c r="C1255" i="12"/>
  <c r="D1255" i="12"/>
  <c r="E1255" i="12"/>
  <c r="F1255" i="12"/>
  <c r="G1255" i="12"/>
  <c r="A1256" i="12"/>
  <c r="B1256" i="12"/>
  <c r="C1256" i="12"/>
  <c r="D1256" i="12"/>
  <c r="E1256" i="12"/>
  <c r="F1256" i="12"/>
  <c r="G1256" i="12"/>
  <c r="A1257" i="12"/>
  <c r="B1257" i="12"/>
  <c r="C1257" i="12"/>
  <c r="D1257" i="12"/>
  <c r="E1257" i="12"/>
  <c r="F1257" i="12"/>
  <c r="G1257" i="12"/>
  <c r="A1258" i="12"/>
  <c r="B1258" i="12"/>
  <c r="C1258" i="12"/>
  <c r="D1258" i="12"/>
  <c r="E1258" i="12"/>
  <c r="F1258" i="12"/>
  <c r="G1258" i="12"/>
  <c r="A1259" i="12"/>
  <c r="B1259" i="12"/>
  <c r="C1259" i="12"/>
  <c r="D1259" i="12"/>
  <c r="E1259" i="12"/>
  <c r="F1259" i="12"/>
  <c r="G1259" i="12"/>
  <c r="A1260" i="12"/>
  <c r="B1260" i="12"/>
  <c r="C1260" i="12"/>
  <c r="D1260" i="12"/>
  <c r="E1260" i="12"/>
  <c r="F1260" i="12"/>
  <c r="G1260" i="12"/>
  <c r="A1261" i="12"/>
  <c r="B1261" i="12"/>
  <c r="C1261" i="12"/>
  <c r="D1261" i="12"/>
  <c r="E1261" i="12"/>
  <c r="F1261" i="12"/>
  <c r="G1261" i="12"/>
  <c r="A1262" i="12"/>
  <c r="B1262" i="12"/>
  <c r="C1262" i="12"/>
  <c r="D1262" i="12"/>
  <c r="E1262" i="12"/>
  <c r="F1262" i="12"/>
  <c r="G1262" i="12"/>
  <c r="A1263" i="12"/>
  <c r="B1263" i="12"/>
  <c r="C1263" i="12"/>
  <c r="D1263" i="12"/>
  <c r="E1263" i="12"/>
  <c r="F1263" i="12"/>
  <c r="G1263" i="12"/>
  <c r="A1264" i="12"/>
  <c r="B1264" i="12"/>
  <c r="C1264" i="12"/>
  <c r="D1264" i="12"/>
  <c r="E1264" i="12"/>
  <c r="F1264" i="12"/>
  <c r="G1264" i="12"/>
  <c r="A1265" i="12"/>
  <c r="B1265" i="12"/>
  <c r="C1265" i="12"/>
  <c r="D1265" i="12"/>
  <c r="E1265" i="12"/>
  <c r="F1265" i="12"/>
  <c r="G1265" i="12"/>
  <c r="A1266" i="12"/>
  <c r="B1266" i="12"/>
  <c r="C1266" i="12"/>
  <c r="D1266" i="12"/>
  <c r="E1266" i="12"/>
  <c r="F1266" i="12"/>
  <c r="G1266" i="12"/>
  <c r="A1267" i="12"/>
  <c r="B1267" i="12"/>
  <c r="C1267" i="12"/>
  <c r="D1267" i="12"/>
  <c r="E1267" i="12"/>
  <c r="F1267" i="12"/>
  <c r="G1267" i="12"/>
  <c r="A1268" i="12"/>
  <c r="B1268" i="12"/>
  <c r="C1268" i="12"/>
  <c r="D1268" i="12"/>
  <c r="E1268" i="12"/>
  <c r="F1268" i="12"/>
  <c r="G1268" i="12"/>
  <c r="A1269" i="12"/>
  <c r="B1269" i="12"/>
  <c r="C1269" i="12"/>
  <c r="D1269" i="12"/>
  <c r="E1269" i="12"/>
  <c r="F1269" i="12"/>
  <c r="G1269" i="12"/>
  <c r="A1270" i="12"/>
  <c r="B1270" i="12"/>
  <c r="C1270" i="12"/>
  <c r="D1270" i="12"/>
  <c r="E1270" i="12"/>
  <c r="F1270" i="12"/>
  <c r="G1270" i="12"/>
  <c r="A1271" i="12"/>
  <c r="B1271" i="12"/>
  <c r="C1271" i="12"/>
  <c r="D1271" i="12"/>
  <c r="E1271" i="12"/>
  <c r="F1271" i="12"/>
  <c r="G1271" i="12"/>
  <c r="A1272" i="12"/>
  <c r="B1272" i="12"/>
  <c r="C1272" i="12"/>
  <c r="D1272" i="12"/>
  <c r="E1272" i="12"/>
  <c r="F1272" i="12"/>
  <c r="G1272" i="12"/>
  <c r="A1273" i="12"/>
  <c r="B1273" i="12"/>
  <c r="C1273" i="12"/>
  <c r="D1273" i="12"/>
  <c r="E1273" i="12"/>
  <c r="F1273" i="12"/>
  <c r="G1273" i="12"/>
  <c r="A1274" i="12"/>
  <c r="B1274" i="12"/>
  <c r="C1274" i="12"/>
  <c r="D1274" i="12"/>
  <c r="E1274" i="12"/>
  <c r="F1274" i="12"/>
  <c r="G1274" i="12"/>
  <c r="A1275" i="12"/>
  <c r="B1275" i="12"/>
  <c r="C1275" i="12"/>
  <c r="D1275" i="12"/>
  <c r="E1275" i="12"/>
  <c r="F1275" i="12"/>
  <c r="G1275" i="12"/>
  <c r="A1276" i="12"/>
  <c r="B1276" i="12"/>
  <c r="C1276" i="12"/>
  <c r="D1276" i="12"/>
  <c r="E1276" i="12"/>
  <c r="F1276" i="12"/>
  <c r="G1276" i="12"/>
  <c r="A1277" i="12"/>
  <c r="B1277" i="12"/>
  <c r="C1277" i="12"/>
  <c r="D1277" i="12"/>
  <c r="E1277" i="12"/>
  <c r="F1277" i="12"/>
  <c r="G1277" i="12"/>
  <c r="A1278" i="12"/>
  <c r="B1278" i="12"/>
  <c r="C1278" i="12"/>
  <c r="D1278" i="12"/>
  <c r="E1278" i="12"/>
  <c r="F1278" i="12"/>
  <c r="G1278" i="12"/>
  <c r="A1279" i="12"/>
  <c r="B1279" i="12"/>
  <c r="C1279" i="12"/>
  <c r="D1279" i="12"/>
  <c r="E1279" i="12"/>
  <c r="F1279" i="12"/>
  <c r="G1279" i="12"/>
  <c r="A1280" i="12"/>
  <c r="B1280" i="12"/>
  <c r="C1280" i="12"/>
  <c r="D1280" i="12"/>
  <c r="E1280" i="12"/>
  <c r="F1280" i="12"/>
  <c r="G1280" i="12"/>
  <c r="A1281" i="12"/>
  <c r="B1281" i="12"/>
  <c r="C1281" i="12"/>
  <c r="D1281" i="12"/>
  <c r="E1281" i="12"/>
  <c r="F1281" i="12"/>
  <c r="G1281" i="12"/>
  <c r="A1282" i="12"/>
  <c r="B1282" i="12"/>
  <c r="C1282" i="12"/>
  <c r="D1282" i="12"/>
  <c r="E1282" i="12"/>
  <c r="F1282" i="12"/>
  <c r="G1282" i="12"/>
  <c r="A1283" i="12"/>
  <c r="B1283" i="12"/>
  <c r="C1283" i="12"/>
  <c r="D1283" i="12"/>
  <c r="E1283" i="12"/>
  <c r="F1283" i="12"/>
  <c r="G1283" i="12"/>
  <c r="A1284" i="12"/>
  <c r="B1284" i="12"/>
  <c r="C1284" i="12"/>
  <c r="D1284" i="12"/>
  <c r="E1284" i="12"/>
  <c r="F1284" i="12"/>
  <c r="G1284" i="12"/>
  <c r="A1285" i="12"/>
  <c r="B1285" i="12"/>
  <c r="C1285" i="12"/>
  <c r="D1285" i="12"/>
  <c r="E1285" i="12"/>
  <c r="F1285" i="12"/>
  <c r="G1285" i="12"/>
  <c r="A1286" i="12"/>
  <c r="B1286" i="12"/>
  <c r="C1286" i="12"/>
  <c r="D1286" i="12"/>
  <c r="E1286" i="12"/>
  <c r="F1286" i="12"/>
  <c r="G1286" i="12"/>
  <c r="A1287" i="12"/>
  <c r="B1287" i="12"/>
  <c r="C1287" i="12"/>
  <c r="D1287" i="12"/>
  <c r="E1287" i="12"/>
  <c r="F1287" i="12"/>
  <c r="G1287" i="12"/>
  <c r="A1288" i="12"/>
  <c r="B1288" i="12"/>
  <c r="C1288" i="12"/>
  <c r="D1288" i="12"/>
  <c r="E1288" i="12"/>
  <c r="F1288" i="12"/>
  <c r="G1288" i="12"/>
  <c r="A1289" i="12"/>
  <c r="B1289" i="12"/>
  <c r="C1289" i="12"/>
  <c r="D1289" i="12"/>
  <c r="E1289" i="12"/>
  <c r="F1289" i="12"/>
  <c r="G1289" i="12"/>
  <c r="A1290" i="12"/>
  <c r="B1290" i="12"/>
  <c r="C1290" i="12"/>
  <c r="D1290" i="12"/>
  <c r="E1290" i="12"/>
  <c r="F1290" i="12"/>
  <c r="G1290" i="12"/>
  <c r="A1291" i="12"/>
  <c r="B1291" i="12"/>
  <c r="C1291" i="12"/>
  <c r="D1291" i="12"/>
  <c r="E1291" i="12"/>
  <c r="F1291" i="12"/>
  <c r="G1291" i="12"/>
  <c r="A1292" i="12"/>
  <c r="B1292" i="12"/>
  <c r="C1292" i="12"/>
  <c r="D1292" i="12"/>
  <c r="E1292" i="12"/>
  <c r="F1292" i="12"/>
  <c r="G1292" i="12"/>
  <c r="A1293" i="12"/>
  <c r="B1293" i="12"/>
  <c r="C1293" i="12"/>
  <c r="D1293" i="12"/>
  <c r="E1293" i="12"/>
  <c r="F1293" i="12"/>
  <c r="G1293" i="12"/>
  <c r="A1294" i="12"/>
  <c r="B1294" i="12"/>
  <c r="C1294" i="12"/>
  <c r="D1294" i="12"/>
  <c r="E1294" i="12"/>
  <c r="F1294" i="12"/>
  <c r="G1294" i="12"/>
  <c r="A1295" i="12"/>
  <c r="B1295" i="12"/>
  <c r="C1295" i="12"/>
  <c r="D1295" i="12"/>
  <c r="E1295" i="12"/>
  <c r="F1295" i="12"/>
  <c r="G1295" i="12"/>
  <c r="A1296" i="12"/>
  <c r="B1296" i="12"/>
  <c r="C1296" i="12"/>
  <c r="D1296" i="12"/>
  <c r="E1296" i="12"/>
  <c r="F1296" i="12"/>
  <c r="G1296" i="12"/>
  <c r="A1297" i="12"/>
  <c r="B1297" i="12"/>
  <c r="C1297" i="12"/>
  <c r="D1297" i="12"/>
  <c r="E1297" i="12"/>
  <c r="F1297" i="12"/>
  <c r="G1297" i="12"/>
  <c r="A1298" i="12"/>
  <c r="B1298" i="12"/>
  <c r="C1298" i="12"/>
  <c r="D1298" i="12"/>
  <c r="E1298" i="12"/>
  <c r="F1298" i="12"/>
  <c r="G1298" i="12"/>
  <c r="A1299" i="12"/>
  <c r="B1299" i="12"/>
  <c r="C1299" i="12"/>
  <c r="D1299" i="12"/>
  <c r="E1299" i="12"/>
  <c r="F1299" i="12"/>
  <c r="G1299" i="12"/>
  <c r="A1300" i="12"/>
  <c r="B1300" i="12"/>
  <c r="C1300" i="12"/>
  <c r="D1300" i="12"/>
  <c r="E1300" i="12"/>
  <c r="F1300" i="12"/>
  <c r="G1300" i="12"/>
  <c r="A1301" i="12"/>
  <c r="B1301" i="12"/>
  <c r="C1301" i="12"/>
  <c r="D1301" i="12"/>
  <c r="E1301" i="12"/>
  <c r="F1301" i="12"/>
  <c r="G1301" i="12"/>
  <c r="A1302" i="12"/>
  <c r="B1302" i="12"/>
  <c r="C1302" i="12"/>
  <c r="D1302" i="12"/>
  <c r="E1302" i="12"/>
  <c r="F1302" i="12"/>
  <c r="G1302" i="12"/>
  <c r="A1303" i="12"/>
  <c r="B1303" i="12"/>
  <c r="C1303" i="12"/>
  <c r="D1303" i="12"/>
  <c r="E1303" i="12"/>
  <c r="F1303" i="12"/>
  <c r="G1303" i="12"/>
  <c r="A1304" i="12"/>
  <c r="B1304" i="12"/>
  <c r="C1304" i="12"/>
  <c r="D1304" i="12"/>
  <c r="E1304" i="12"/>
  <c r="F1304" i="12"/>
  <c r="G1304" i="12"/>
  <c r="A1305" i="12"/>
  <c r="B1305" i="12"/>
  <c r="C1305" i="12"/>
  <c r="D1305" i="12"/>
  <c r="E1305" i="12"/>
  <c r="F1305" i="12"/>
  <c r="G1305" i="12"/>
  <c r="A1306" i="12"/>
  <c r="B1306" i="12"/>
  <c r="C1306" i="12"/>
  <c r="D1306" i="12"/>
  <c r="E1306" i="12"/>
  <c r="F1306" i="12"/>
  <c r="G1306" i="12"/>
  <c r="A1307" i="12"/>
  <c r="B1307" i="12"/>
  <c r="C1307" i="12"/>
  <c r="D1307" i="12"/>
  <c r="E1307" i="12"/>
  <c r="F1307" i="12"/>
  <c r="G1307" i="12"/>
  <c r="A1308" i="12"/>
  <c r="B1308" i="12"/>
  <c r="C1308" i="12"/>
  <c r="D1308" i="12"/>
  <c r="E1308" i="12"/>
  <c r="F1308" i="12"/>
  <c r="G1308" i="12"/>
  <c r="A1309" i="12"/>
  <c r="B1309" i="12"/>
  <c r="C1309" i="12"/>
  <c r="D1309" i="12"/>
  <c r="E1309" i="12"/>
  <c r="F1309" i="12"/>
  <c r="G1309" i="12"/>
  <c r="A1310" i="12"/>
  <c r="B1310" i="12"/>
  <c r="C1310" i="12"/>
  <c r="D1310" i="12"/>
  <c r="E1310" i="12"/>
  <c r="F1310" i="12"/>
  <c r="G1310" i="12"/>
  <c r="A1311" i="12"/>
  <c r="B1311" i="12"/>
  <c r="C1311" i="12"/>
  <c r="D1311" i="12"/>
  <c r="E1311" i="12"/>
  <c r="F1311" i="12"/>
  <c r="G1311" i="12"/>
  <c r="A1312" i="12"/>
  <c r="B1312" i="12"/>
  <c r="C1312" i="12"/>
  <c r="D1312" i="12"/>
  <c r="E1312" i="12"/>
  <c r="F1312" i="12"/>
  <c r="G1312" i="12"/>
  <c r="A1313" i="12"/>
  <c r="B1313" i="12"/>
  <c r="C1313" i="12"/>
  <c r="D1313" i="12"/>
  <c r="E1313" i="12"/>
  <c r="F1313" i="12"/>
  <c r="G1313" i="12"/>
  <c r="A1314" i="12"/>
  <c r="B1314" i="12"/>
  <c r="C1314" i="12"/>
  <c r="D1314" i="12"/>
  <c r="E1314" i="12"/>
  <c r="F1314" i="12"/>
  <c r="G1314" i="12"/>
  <c r="A1315" i="12"/>
  <c r="B1315" i="12"/>
  <c r="C1315" i="12"/>
  <c r="D1315" i="12"/>
  <c r="E1315" i="12"/>
  <c r="F1315" i="12"/>
  <c r="G1315" i="12"/>
  <c r="A1316" i="12"/>
  <c r="B1316" i="12"/>
  <c r="C1316" i="12"/>
  <c r="D1316" i="12"/>
  <c r="E1316" i="12"/>
  <c r="F1316" i="12"/>
  <c r="G1316" i="12"/>
  <c r="A1317" i="12"/>
  <c r="B1317" i="12"/>
  <c r="C1317" i="12"/>
  <c r="D1317" i="12"/>
  <c r="E1317" i="12"/>
  <c r="F1317" i="12"/>
  <c r="G1317" i="12"/>
  <c r="A1318" i="12"/>
  <c r="B1318" i="12"/>
  <c r="C1318" i="12"/>
  <c r="D1318" i="12"/>
  <c r="E1318" i="12"/>
  <c r="F1318" i="12"/>
  <c r="G1318" i="12"/>
  <c r="A1319" i="12"/>
  <c r="B1319" i="12"/>
  <c r="C1319" i="12"/>
  <c r="D1319" i="12"/>
  <c r="E1319" i="12"/>
  <c r="F1319" i="12"/>
  <c r="G1319" i="12"/>
  <c r="A1320" i="12"/>
  <c r="B1320" i="12"/>
  <c r="C1320" i="12"/>
  <c r="D1320" i="12"/>
  <c r="E1320" i="12"/>
  <c r="F1320" i="12"/>
  <c r="G1320" i="12"/>
  <c r="A1321" i="12"/>
  <c r="B1321" i="12"/>
  <c r="C1321" i="12"/>
  <c r="D1321" i="12"/>
  <c r="E1321" i="12"/>
  <c r="F1321" i="12"/>
  <c r="G1321" i="12"/>
  <c r="A1322" i="12"/>
  <c r="B1322" i="12"/>
  <c r="C1322" i="12"/>
  <c r="D1322" i="12"/>
  <c r="E1322" i="12"/>
  <c r="F1322" i="12"/>
  <c r="G1322" i="12"/>
  <c r="A1323" i="12"/>
  <c r="B1323" i="12"/>
  <c r="C1323" i="12"/>
  <c r="D1323" i="12"/>
  <c r="E1323" i="12"/>
  <c r="F1323" i="12"/>
  <c r="G1323" i="12"/>
  <c r="A1324" i="12"/>
  <c r="B1324" i="12"/>
  <c r="C1324" i="12"/>
  <c r="D1324" i="12"/>
  <c r="E1324" i="12"/>
  <c r="F1324" i="12"/>
  <c r="G1324" i="12"/>
  <c r="A1325" i="12"/>
  <c r="B1325" i="12"/>
  <c r="C1325" i="12"/>
  <c r="D1325" i="12"/>
  <c r="E1325" i="12"/>
  <c r="F1325" i="12"/>
  <c r="G1325" i="12"/>
  <c r="A1326" i="12"/>
  <c r="B1326" i="12"/>
  <c r="C1326" i="12"/>
  <c r="D1326" i="12"/>
  <c r="E1326" i="12"/>
  <c r="F1326" i="12"/>
  <c r="G1326" i="12"/>
  <c r="A1327" i="12"/>
  <c r="B1327" i="12"/>
  <c r="C1327" i="12"/>
  <c r="D1327" i="12"/>
  <c r="E1327" i="12"/>
  <c r="F1327" i="12"/>
  <c r="G1327" i="12"/>
  <c r="A1328" i="12"/>
  <c r="B1328" i="12"/>
  <c r="C1328" i="12"/>
  <c r="D1328" i="12"/>
  <c r="E1328" i="12"/>
  <c r="F1328" i="12"/>
  <c r="G1328" i="12"/>
  <c r="A1329" i="12"/>
  <c r="B1329" i="12"/>
  <c r="C1329" i="12"/>
  <c r="D1329" i="12"/>
  <c r="E1329" i="12"/>
  <c r="F1329" i="12"/>
  <c r="G1329" i="12"/>
  <c r="A1330" i="12"/>
  <c r="B1330" i="12"/>
  <c r="C1330" i="12"/>
  <c r="D1330" i="12"/>
  <c r="E1330" i="12"/>
  <c r="F1330" i="12"/>
  <c r="G1330" i="12"/>
  <c r="A1331" i="12"/>
  <c r="B1331" i="12"/>
  <c r="C1331" i="12"/>
  <c r="D1331" i="12"/>
  <c r="E1331" i="12"/>
  <c r="F1331" i="12"/>
  <c r="G1331" i="12"/>
  <c r="A1332" i="12"/>
  <c r="B1332" i="12"/>
  <c r="C1332" i="12"/>
  <c r="D1332" i="12"/>
  <c r="E1332" i="12"/>
  <c r="F1332" i="12"/>
  <c r="G1332" i="12"/>
  <c r="A1333" i="12"/>
  <c r="B1333" i="12"/>
  <c r="C1333" i="12"/>
  <c r="D1333" i="12"/>
  <c r="E1333" i="12"/>
  <c r="F1333" i="12"/>
  <c r="G1333" i="12"/>
  <c r="A1334" i="12"/>
  <c r="B1334" i="12"/>
  <c r="C1334" i="12"/>
  <c r="D1334" i="12"/>
  <c r="E1334" i="12"/>
  <c r="F1334" i="12"/>
  <c r="G1334" i="12"/>
  <c r="A1335" i="12"/>
  <c r="B1335" i="12"/>
  <c r="C1335" i="12"/>
  <c r="D1335" i="12"/>
  <c r="E1335" i="12"/>
  <c r="F1335" i="12"/>
  <c r="G1335" i="12"/>
  <c r="A1336" i="12"/>
  <c r="B1336" i="12"/>
  <c r="C1336" i="12"/>
  <c r="D1336" i="12"/>
  <c r="E1336" i="12"/>
  <c r="F1336" i="12"/>
  <c r="G1336" i="12"/>
  <c r="A1337" i="12"/>
  <c r="B1337" i="12"/>
  <c r="C1337" i="12"/>
  <c r="D1337" i="12"/>
  <c r="E1337" i="12"/>
  <c r="F1337" i="12"/>
  <c r="G1337" i="12"/>
  <c r="A1338" i="12"/>
  <c r="B1338" i="12"/>
  <c r="C1338" i="12"/>
  <c r="D1338" i="12"/>
  <c r="E1338" i="12"/>
  <c r="F1338" i="12"/>
  <c r="G1338" i="12"/>
  <c r="A1339" i="12"/>
  <c r="B1339" i="12"/>
  <c r="C1339" i="12"/>
  <c r="D1339" i="12"/>
  <c r="E1339" i="12"/>
  <c r="F1339" i="12"/>
  <c r="G1339" i="12"/>
  <c r="A1340" i="12"/>
  <c r="B1340" i="12"/>
  <c r="C1340" i="12"/>
  <c r="D1340" i="12"/>
  <c r="E1340" i="12"/>
  <c r="F1340" i="12"/>
  <c r="G1340" i="12"/>
  <c r="A1341" i="12"/>
  <c r="B1341" i="12"/>
  <c r="C1341" i="12"/>
  <c r="D1341" i="12"/>
  <c r="E1341" i="12"/>
  <c r="F1341" i="12"/>
  <c r="G1341" i="12"/>
  <c r="A1342" i="12"/>
  <c r="B1342" i="12"/>
  <c r="C1342" i="12"/>
  <c r="D1342" i="12"/>
  <c r="E1342" i="12"/>
  <c r="F1342" i="12"/>
  <c r="G1342" i="12"/>
  <c r="A1343" i="12"/>
  <c r="B1343" i="12"/>
  <c r="C1343" i="12"/>
  <c r="D1343" i="12"/>
  <c r="E1343" i="12"/>
  <c r="F1343" i="12"/>
  <c r="G1343" i="12"/>
  <c r="A1344" i="12"/>
  <c r="B1344" i="12"/>
  <c r="C1344" i="12"/>
  <c r="D1344" i="12"/>
  <c r="E1344" i="12"/>
  <c r="F1344" i="12"/>
  <c r="G1344" i="12"/>
  <c r="A1345" i="12"/>
  <c r="B1345" i="12"/>
  <c r="C1345" i="12"/>
  <c r="D1345" i="12"/>
  <c r="E1345" i="12"/>
  <c r="F1345" i="12"/>
  <c r="G1345" i="12"/>
  <c r="A1346" i="12"/>
  <c r="B1346" i="12"/>
  <c r="C1346" i="12"/>
  <c r="D1346" i="12"/>
  <c r="E1346" i="12"/>
  <c r="F1346" i="12"/>
  <c r="G1346" i="12"/>
  <c r="A1347" i="12"/>
  <c r="B1347" i="12"/>
  <c r="C1347" i="12"/>
  <c r="D1347" i="12"/>
  <c r="E1347" i="12"/>
  <c r="F1347" i="12"/>
  <c r="G1347" i="12"/>
  <c r="A1348" i="12"/>
  <c r="B1348" i="12"/>
  <c r="C1348" i="12"/>
  <c r="D1348" i="12"/>
  <c r="E1348" i="12"/>
  <c r="F1348" i="12"/>
  <c r="G1348" i="12"/>
  <c r="A1349" i="12"/>
  <c r="B1349" i="12"/>
  <c r="C1349" i="12"/>
  <c r="D1349" i="12"/>
  <c r="E1349" i="12"/>
  <c r="F1349" i="12"/>
  <c r="G1349" i="12"/>
  <c r="A1350" i="12"/>
  <c r="B1350" i="12"/>
  <c r="C1350" i="12"/>
  <c r="D1350" i="12"/>
  <c r="E1350" i="12"/>
  <c r="F1350" i="12"/>
  <c r="G1350" i="12"/>
  <c r="A1351" i="12"/>
  <c r="B1351" i="12"/>
  <c r="C1351" i="12"/>
  <c r="D1351" i="12"/>
  <c r="E1351" i="12"/>
  <c r="F1351" i="12"/>
  <c r="G1351" i="12"/>
  <c r="A1352" i="12"/>
  <c r="B1352" i="12"/>
  <c r="C1352" i="12"/>
  <c r="D1352" i="12"/>
  <c r="E1352" i="12"/>
  <c r="F1352" i="12"/>
  <c r="G1352" i="12"/>
  <c r="A1353" i="12"/>
  <c r="B1353" i="12"/>
  <c r="C1353" i="12"/>
  <c r="D1353" i="12"/>
  <c r="E1353" i="12"/>
  <c r="F1353" i="12"/>
  <c r="G1353" i="12"/>
  <c r="A1354" i="12"/>
  <c r="B1354" i="12"/>
  <c r="C1354" i="12"/>
  <c r="D1354" i="12"/>
  <c r="E1354" i="12"/>
  <c r="F1354" i="12"/>
  <c r="G1354" i="12"/>
  <c r="A1355" i="12"/>
  <c r="B1355" i="12"/>
  <c r="C1355" i="12"/>
  <c r="D1355" i="12"/>
  <c r="E1355" i="12"/>
  <c r="F1355" i="12"/>
  <c r="G1355" i="12"/>
  <c r="A1356" i="12"/>
  <c r="B1356" i="12"/>
  <c r="C1356" i="12"/>
  <c r="D1356" i="12"/>
  <c r="E1356" i="12"/>
  <c r="F1356" i="12"/>
  <c r="G1356" i="12"/>
  <c r="A1357" i="12"/>
  <c r="B1357" i="12"/>
  <c r="C1357" i="12"/>
  <c r="D1357" i="12"/>
  <c r="E1357" i="12"/>
  <c r="F1357" i="12"/>
  <c r="G1357" i="12"/>
  <c r="A1358" i="12"/>
  <c r="B1358" i="12"/>
  <c r="C1358" i="12"/>
  <c r="D1358" i="12"/>
  <c r="E1358" i="12"/>
  <c r="F1358" i="12"/>
  <c r="G1358" i="12"/>
  <c r="A1359" i="12"/>
  <c r="B1359" i="12"/>
  <c r="C1359" i="12"/>
  <c r="D1359" i="12"/>
  <c r="E1359" i="12"/>
  <c r="F1359" i="12"/>
  <c r="G1359" i="12"/>
  <c r="A1360" i="12"/>
  <c r="B1360" i="12"/>
  <c r="C1360" i="12"/>
  <c r="D1360" i="12"/>
  <c r="E1360" i="12"/>
  <c r="F1360" i="12"/>
  <c r="G1360" i="12"/>
  <c r="A1361" i="12"/>
  <c r="B1361" i="12"/>
  <c r="C1361" i="12"/>
  <c r="D1361" i="12"/>
  <c r="E1361" i="12"/>
  <c r="F1361" i="12"/>
  <c r="G1361" i="12"/>
  <c r="A1362" i="12"/>
  <c r="B1362" i="12"/>
  <c r="C1362" i="12"/>
  <c r="D1362" i="12"/>
  <c r="E1362" i="12"/>
  <c r="F1362" i="12"/>
  <c r="G1362" i="12"/>
  <c r="A1363" i="12"/>
  <c r="B1363" i="12"/>
  <c r="C1363" i="12"/>
  <c r="D1363" i="12"/>
  <c r="E1363" i="12"/>
  <c r="F1363" i="12"/>
  <c r="G1363" i="12"/>
  <c r="A1364" i="12"/>
  <c r="B1364" i="12"/>
  <c r="C1364" i="12"/>
  <c r="D1364" i="12"/>
  <c r="E1364" i="12"/>
  <c r="F1364" i="12"/>
  <c r="G1364" i="12"/>
  <c r="A1365" i="12"/>
  <c r="B1365" i="12"/>
  <c r="C1365" i="12"/>
  <c r="D1365" i="12"/>
  <c r="E1365" i="12"/>
  <c r="F1365" i="12"/>
  <c r="G1365" i="12"/>
  <c r="A1366" i="12"/>
  <c r="B1366" i="12"/>
  <c r="C1366" i="12"/>
  <c r="D1366" i="12"/>
  <c r="E1366" i="12"/>
  <c r="F1366" i="12"/>
  <c r="G1366" i="12"/>
  <c r="A1367" i="12"/>
  <c r="B1367" i="12"/>
  <c r="C1367" i="12"/>
  <c r="D1367" i="12"/>
  <c r="E1367" i="12"/>
  <c r="F1367" i="12"/>
  <c r="G1367" i="12"/>
  <c r="A1368" i="12"/>
  <c r="B1368" i="12"/>
  <c r="C1368" i="12"/>
  <c r="D1368" i="12"/>
  <c r="E1368" i="12"/>
  <c r="F1368" i="12"/>
  <c r="G1368" i="12"/>
  <c r="A1369" i="12"/>
  <c r="B1369" i="12"/>
  <c r="C1369" i="12"/>
  <c r="D1369" i="12"/>
  <c r="E1369" i="12"/>
  <c r="F1369" i="12"/>
  <c r="G1369" i="12"/>
  <c r="A1370" i="12"/>
  <c r="B1370" i="12"/>
  <c r="C1370" i="12"/>
  <c r="D1370" i="12"/>
  <c r="E1370" i="12"/>
  <c r="F1370" i="12"/>
  <c r="G1370" i="12"/>
  <c r="A1371" i="12"/>
  <c r="B1371" i="12"/>
  <c r="C1371" i="12"/>
  <c r="D1371" i="12"/>
  <c r="E1371" i="12"/>
  <c r="F1371" i="12"/>
  <c r="G1371" i="12"/>
  <c r="A1372" i="12"/>
  <c r="B1372" i="12"/>
  <c r="C1372" i="12"/>
  <c r="D1372" i="12"/>
  <c r="E1372" i="12"/>
  <c r="F1372" i="12"/>
  <c r="G1372" i="12"/>
  <c r="A1373" i="12"/>
  <c r="B1373" i="12"/>
  <c r="C1373" i="12"/>
  <c r="D1373" i="12"/>
  <c r="E1373" i="12"/>
  <c r="F1373" i="12"/>
  <c r="G1373" i="12"/>
  <c r="A1374" i="12"/>
  <c r="B1374" i="12"/>
  <c r="C1374" i="12"/>
  <c r="D1374" i="12"/>
  <c r="E1374" i="12"/>
  <c r="F1374" i="12"/>
  <c r="G1374" i="12"/>
  <c r="A1375" i="12"/>
  <c r="B1375" i="12"/>
  <c r="C1375" i="12"/>
  <c r="D1375" i="12"/>
  <c r="E1375" i="12"/>
  <c r="F1375" i="12"/>
  <c r="G1375" i="12"/>
  <c r="A1376" i="12"/>
  <c r="B1376" i="12"/>
  <c r="C1376" i="12"/>
  <c r="D1376" i="12"/>
  <c r="E1376" i="12"/>
  <c r="F1376" i="12"/>
  <c r="G1376" i="12"/>
  <c r="A1377" i="12"/>
  <c r="B1377" i="12"/>
  <c r="C1377" i="12"/>
  <c r="D1377" i="12"/>
  <c r="E1377" i="12"/>
  <c r="F1377" i="12"/>
  <c r="G1377" i="12"/>
  <c r="A1378" i="12"/>
  <c r="B1378" i="12"/>
  <c r="C1378" i="12"/>
  <c r="D1378" i="12"/>
  <c r="E1378" i="12"/>
  <c r="F1378" i="12"/>
  <c r="G1378" i="12"/>
  <c r="A1379" i="12"/>
  <c r="B1379" i="12"/>
  <c r="C1379" i="12"/>
  <c r="D1379" i="12"/>
  <c r="E1379" i="12"/>
  <c r="F1379" i="12"/>
  <c r="G1379" i="12"/>
  <c r="A1380" i="12"/>
  <c r="B1380" i="12"/>
  <c r="C1380" i="12"/>
  <c r="D1380" i="12"/>
  <c r="E1380" i="12"/>
  <c r="F1380" i="12"/>
  <c r="G1380" i="12"/>
  <c r="A1381" i="12"/>
  <c r="B1381" i="12"/>
  <c r="C1381" i="12"/>
  <c r="D1381" i="12"/>
  <c r="E1381" i="12"/>
  <c r="F1381" i="12"/>
  <c r="G1381" i="12"/>
  <c r="A1382" i="12"/>
  <c r="B1382" i="12"/>
  <c r="C1382" i="12"/>
  <c r="D1382" i="12"/>
  <c r="E1382" i="12"/>
  <c r="F1382" i="12"/>
  <c r="G1382" i="12"/>
  <c r="A1383" i="12"/>
  <c r="B1383" i="12"/>
  <c r="C1383" i="12"/>
  <c r="D1383" i="12"/>
  <c r="E1383" i="12"/>
  <c r="F1383" i="12"/>
  <c r="G1383" i="12"/>
  <c r="A1384" i="12"/>
  <c r="B1384" i="12"/>
  <c r="C1384" i="12"/>
  <c r="D1384" i="12"/>
  <c r="E1384" i="12"/>
  <c r="F1384" i="12"/>
  <c r="G1384" i="12"/>
  <c r="A1385" i="12"/>
  <c r="B1385" i="12"/>
  <c r="C1385" i="12"/>
  <c r="D1385" i="12"/>
  <c r="E1385" i="12"/>
  <c r="F1385" i="12"/>
  <c r="G1385" i="12"/>
  <c r="A1386" i="12"/>
  <c r="B1386" i="12"/>
  <c r="C1386" i="12"/>
  <c r="D1386" i="12"/>
  <c r="E1386" i="12"/>
  <c r="F1386" i="12"/>
  <c r="G1386" i="12"/>
  <c r="A1387" i="12"/>
  <c r="B1387" i="12"/>
  <c r="C1387" i="12"/>
  <c r="D1387" i="12"/>
  <c r="E1387" i="12"/>
  <c r="F1387" i="12"/>
  <c r="G1387" i="12"/>
  <c r="A1388" i="12"/>
  <c r="B1388" i="12"/>
  <c r="C1388" i="12"/>
  <c r="D1388" i="12"/>
  <c r="E1388" i="12"/>
  <c r="F1388" i="12"/>
  <c r="G1388" i="12"/>
  <c r="A1389" i="12"/>
  <c r="B1389" i="12"/>
  <c r="C1389" i="12"/>
  <c r="D1389" i="12"/>
  <c r="E1389" i="12"/>
  <c r="F1389" i="12"/>
  <c r="G1389" i="12"/>
  <c r="A1390" i="12"/>
  <c r="B1390" i="12"/>
  <c r="C1390" i="12"/>
  <c r="D1390" i="12"/>
  <c r="E1390" i="12"/>
  <c r="F1390" i="12"/>
  <c r="G1390" i="12"/>
  <c r="A1391" i="12"/>
  <c r="B1391" i="12"/>
  <c r="C1391" i="12"/>
  <c r="D1391" i="12"/>
  <c r="E1391" i="12"/>
  <c r="F1391" i="12"/>
  <c r="G1391" i="12"/>
  <c r="A1392" i="12"/>
  <c r="B1392" i="12"/>
  <c r="C1392" i="12"/>
  <c r="D1392" i="12"/>
  <c r="E1392" i="12"/>
  <c r="F1392" i="12"/>
  <c r="G1392" i="12"/>
  <c r="A1393" i="12"/>
  <c r="B1393" i="12"/>
  <c r="C1393" i="12"/>
  <c r="D1393" i="12"/>
  <c r="E1393" i="12"/>
  <c r="F1393" i="12"/>
  <c r="G1393" i="12"/>
  <c r="A1394" i="12"/>
  <c r="B1394" i="12"/>
  <c r="C1394" i="12"/>
  <c r="D1394" i="12"/>
  <c r="E1394" i="12"/>
  <c r="F1394" i="12"/>
  <c r="G1394" i="12"/>
  <c r="A1395" i="12"/>
  <c r="B1395" i="12"/>
  <c r="C1395" i="12"/>
  <c r="D1395" i="12"/>
  <c r="E1395" i="12"/>
  <c r="F1395" i="12"/>
  <c r="G1395" i="12"/>
  <c r="A1396" i="12"/>
  <c r="B1396" i="12"/>
  <c r="C1396" i="12"/>
  <c r="D1396" i="12"/>
  <c r="E1396" i="12"/>
  <c r="F1396" i="12"/>
  <c r="G1396" i="12"/>
  <c r="A1397" i="12"/>
  <c r="B1397" i="12"/>
  <c r="C1397" i="12"/>
  <c r="D1397" i="12"/>
  <c r="E1397" i="12"/>
  <c r="F1397" i="12"/>
  <c r="G1397" i="12"/>
  <c r="A1398" i="12"/>
  <c r="B1398" i="12"/>
  <c r="C1398" i="12"/>
  <c r="D1398" i="12"/>
  <c r="E1398" i="12"/>
  <c r="F1398" i="12"/>
  <c r="G1398" i="12"/>
  <c r="A1399" i="12"/>
  <c r="B1399" i="12"/>
  <c r="C1399" i="12"/>
  <c r="D1399" i="12"/>
  <c r="E1399" i="12"/>
  <c r="F1399" i="12"/>
  <c r="G1399" i="12"/>
  <c r="A1400" i="12"/>
  <c r="B1400" i="12"/>
  <c r="C1400" i="12"/>
  <c r="D1400" i="12"/>
  <c r="E1400" i="12"/>
  <c r="F1400" i="12"/>
  <c r="G1400" i="12"/>
  <c r="A1401" i="12"/>
  <c r="B1401" i="12"/>
  <c r="C1401" i="12"/>
  <c r="D1401" i="12"/>
  <c r="E1401" i="12"/>
  <c r="F1401" i="12"/>
  <c r="G1401" i="12"/>
  <c r="A1402" i="12"/>
  <c r="B1402" i="12"/>
  <c r="C1402" i="12"/>
  <c r="D1402" i="12"/>
  <c r="E1402" i="12"/>
  <c r="F1402" i="12"/>
  <c r="G1402" i="12"/>
  <c r="A1403" i="12"/>
  <c r="B1403" i="12"/>
  <c r="C1403" i="12"/>
  <c r="D1403" i="12"/>
  <c r="E1403" i="12"/>
  <c r="F1403" i="12"/>
  <c r="G1403" i="12"/>
  <c r="A1404" i="12"/>
  <c r="B1404" i="12"/>
  <c r="C1404" i="12"/>
  <c r="D1404" i="12"/>
  <c r="E1404" i="12"/>
  <c r="F1404" i="12"/>
  <c r="G1404" i="12"/>
  <c r="A1405" i="12"/>
  <c r="B1405" i="12"/>
  <c r="C1405" i="12"/>
  <c r="D1405" i="12"/>
  <c r="E1405" i="12"/>
  <c r="F1405" i="12"/>
  <c r="G1405" i="12"/>
  <c r="A1406" i="12"/>
  <c r="B1406" i="12"/>
  <c r="C1406" i="12"/>
  <c r="D1406" i="12"/>
  <c r="E1406" i="12"/>
  <c r="F1406" i="12"/>
  <c r="G1406" i="12"/>
  <c r="A1407" i="12"/>
  <c r="B1407" i="12"/>
  <c r="C1407" i="12"/>
  <c r="D1407" i="12"/>
  <c r="E1407" i="12"/>
  <c r="F1407" i="12"/>
  <c r="G1407" i="12"/>
  <c r="A1408" i="12"/>
  <c r="B1408" i="12"/>
  <c r="C1408" i="12"/>
  <c r="D1408" i="12"/>
  <c r="E1408" i="12"/>
  <c r="F1408" i="12"/>
  <c r="G1408" i="12"/>
  <c r="A1409" i="12"/>
  <c r="B1409" i="12"/>
  <c r="C1409" i="12"/>
  <c r="D1409" i="12"/>
  <c r="E1409" i="12"/>
  <c r="F1409" i="12"/>
  <c r="G1409" i="12"/>
  <c r="A1410" i="12"/>
  <c r="B1410" i="12"/>
  <c r="C1410" i="12"/>
  <c r="D1410" i="12"/>
  <c r="E1410" i="12"/>
  <c r="F1410" i="12"/>
  <c r="G1410" i="12"/>
  <c r="A1411" i="12"/>
  <c r="B1411" i="12"/>
  <c r="C1411" i="12"/>
  <c r="D1411" i="12"/>
  <c r="E1411" i="12"/>
  <c r="F1411" i="12"/>
  <c r="G1411" i="12"/>
  <c r="A1412" i="12"/>
  <c r="B1412" i="12"/>
  <c r="C1412" i="12"/>
  <c r="D1412" i="12"/>
  <c r="E1412" i="12"/>
  <c r="F1412" i="12"/>
  <c r="G1412" i="12"/>
  <c r="A1413" i="12"/>
  <c r="B1413" i="12"/>
  <c r="C1413" i="12"/>
  <c r="D1413" i="12"/>
  <c r="E1413" i="12"/>
  <c r="F1413" i="12"/>
  <c r="G1413" i="12"/>
  <c r="A1414" i="12"/>
  <c r="B1414" i="12"/>
  <c r="C1414" i="12"/>
  <c r="D1414" i="12"/>
  <c r="E1414" i="12"/>
  <c r="F1414" i="12"/>
  <c r="G1414" i="12"/>
  <c r="A1415" i="12"/>
  <c r="B1415" i="12"/>
  <c r="C1415" i="12"/>
  <c r="D1415" i="12"/>
  <c r="E1415" i="12"/>
  <c r="F1415" i="12"/>
  <c r="G1415" i="12"/>
  <c r="A1416" i="12"/>
  <c r="B1416" i="12"/>
  <c r="C1416" i="12"/>
  <c r="D1416" i="12"/>
  <c r="E1416" i="12"/>
  <c r="F1416" i="12"/>
  <c r="G1416" i="12"/>
  <c r="A1417" i="12"/>
  <c r="B1417" i="12"/>
  <c r="C1417" i="12"/>
  <c r="D1417" i="12"/>
  <c r="E1417" i="12"/>
  <c r="F1417" i="12"/>
  <c r="G1417" i="12"/>
  <c r="A1418" i="12"/>
  <c r="B1418" i="12"/>
  <c r="C1418" i="12"/>
  <c r="D1418" i="12"/>
  <c r="E1418" i="12"/>
  <c r="F1418" i="12"/>
  <c r="G1418" i="12"/>
  <c r="A1419" i="12"/>
  <c r="B1419" i="12"/>
  <c r="C1419" i="12"/>
  <c r="D1419" i="12"/>
  <c r="E1419" i="12"/>
  <c r="F1419" i="12"/>
  <c r="G1419" i="12"/>
  <c r="A1420" i="12"/>
  <c r="B1420" i="12"/>
  <c r="C1420" i="12"/>
  <c r="D1420" i="12"/>
  <c r="E1420" i="12"/>
  <c r="F1420" i="12"/>
  <c r="G1420" i="12"/>
  <c r="A1421" i="12"/>
  <c r="B1421" i="12"/>
  <c r="C1421" i="12"/>
  <c r="D1421" i="12"/>
  <c r="E1421" i="12"/>
  <c r="F1421" i="12"/>
  <c r="G1421" i="12"/>
  <c r="A1422" i="12"/>
  <c r="B1422" i="12"/>
  <c r="C1422" i="12"/>
  <c r="D1422" i="12"/>
  <c r="E1422" i="12"/>
  <c r="F1422" i="12"/>
  <c r="G1422" i="12"/>
  <c r="A1423" i="12"/>
  <c r="B1423" i="12"/>
  <c r="C1423" i="12"/>
  <c r="D1423" i="12"/>
  <c r="E1423" i="12"/>
  <c r="F1423" i="12"/>
  <c r="G1423" i="12"/>
  <c r="A1424" i="12"/>
  <c r="B1424" i="12"/>
  <c r="C1424" i="12"/>
  <c r="D1424" i="12"/>
  <c r="E1424" i="12"/>
  <c r="F1424" i="12"/>
  <c r="G1424" i="12"/>
  <c r="A1425" i="12"/>
  <c r="B1425" i="12"/>
  <c r="C1425" i="12"/>
  <c r="D1425" i="12"/>
  <c r="E1425" i="12"/>
  <c r="F1425" i="12"/>
  <c r="G1425" i="12"/>
  <c r="A1426" i="12"/>
  <c r="B1426" i="12"/>
  <c r="C1426" i="12"/>
  <c r="D1426" i="12"/>
  <c r="E1426" i="12"/>
  <c r="F1426" i="12"/>
  <c r="G1426" i="12"/>
  <c r="A1427" i="12"/>
  <c r="B1427" i="12"/>
  <c r="C1427" i="12"/>
  <c r="D1427" i="12"/>
  <c r="E1427" i="12"/>
  <c r="F1427" i="12"/>
  <c r="G1427" i="12"/>
  <c r="A1428" i="12"/>
  <c r="B1428" i="12"/>
  <c r="C1428" i="12"/>
  <c r="D1428" i="12"/>
  <c r="E1428" i="12"/>
  <c r="F1428" i="12"/>
  <c r="G1428" i="12"/>
  <c r="A1429" i="12"/>
  <c r="B1429" i="12"/>
  <c r="C1429" i="12"/>
  <c r="D1429" i="12"/>
  <c r="E1429" i="12"/>
  <c r="F1429" i="12"/>
  <c r="G1429" i="12"/>
  <c r="A1430" i="12"/>
  <c r="B1430" i="12"/>
  <c r="C1430" i="12"/>
  <c r="D1430" i="12"/>
  <c r="E1430" i="12"/>
  <c r="F1430" i="12"/>
  <c r="G1430" i="12"/>
  <c r="A1431" i="12"/>
  <c r="B1431" i="12"/>
  <c r="C1431" i="12"/>
  <c r="D1431" i="12"/>
  <c r="E1431" i="12"/>
  <c r="F1431" i="12"/>
  <c r="G1431" i="12"/>
  <c r="A1432" i="12"/>
  <c r="B1432" i="12"/>
  <c r="C1432" i="12"/>
  <c r="D1432" i="12"/>
  <c r="E1432" i="12"/>
  <c r="F1432" i="12"/>
  <c r="G1432" i="12"/>
  <c r="A1433" i="12"/>
  <c r="B1433" i="12"/>
  <c r="C1433" i="12"/>
  <c r="D1433" i="12"/>
  <c r="E1433" i="12"/>
  <c r="F1433" i="12"/>
  <c r="G1433" i="12"/>
  <c r="A1434" i="12"/>
  <c r="B1434" i="12"/>
  <c r="C1434" i="12"/>
  <c r="D1434" i="12"/>
  <c r="E1434" i="12"/>
  <c r="F1434" i="12"/>
  <c r="G1434" i="12"/>
  <c r="A1435" i="12"/>
  <c r="B1435" i="12"/>
  <c r="C1435" i="12"/>
  <c r="D1435" i="12"/>
  <c r="E1435" i="12"/>
  <c r="F1435" i="12"/>
  <c r="G1435" i="12"/>
  <c r="A1436" i="12"/>
  <c r="B1436" i="12"/>
  <c r="C1436" i="12"/>
  <c r="D1436" i="12"/>
  <c r="E1436" i="12"/>
  <c r="F1436" i="12"/>
  <c r="G1436" i="12"/>
  <c r="A1437" i="12"/>
  <c r="B1437" i="12"/>
  <c r="C1437" i="12"/>
  <c r="D1437" i="12"/>
  <c r="E1437" i="12"/>
  <c r="F1437" i="12"/>
  <c r="G1437" i="12"/>
  <c r="A1438" i="12"/>
  <c r="B1438" i="12"/>
  <c r="C1438" i="12"/>
  <c r="D1438" i="12"/>
  <c r="E1438" i="12"/>
  <c r="F1438" i="12"/>
  <c r="G1438" i="12"/>
  <c r="A1439" i="12"/>
  <c r="B1439" i="12"/>
  <c r="C1439" i="12"/>
  <c r="D1439" i="12"/>
  <c r="E1439" i="12"/>
  <c r="F1439" i="12"/>
  <c r="G1439" i="12"/>
  <c r="A1440" i="12"/>
  <c r="B1440" i="12"/>
  <c r="C1440" i="12"/>
  <c r="D1440" i="12"/>
  <c r="E1440" i="12"/>
  <c r="F1440" i="12"/>
  <c r="G1440" i="12"/>
  <c r="A1441" i="12"/>
  <c r="B1441" i="12"/>
  <c r="C1441" i="12"/>
  <c r="D1441" i="12"/>
  <c r="E1441" i="12"/>
  <c r="F1441" i="12"/>
  <c r="G1441" i="12"/>
  <c r="A1442" i="12"/>
  <c r="B1442" i="12"/>
  <c r="C1442" i="12"/>
  <c r="D1442" i="12"/>
  <c r="E1442" i="12"/>
  <c r="F1442" i="12"/>
  <c r="G1442" i="12"/>
  <c r="A1443" i="12"/>
  <c r="B1443" i="12"/>
  <c r="C1443" i="12"/>
  <c r="D1443" i="12"/>
  <c r="E1443" i="12"/>
  <c r="F1443" i="12"/>
  <c r="G1443" i="12"/>
  <c r="A1444" i="12"/>
  <c r="B1444" i="12"/>
  <c r="C1444" i="12"/>
  <c r="D1444" i="12"/>
  <c r="E1444" i="12"/>
  <c r="F1444" i="12"/>
  <c r="G1444" i="12"/>
  <c r="A1445" i="12"/>
  <c r="B1445" i="12"/>
  <c r="C1445" i="12"/>
  <c r="D1445" i="12"/>
  <c r="E1445" i="12"/>
  <c r="F1445" i="12"/>
  <c r="G1445" i="12"/>
  <c r="A1446" i="12"/>
  <c r="B1446" i="12"/>
  <c r="C1446" i="12"/>
  <c r="D1446" i="12"/>
  <c r="E1446" i="12"/>
  <c r="F1446" i="12"/>
  <c r="G1446" i="12"/>
  <c r="A1447" i="12"/>
  <c r="B1447" i="12"/>
  <c r="C1447" i="12"/>
  <c r="D1447" i="12"/>
  <c r="E1447" i="12"/>
  <c r="F1447" i="12"/>
  <c r="G1447" i="12"/>
  <c r="A1448" i="12"/>
  <c r="B1448" i="12"/>
  <c r="C1448" i="12"/>
  <c r="D1448" i="12"/>
  <c r="E1448" i="12"/>
  <c r="F1448" i="12"/>
  <c r="G1448" i="12"/>
  <c r="A1449" i="12"/>
  <c r="B1449" i="12"/>
  <c r="C1449" i="12"/>
  <c r="D1449" i="12"/>
  <c r="E1449" i="12"/>
  <c r="F1449" i="12"/>
  <c r="G1449" i="12"/>
  <c r="A1450" i="12"/>
  <c r="B1450" i="12"/>
  <c r="C1450" i="12"/>
  <c r="D1450" i="12"/>
  <c r="E1450" i="12"/>
  <c r="F1450" i="12"/>
  <c r="G1450" i="12"/>
  <c r="A1451" i="12"/>
  <c r="B1451" i="12"/>
  <c r="C1451" i="12"/>
  <c r="D1451" i="12"/>
  <c r="E1451" i="12"/>
  <c r="F1451" i="12"/>
  <c r="G1451" i="12"/>
  <c r="A1452" i="12"/>
  <c r="B1452" i="12"/>
  <c r="C1452" i="12"/>
  <c r="D1452" i="12"/>
  <c r="E1452" i="12"/>
  <c r="F1452" i="12"/>
  <c r="G1452" i="12"/>
  <c r="A1453" i="12"/>
  <c r="B1453" i="12"/>
  <c r="C1453" i="12"/>
  <c r="D1453" i="12"/>
  <c r="E1453" i="12"/>
  <c r="F1453" i="12"/>
  <c r="G1453" i="12"/>
  <c r="A1454" i="12"/>
  <c r="B1454" i="12"/>
  <c r="C1454" i="12"/>
  <c r="D1454" i="12"/>
  <c r="E1454" i="12"/>
  <c r="F1454" i="12"/>
  <c r="G1454" i="12"/>
  <c r="A1455" i="12"/>
  <c r="B1455" i="12"/>
  <c r="C1455" i="12"/>
  <c r="D1455" i="12"/>
  <c r="E1455" i="12"/>
  <c r="F1455" i="12"/>
  <c r="G1455" i="12"/>
  <c r="A1456" i="12"/>
  <c r="B1456" i="12"/>
  <c r="C1456" i="12"/>
  <c r="D1456" i="12"/>
  <c r="E1456" i="12"/>
  <c r="F1456" i="12"/>
  <c r="G1456" i="12"/>
  <c r="A1457" i="12"/>
  <c r="B1457" i="12"/>
  <c r="C1457" i="12"/>
  <c r="D1457" i="12"/>
  <c r="E1457" i="12"/>
  <c r="F1457" i="12"/>
  <c r="G1457" i="12"/>
  <c r="A1458" i="12"/>
  <c r="B1458" i="12"/>
  <c r="C1458" i="12"/>
  <c r="D1458" i="12"/>
  <c r="E1458" i="12"/>
  <c r="F1458" i="12"/>
  <c r="G1458" i="12"/>
  <c r="A1459" i="12"/>
  <c r="B1459" i="12"/>
  <c r="C1459" i="12"/>
  <c r="D1459" i="12"/>
  <c r="E1459" i="12"/>
  <c r="F1459" i="12"/>
  <c r="G1459" i="12"/>
  <c r="A1460" i="12"/>
  <c r="B1460" i="12"/>
  <c r="C1460" i="12"/>
  <c r="D1460" i="12"/>
  <c r="E1460" i="12"/>
  <c r="F1460" i="12"/>
  <c r="G1460" i="12"/>
  <c r="A1461" i="12"/>
  <c r="B1461" i="12"/>
  <c r="C1461" i="12"/>
  <c r="D1461" i="12"/>
  <c r="E1461" i="12"/>
  <c r="F1461" i="12"/>
  <c r="G1461" i="12"/>
  <c r="A1462" i="12"/>
  <c r="B1462" i="12"/>
  <c r="C1462" i="12"/>
  <c r="D1462" i="12"/>
  <c r="E1462" i="12"/>
  <c r="F1462" i="12"/>
  <c r="G1462" i="12"/>
  <c r="A1463" i="12"/>
  <c r="B1463" i="12"/>
  <c r="C1463" i="12"/>
  <c r="D1463" i="12"/>
  <c r="E1463" i="12"/>
  <c r="F1463" i="12"/>
  <c r="G1463" i="12"/>
  <c r="A1464" i="12"/>
  <c r="B1464" i="12"/>
  <c r="C1464" i="12"/>
  <c r="D1464" i="12"/>
  <c r="E1464" i="12"/>
  <c r="F1464" i="12"/>
  <c r="G1464" i="12"/>
  <c r="A1465" i="12"/>
  <c r="B1465" i="12"/>
  <c r="C1465" i="12"/>
  <c r="D1465" i="12"/>
  <c r="E1465" i="12"/>
  <c r="F1465" i="12"/>
  <c r="G1465" i="12"/>
  <c r="A1466" i="12"/>
  <c r="B1466" i="12"/>
  <c r="C1466" i="12"/>
  <c r="D1466" i="12"/>
  <c r="E1466" i="12"/>
  <c r="F1466" i="12"/>
  <c r="G1466" i="12"/>
  <c r="A1467" i="12"/>
  <c r="B1467" i="12"/>
  <c r="C1467" i="12"/>
  <c r="D1467" i="12"/>
  <c r="E1467" i="12"/>
  <c r="F1467" i="12"/>
  <c r="G1467" i="12"/>
  <c r="A1468" i="12"/>
  <c r="B1468" i="12"/>
  <c r="C1468" i="12"/>
  <c r="D1468" i="12"/>
  <c r="E1468" i="12"/>
  <c r="F1468" i="12"/>
  <c r="G1468" i="12"/>
  <c r="A1469" i="12"/>
  <c r="B1469" i="12"/>
  <c r="C1469" i="12"/>
  <c r="D1469" i="12"/>
  <c r="E1469" i="12"/>
  <c r="F1469" i="12"/>
  <c r="G1469" i="12"/>
  <c r="A1470" i="12"/>
  <c r="B1470" i="12"/>
  <c r="C1470" i="12"/>
  <c r="D1470" i="12"/>
  <c r="E1470" i="12"/>
  <c r="F1470" i="12"/>
  <c r="G1470" i="12"/>
  <c r="A1471" i="12"/>
  <c r="B1471" i="12"/>
  <c r="C1471" i="12"/>
  <c r="D1471" i="12"/>
  <c r="E1471" i="12"/>
  <c r="F1471" i="12"/>
  <c r="G1471" i="12"/>
  <c r="A1472" i="12"/>
  <c r="B1472" i="12"/>
  <c r="C1472" i="12"/>
  <c r="D1472" i="12"/>
  <c r="E1472" i="12"/>
  <c r="F1472" i="12"/>
  <c r="G1472" i="12"/>
  <c r="A1473" i="12"/>
  <c r="B1473" i="12"/>
  <c r="C1473" i="12"/>
  <c r="D1473" i="12"/>
  <c r="E1473" i="12"/>
  <c r="F1473" i="12"/>
  <c r="G1473" i="12"/>
  <c r="A1474" i="12"/>
  <c r="B1474" i="12"/>
  <c r="C1474" i="12"/>
  <c r="D1474" i="12"/>
  <c r="E1474" i="12"/>
  <c r="F1474" i="12"/>
  <c r="G1474" i="12"/>
  <c r="A1475" i="12"/>
  <c r="B1475" i="12"/>
  <c r="C1475" i="12"/>
  <c r="D1475" i="12"/>
  <c r="E1475" i="12"/>
  <c r="F1475" i="12"/>
  <c r="G1475" i="12"/>
  <c r="A1476" i="12"/>
  <c r="B1476" i="12"/>
  <c r="C1476" i="12"/>
  <c r="D1476" i="12"/>
  <c r="E1476" i="12"/>
  <c r="F1476" i="12"/>
  <c r="G1476" i="12"/>
  <c r="A1477" i="12"/>
  <c r="B1477" i="12"/>
  <c r="C1477" i="12"/>
  <c r="D1477" i="12"/>
  <c r="E1477" i="12"/>
  <c r="F1477" i="12"/>
  <c r="G1477" i="12"/>
  <c r="A1478" i="12"/>
  <c r="B1478" i="12"/>
  <c r="C1478" i="12"/>
  <c r="D1478" i="12"/>
  <c r="E1478" i="12"/>
  <c r="F1478" i="12"/>
  <c r="G1478" i="12"/>
  <c r="A1479" i="12"/>
  <c r="B1479" i="12"/>
  <c r="C1479" i="12"/>
  <c r="D1479" i="12"/>
  <c r="E1479" i="12"/>
  <c r="F1479" i="12"/>
  <c r="G1479" i="12"/>
  <c r="A1480" i="12"/>
  <c r="B1480" i="12"/>
  <c r="C1480" i="12"/>
  <c r="D1480" i="12"/>
  <c r="E1480" i="12"/>
  <c r="F1480" i="12"/>
  <c r="G1480" i="12"/>
  <c r="A1481" i="12"/>
  <c r="B1481" i="12"/>
  <c r="C1481" i="12"/>
  <c r="D1481" i="12"/>
  <c r="E1481" i="12"/>
  <c r="F1481" i="12"/>
  <c r="G1481" i="12"/>
  <c r="A1482" i="12"/>
  <c r="B1482" i="12"/>
  <c r="C1482" i="12"/>
  <c r="D1482" i="12"/>
  <c r="E1482" i="12"/>
  <c r="F1482" i="12"/>
  <c r="G1482" i="12"/>
  <c r="A1483" i="12"/>
  <c r="B1483" i="12"/>
  <c r="C1483" i="12"/>
  <c r="D1483" i="12"/>
  <c r="E1483" i="12"/>
  <c r="F1483" i="12"/>
  <c r="G1483" i="12"/>
  <c r="A1484" i="12"/>
  <c r="B1484" i="12"/>
  <c r="C1484" i="12"/>
  <c r="D1484" i="12"/>
  <c r="E1484" i="12"/>
  <c r="F1484" i="12"/>
  <c r="G1484" i="12"/>
  <c r="A1485" i="12"/>
  <c r="B1485" i="12"/>
  <c r="C1485" i="12"/>
  <c r="D1485" i="12"/>
  <c r="E1485" i="12"/>
  <c r="F1485" i="12"/>
  <c r="G1485" i="12"/>
  <c r="A1486" i="12"/>
  <c r="B1486" i="12"/>
  <c r="C1486" i="12"/>
  <c r="D1486" i="12"/>
  <c r="E1486" i="12"/>
  <c r="F1486" i="12"/>
  <c r="G1486" i="12"/>
  <c r="A1487" i="12"/>
  <c r="B1487" i="12"/>
  <c r="C1487" i="12"/>
  <c r="D1487" i="12"/>
  <c r="E1487" i="12"/>
  <c r="F1487" i="12"/>
  <c r="G1487" i="12"/>
  <c r="A1488" i="12"/>
  <c r="B1488" i="12"/>
  <c r="C1488" i="12"/>
  <c r="D1488" i="12"/>
  <c r="E1488" i="12"/>
  <c r="F1488" i="12"/>
  <c r="G1488" i="12"/>
  <c r="A1489" i="12"/>
  <c r="B1489" i="12"/>
  <c r="C1489" i="12"/>
  <c r="D1489" i="12"/>
  <c r="E1489" i="12"/>
  <c r="F1489" i="12"/>
  <c r="G1489" i="12"/>
  <c r="A1490" i="12"/>
  <c r="B1490" i="12"/>
  <c r="C1490" i="12"/>
  <c r="D1490" i="12"/>
  <c r="E1490" i="12"/>
  <c r="F1490" i="12"/>
  <c r="G1490" i="12"/>
  <c r="A1491" i="12"/>
  <c r="B1491" i="12"/>
  <c r="C1491" i="12"/>
  <c r="D1491" i="12"/>
  <c r="E1491" i="12"/>
  <c r="F1491" i="12"/>
  <c r="G1491" i="12"/>
  <c r="A1492" i="12"/>
  <c r="B1492" i="12"/>
  <c r="C1492" i="12"/>
  <c r="D1492" i="12"/>
  <c r="E1492" i="12"/>
  <c r="F1492" i="12"/>
  <c r="G1492" i="12"/>
  <c r="A1493" i="12"/>
  <c r="B1493" i="12"/>
  <c r="C1493" i="12"/>
  <c r="D1493" i="12"/>
  <c r="E1493" i="12"/>
  <c r="F1493" i="12"/>
  <c r="G1493" i="12"/>
  <c r="A1494" i="12"/>
  <c r="B1494" i="12"/>
  <c r="C1494" i="12"/>
  <c r="D1494" i="12"/>
  <c r="E1494" i="12"/>
  <c r="F1494" i="12"/>
  <c r="G1494" i="12"/>
  <c r="A1495" i="12"/>
  <c r="B1495" i="12"/>
  <c r="C1495" i="12"/>
  <c r="D1495" i="12"/>
  <c r="E1495" i="12"/>
  <c r="F1495" i="12"/>
  <c r="G1495" i="12"/>
  <c r="A1496" i="12"/>
  <c r="B1496" i="12"/>
  <c r="C1496" i="12"/>
  <c r="D1496" i="12"/>
  <c r="E1496" i="12"/>
  <c r="F1496" i="12"/>
  <c r="G1496" i="12"/>
  <c r="A1497" i="12"/>
  <c r="B1497" i="12"/>
  <c r="C1497" i="12"/>
  <c r="D1497" i="12"/>
  <c r="E1497" i="12"/>
  <c r="F1497" i="12"/>
  <c r="G1497" i="12"/>
  <c r="A1498" i="12"/>
  <c r="B1498" i="12"/>
  <c r="C1498" i="12"/>
  <c r="D1498" i="12"/>
  <c r="E1498" i="12"/>
  <c r="F1498" i="12"/>
  <c r="G1498" i="12"/>
  <c r="A1499" i="12"/>
  <c r="B1499" i="12"/>
  <c r="C1499" i="12"/>
  <c r="D1499" i="12"/>
  <c r="E1499" i="12"/>
  <c r="F1499" i="12"/>
  <c r="G1499" i="12"/>
  <c r="A1500" i="12"/>
  <c r="B1500" i="12"/>
  <c r="C1500" i="12"/>
  <c r="D1500" i="12"/>
  <c r="E1500" i="12"/>
  <c r="F1500" i="12"/>
  <c r="G1500" i="12"/>
  <c r="A1501" i="12"/>
  <c r="B1501" i="12"/>
  <c r="C1501" i="12"/>
  <c r="D1501" i="12"/>
  <c r="E1501" i="12"/>
  <c r="F1501" i="12"/>
  <c r="G1501" i="12"/>
  <c r="A1502" i="12"/>
  <c r="B1502" i="12"/>
  <c r="C1502" i="12"/>
  <c r="D1502" i="12"/>
  <c r="E1502" i="12"/>
  <c r="F1502" i="12"/>
  <c r="G1502" i="12"/>
  <c r="A1503" i="12"/>
  <c r="B1503" i="12"/>
  <c r="C1503" i="12"/>
  <c r="D1503" i="12"/>
  <c r="E1503" i="12"/>
  <c r="F1503" i="12"/>
  <c r="G1503" i="12"/>
  <c r="A1504" i="12"/>
  <c r="B1504" i="12"/>
  <c r="C1504" i="12"/>
  <c r="D1504" i="12"/>
  <c r="E1504" i="12"/>
  <c r="F1504" i="12"/>
  <c r="G1504" i="12"/>
  <c r="A1505" i="12"/>
  <c r="B1505" i="12"/>
  <c r="C1505" i="12"/>
  <c r="D1505" i="12"/>
  <c r="E1505" i="12"/>
  <c r="F1505" i="12"/>
  <c r="G1505" i="12"/>
  <c r="A1506" i="12"/>
  <c r="B1506" i="12"/>
  <c r="C1506" i="12"/>
  <c r="D1506" i="12"/>
  <c r="E1506" i="12"/>
  <c r="F1506" i="12"/>
  <c r="G1506" i="12"/>
  <c r="A1507" i="12"/>
  <c r="B1507" i="12"/>
  <c r="C1507" i="12"/>
  <c r="D1507" i="12"/>
  <c r="E1507" i="12"/>
  <c r="F1507" i="12"/>
  <c r="G1507" i="12"/>
  <c r="A1508" i="12"/>
  <c r="B1508" i="12"/>
  <c r="C1508" i="12"/>
  <c r="D1508" i="12"/>
  <c r="E1508" i="12"/>
  <c r="F1508" i="12"/>
  <c r="G1508" i="12"/>
  <c r="A1509" i="12"/>
  <c r="B1509" i="12"/>
  <c r="C1509" i="12"/>
  <c r="D1509" i="12"/>
  <c r="E1509" i="12"/>
  <c r="F1509" i="12"/>
  <c r="G1509" i="12"/>
  <c r="A1510" i="12"/>
  <c r="B1510" i="12"/>
  <c r="C1510" i="12"/>
  <c r="D1510" i="12"/>
  <c r="E1510" i="12"/>
  <c r="F1510" i="12"/>
  <c r="G1510" i="12"/>
  <c r="A1511" i="12"/>
  <c r="B1511" i="12"/>
  <c r="C1511" i="12"/>
  <c r="D1511" i="12"/>
  <c r="E1511" i="12"/>
  <c r="F1511" i="12"/>
  <c r="G1511" i="12"/>
  <c r="A1512" i="12"/>
  <c r="B1512" i="12"/>
  <c r="C1512" i="12"/>
  <c r="D1512" i="12"/>
  <c r="E1512" i="12"/>
  <c r="F1512" i="12"/>
  <c r="G1512" i="12"/>
  <c r="A1513" i="12"/>
  <c r="B1513" i="12"/>
  <c r="C1513" i="12"/>
  <c r="D1513" i="12"/>
  <c r="E1513" i="12"/>
  <c r="F1513" i="12"/>
  <c r="G1513" i="12"/>
  <c r="A1514" i="12"/>
  <c r="B1514" i="12"/>
  <c r="C1514" i="12"/>
  <c r="D1514" i="12"/>
  <c r="E1514" i="12"/>
  <c r="F1514" i="12"/>
  <c r="G1514" i="12"/>
  <c r="A1515" i="12"/>
  <c r="B1515" i="12"/>
  <c r="C1515" i="12"/>
  <c r="D1515" i="12"/>
  <c r="E1515" i="12"/>
  <c r="F1515" i="12"/>
  <c r="G1515" i="12"/>
  <c r="A1516" i="12"/>
  <c r="B1516" i="12"/>
  <c r="C1516" i="12"/>
  <c r="D1516" i="12"/>
  <c r="E1516" i="12"/>
  <c r="F1516" i="12"/>
  <c r="G1516" i="12"/>
  <c r="A1517" i="12"/>
  <c r="B1517" i="12"/>
  <c r="C1517" i="12"/>
  <c r="D1517" i="12"/>
  <c r="E1517" i="12"/>
  <c r="F1517" i="12"/>
  <c r="G1517" i="12"/>
  <c r="A1518" i="12"/>
  <c r="B1518" i="12"/>
  <c r="C1518" i="12"/>
  <c r="D1518" i="12"/>
  <c r="E1518" i="12"/>
  <c r="F1518" i="12"/>
  <c r="G1518" i="12"/>
  <c r="A1519" i="12"/>
  <c r="B1519" i="12"/>
  <c r="C1519" i="12"/>
  <c r="D1519" i="12"/>
  <c r="E1519" i="12"/>
  <c r="F1519" i="12"/>
  <c r="G1519" i="12"/>
  <c r="A1520" i="12"/>
  <c r="B1520" i="12"/>
  <c r="C1520" i="12"/>
  <c r="D1520" i="12"/>
  <c r="E1520" i="12"/>
  <c r="F1520" i="12"/>
  <c r="G1520" i="12"/>
  <c r="A1521" i="12"/>
  <c r="B1521" i="12"/>
  <c r="C1521" i="12"/>
  <c r="D1521" i="12"/>
  <c r="E1521" i="12"/>
  <c r="F1521" i="12"/>
  <c r="G1521" i="12"/>
  <c r="A1522" i="12"/>
  <c r="B1522" i="12"/>
  <c r="C1522" i="12"/>
  <c r="D1522" i="12"/>
  <c r="E1522" i="12"/>
  <c r="F1522" i="12"/>
  <c r="G1522" i="12"/>
  <c r="A1523" i="12"/>
  <c r="B1523" i="12"/>
  <c r="C1523" i="12"/>
  <c r="D1523" i="12"/>
  <c r="E1523" i="12"/>
  <c r="F1523" i="12"/>
  <c r="G1523" i="12"/>
  <c r="A1524" i="12"/>
  <c r="B1524" i="12"/>
  <c r="C1524" i="12"/>
  <c r="D1524" i="12"/>
  <c r="E1524" i="12"/>
  <c r="F1524" i="12"/>
  <c r="G1524" i="12"/>
  <c r="A1525" i="12"/>
  <c r="B1525" i="12"/>
  <c r="C1525" i="12"/>
  <c r="D1525" i="12"/>
  <c r="E1525" i="12"/>
  <c r="F1525" i="12"/>
  <c r="G1525" i="12"/>
  <c r="A1526" i="12"/>
  <c r="B1526" i="12"/>
  <c r="C1526" i="12"/>
  <c r="D1526" i="12"/>
  <c r="E1526" i="12"/>
  <c r="F1526" i="12"/>
  <c r="G1526" i="12"/>
  <c r="A1527" i="12"/>
  <c r="B1527" i="12"/>
  <c r="C1527" i="12"/>
  <c r="D1527" i="12"/>
  <c r="E1527" i="12"/>
  <c r="F1527" i="12"/>
  <c r="G1527" i="12"/>
  <c r="A1528" i="12"/>
  <c r="B1528" i="12"/>
  <c r="C1528" i="12"/>
  <c r="D1528" i="12"/>
  <c r="E1528" i="12"/>
  <c r="F1528" i="12"/>
  <c r="G1528" i="12"/>
  <c r="A1529" i="12"/>
  <c r="B1529" i="12"/>
  <c r="C1529" i="12"/>
  <c r="D1529" i="12"/>
  <c r="E1529" i="12"/>
  <c r="F1529" i="12"/>
  <c r="G1529" i="12"/>
  <c r="A1530" i="12"/>
  <c r="B1530" i="12"/>
  <c r="C1530" i="12"/>
  <c r="D1530" i="12"/>
  <c r="E1530" i="12"/>
  <c r="F1530" i="12"/>
  <c r="G1530" i="12"/>
  <c r="A1531" i="12"/>
  <c r="B1531" i="12"/>
  <c r="C1531" i="12"/>
  <c r="D1531" i="12"/>
  <c r="E1531" i="12"/>
  <c r="F1531" i="12"/>
  <c r="G1531" i="12"/>
  <c r="A1532" i="12"/>
  <c r="B1532" i="12"/>
  <c r="C1532" i="12"/>
  <c r="D1532" i="12"/>
  <c r="E1532" i="12"/>
  <c r="F1532" i="12"/>
  <c r="G1532" i="12"/>
  <c r="A1533" i="12"/>
  <c r="B1533" i="12"/>
  <c r="C1533" i="12"/>
  <c r="D1533" i="12"/>
  <c r="E1533" i="12"/>
  <c r="F1533" i="12"/>
  <c r="G1533" i="12"/>
  <c r="A1534" i="12"/>
  <c r="B1534" i="12"/>
  <c r="C1534" i="12"/>
  <c r="D1534" i="12"/>
  <c r="E1534" i="12"/>
  <c r="F1534" i="12"/>
  <c r="G1534" i="12"/>
  <c r="A1535" i="12"/>
  <c r="B1535" i="12"/>
  <c r="C1535" i="12"/>
  <c r="D1535" i="12"/>
  <c r="E1535" i="12"/>
  <c r="F1535" i="12"/>
  <c r="G1535" i="12"/>
  <c r="A1536" i="12"/>
  <c r="B1536" i="12"/>
  <c r="C1536" i="12"/>
  <c r="D1536" i="12"/>
  <c r="E1536" i="12"/>
  <c r="F1536" i="12"/>
  <c r="G1536" i="12"/>
  <c r="A1537" i="12"/>
  <c r="B1537" i="12"/>
  <c r="C1537" i="12"/>
  <c r="D1537" i="12"/>
  <c r="E1537" i="12"/>
  <c r="F1537" i="12"/>
  <c r="G1537" i="12"/>
  <c r="A1538" i="12"/>
  <c r="B1538" i="12"/>
  <c r="C1538" i="12"/>
  <c r="D1538" i="12"/>
  <c r="E1538" i="12"/>
  <c r="F1538" i="12"/>
  <c r="G1538" i="12"/>
  <c r="A1539" i="12"/>
  <c r="B1539" i="12"/>
  <c r="C1539" i="12"/>
  <c r="D1539" i="12"/>
  <c r="E1539" i="12"/>
  <c r="F1539" i="12"/>
  <c r="G1539" i="12"/>
  <c r="A1540" i="12"/>
  <c r="B1540" i="12"/>
  <c r="C1540" i="12"/>
  <c r="D1540" i="12"/>
  <c r="E1540" i="12"/>
  <c r="F1540" i="12"/>
  <c r="G1540" i="12"/>
  <c r="A1541" i="12"/>
  <c r="B1541" i="12"/>
  <c r="C1541" i="12"/>
  <c r="D1541" i="12"/>
  <c r="E1541" i="12"/>
  <c r="F1541" i="12"/>
  <c r="G1541" i="12"/>
  <c r="A1542" i="12"/>
  <c r="B1542" i="12"/>
  <c r="C1542" i="12"/>
  <c r="D1542" i="12"/>
  <c r="E1542" i="12"/>
  <c r="F1542" i="12"/>
  <c r="G1542" i="12"/>
  <c r="A1543" i="12"/>
  <c r="B1543" i="12"/>
  <c r="C1543" i="12"/>
  <c r="D1543" i="12"/>
  <c r="E1543" i="12"/>
  <c r="F1543" i="12"/>
  <c r="G1543" i="12"/>
  <c r="A1544" i="12"/>
  <c r="B1544" i="12"/>
  <c r="C1544" i="12"/>
  <c r="D1544" i="12"/>
  <c r="E1544" i="12"/>
  <c r="F1544" i="12"/>
  <c r="G1544" i="12"/>
  <c r="A1545" i="12"/>
  <c r="B1545" i="12"/>
  <c r="C1545" i="12"/>
  <c r="D1545" i="12"/>
  <c r="E1545" i="12"/>
  <c r="F1545" i="12"/>
  <c r="G1545" i="12"/>
  <c r="A1546" i="12"/>
  <c r="B1546" i="12"/>
  <c r="C1546" i="12"/>
  <c r="D1546" i="12"/>
  <c r="E1546" i="12"/>
  <c r="F1546" i="12"/>
  <c r="G1546" i="12"/>
  <c r="A1547" i="12"/>
  <c r="B1547" i="12"/>
  <c r="C1547" i="12"/>
  <c r="D1547" i="12"/>
  <c r="E1547" i="12"/>
  <c r="F1547" i="12"/>
  <c r="G1547" i="12"/>
  <c r="A1548" i="12"/>
  <c r="B1548" i="12"/>
  <c r="C1548" i="12"/>
  <c r="D1548" i="12"/>
  <c r="E1548" i="12"/>
  <c r="F1548" i="12"/>
  <c r="G1548" i="12"/>
  <c r="A1549" i="12"/>
  <c r="B1549" i="12"/>
  <c r="C1549" i="12"/>
  <c r="D1549" i="12"/>
  <c r="E1549" i="12"/>
  <c r="F1549" i="12"/>
  <c r="G1549" i="12"/>
  <c r="A1550" i="12"/>
  <c r="B1550" i="12"/>
  <c r="C1550" i="12"/>
  <c r="D1550" i="12"/>
  <c r="E1550" i="12"/>
  <c r="F1550" i="12"/>
  <c r="G1550" i="12"/>
  <c r="A1551" i="12"/>
  <c r="B1551" i="12"/>
  <c r="C1551" i="12"/>
  <c r="D1551" i="12"/>
  <c r="E1551" i="12"/>
  <c r="F1551" i="12"/>
  <c r="G1551" i="12"/>
  <c r="A1552" i="12"/>
  <c r="B1552" i="12"/>
  <c r="C1552" i="12"/>
  <c r="D1552" i="12"/>
  <c r="E1552" i="12"/>
  <c r="F1552" i="12"/>
  <c r="G1552" i="12"/>
  <c r="A1553" i="12"/>
  <c r="B1553" i="12"/>
  <c r="C1553" i="12"/>
  <c r="D1553" i="12"/>
  <c r="E1553" i="12"/>
  <c r="F1553" i="12"/>
  <c r="G1553" i="12"/>
  <c r="A1554" i="12"/>
  <c r="B1554" i="12"/>
  <c r="C1554" i="12"/>
  <c r="D1554" i="12"/>
  <c r="E1554" i="12"/>
  <c r="F1554" i="12"/>
  <c r="G1554" i="12"/>
  <c r="A1555" i="12"/>
  <c r="B1555" i="12"/>
  <c r="C1555" i="12"/>
  <c r="D1555" i="12"/>
  <c r="E1555" i="12"/>
  <c r="F1555" i="12"/>
  <c r="G1555" i="12"/>
  <c r="A1556" i="12"/>
  <c r="B1556" i="12"/>
  <c r="C1556" i="12"/>
  <c r="D1556" i="12"/>
  <c r="E1556" i="12"/>
  <c r="F1556" i="12"/>
  <c r="G1556" i="12"/>
  <c r="A1557" i="12"/>
  <c r="B1557" i="12"/>
  <c r="C1557" i="12"/>
  <c r="D1557" i="12"/>
  <c r="E1557" i="12"/>
  <c r="F1557" i="12"/>
  <c r="G1557" i="12"/>
  <c r="A1558" i="12"/>
  <c r="B1558" i="12"/>
  <c r="C1558" i="12"/>
  <c r="D1558" i="12"/>
  <c r="E1558" i="12"/>
  <c r="F1558" i="12"/>
  <c r="G1558" i="12"/>
  <c r="A1559" i="12"/>
  <c r="B1559" i="12"/>
  <c r="C1559" i="12"/>
  <c r="D1559" i="12"/>
  <c r="E1559" i="12"/>
  <c r="F1559" i="12"/>
  <c r="G1559" i="12"/>
  <c r="A1560" i="12"/>
  <c r="B1560" i="12"/>
  <c r="C1560" i="12"/>
  <c r="D1560" i="12"/>
  <c r="E1560" i="12"/>
  <c r="F1560" i="12"/>
  <c r="G1560" i="12"/>
  <c r="A1561" i="12"/>
  <c r="B1561" i="12"/>
  <c r="C1561" i="12"/>
  <c r="D1561" i="12"/>
  <c r="E1561" i="12"/>
  <c r="F1561" i="12"/>
  <c r="G1561" i="12"/>
  <c r="A1562" i="12"/>
  <c r="B1562" i="12"/>
  <c r="C1562" i="12"/>
  <c r="D1562" i="12"/>
  <c r="E1562" i="12"/>
  <c r="F1562" i="12"/>
  <c r="G1562" i="12"/>
  <c r="A1563" i="12"/>
  <c r="B1563" i="12"/>
  <c r="C1563" i="12"/>
  <c r="D1563" i="12"/>
  <c r="E1563" i="12"/>
  <c r="F1563" i="12"/>
  <c r="G1563" i="12"/>
  <c r="A1564" i="12"/>
  <c r="B1564" i="12"/>
  <c r="C1564" i="12"/>
  <c r="D1564" i="12"/>
  <c r="E1564" i="12"/>
  <c r="F1564" i="12"/>
  <c r="G1564" i="12"/>
  <c r="A1565" i="12"/>
  <c r="B1565" i="12"/>
  <c r="C1565" i="12"/>
  <c r="D1565" i="12"/>
  <c r="E1565" i="12"/>
  <c r="F1565" i="12"/>
  <c r="G1565" i="12"/>
  <c r="A1566" i="12"/>
  <c r="B1566" i="12"/>
  <c r="C1566" i="12"/>
  <c r="D1566" i="12"/>
  <c r="E1566" i="12"/>
  <c r="F1566" i="12"/>
  <c r="G1566" i="12"/>
  <c r="A1567" i="12"/>
  <c r="B1567" i="12"/>
  <c r="C1567" i="12"/>
  <c r="D1567" i="12"/>
  <c r="E1567" i="12"/>
  <c r="F1567" i="12"/>
  <c r="G1567" i="12"/>
  <c r="A1568" i="12"/>
  <c r="B1568" i="12"/>
  <c r="C1568" i="12"/>
  <c r="D1568" i="12"/>
  <c r="E1568" i="12"/>
  <c r="F1568" i="12"/>
  <c r="G1568" i="12"/>
  <c r="A1569" i="12"/>
  <c r="B1569" i="12"/>
  <c r="C1569" i="12"/>
  <c r="D1569" i="12"/>
  <c r="E1569" i="12"/>
  <c r="F1569" i="12"/>
  <c r="G1569" i="12"/>
  <c r="A1570" i="12"/>
  <c r="B1570" i="12"/>
  <c r="C1570" i="12"/>
  <c r="D1570" i="12"/>
  <c r="E1570" i="12"/>
  <c r="F1570" i="12"/>
  <c r="G1570" i="12"/>
  <c r="A1571" i="12"/>
  <c r="B1571" i="12"/>
  <c r="C1571" i="12"/>
  <c r="D1571" i="12"/>
  <c r="E1571" i="12"/>
  <c r="F1571" i="12"/>
  <c r="G1571" i="12"/>
  <c r="A1572" i="12"/>
  <c r="B1572" i="12"/>
  <c r="C1572" i="12"/>
  <c r="D1572" i="12"/>
  <c r="E1572" i="12"/>
  <c r="F1572" i="12"/>
  <c r="G1572" i="12"/>
  <c r="A1573" i="12"/>
  <c r="B1573" i="12"/>
  <c r="C1573" i="12"/>
  <c r="D1573" i="12"/>
  <c r="E1573" i="12"/>
  <c r="F1573" i="12"/>
  <c r="G1573" i="12"/>
  <c r="A1574" i="12"/>
  <c r="B1574" i="12"/>
  <c r="C1574" i="12"/>
  <c r="D1574" i="12"/>
  <c r="E1574" i="12"/>
  <c r="F1574" i="12"/>
  <c r="G1574" i="12"/>
  <c r="A1575" i="12"/>
  <c r="B1575" i="12"/>
  <c r="C1575" i="12"/>
  <c r="D1575" i="12"/>
  <c r="E1575" i="12"/>
  <c r="F1575" i="12"/>
  <c r="G1575" i="12"/>
  <c r="A1576" i="12"/>
  <c r="B1576" i="12"/>
  <c r="C1576" i="12"/>
  <c r="D1576" i="12"/>
  <c r="E1576" i="12"/>
  <c r="F1576" i="12"/>
  <c r="G1576" i="12"/>
  <c r="A1577" i="12"/>
  <c r="B1577" i="12"/>
  <c r="C1577" i="12"/>
  <c r="D1577" i="12"/>
  <c r="E1577" i="12"/>
  <c r="F1577" i="12"/>
  <c r="G1577" i="12"/>
  <c r="A1578" i="12"/>
  <c r="B1578" i="12"/>
  <c r="C1578" i="12"/>
  <c r="D1578" i="12"/>
  <c r="E1578" i="12"/>
  <c r="F1578" i="12"/>
  <c r="G1578" i="12"/>
  <c r="A1579" i="12"/>
  <c r="B1579" i="12"/>
  <c r="C1579" i="12"/>
  <c r="D1579" i="12"/>
  <c r="E1579" i="12"/>
  <c r="F1579" i="12"/>
  <c r="G1579" i="12"/>
  <c r="A1580" i="12"/>
  <c r="B1580" i="12"/>
  <c r="C1580" i="12"/>
  <c r="D1580" i="12"/>
  <c r="E1580" i="12"/>
  <c r="F1580" i="12"/>
  <c r="G1580" i="12"/>
  <c r="A1581" i="12"/>
  <c r="B1581" i="12"/>
  <c r="C1581" i="12"/>
  <c r="D1581" i="12"/>
  <c r="E1581" i="12"/>
  <c r="F1581" i="12"/>
  <c r="G1581" i="12"/>
  <c r="A1582" i="12"/>
  <c r="B1582" i="12"/>
  <c r="C1582" i="12"/>
  <c r="D1582" i="12"/>
  <c r="E1582" i="12"/>
  <c r="F1582" i="12"/>
  <c r="G1582" i="12"/>
  <c r="A1583" i="12"/>
  <c r="B1583" i="12"/>
  <c r="C1583" i="12"/>
  <c r="D1583" i="12"/>
  <c r="E1583" i="12"/>
  <c r="F1583" i="12"/>
  <c r="G1583" i="12"/>
  <c r="A1584" i="12"/>
  <c r="B1584" i="12"/>
  <c r="C1584" i="12"/>
  <c r="D1584" i="12"/>
  <c r="E1584" i="12"/>
  <c r="F1584" i="12"/>
  <c r="G1584" i="12"/>
  <c r="A1585" i="12"/>
  <c r="B1585" i="12"/>
  <c r="C1585" i="12"/>
  <c r="D1585" i="12"/>
  <c r="E1585" i="12"/>
  <c r="F1585" i="12"/>
  <c r="G1585" i="12"/>
  <c r="A1586" i="12"/>
  <c r="B1586" i="12"/>
  <c r="C1586" i="12"/>
  <c r="D1586" i="12"/>
  <c r="E1586" i="12"/>
  <c r="F1586" i="12"/>
  <c r="G1586" i="12"/>
  <c r="A1587" i="12"/>
  <c r="B1587" i="12"/>
  <c r="C1587" i="12"/>
  <c r="D1587" i="12"/>
  <c r="E1587" i="12"/>
  <c r="F1587" i="12"/>
  <c r="G1587" i="12"/>
  <c r="A1588" i="12"/>
  <c r="B1588" i="12"/>
  <c r="C1588" i="12"/>
  <c r="D1588" i="12"/>
  <c r="E1588" i="12"/>
  <c r="F1588" i="12"/>
  <c r="G1588" i="12"/>
  <c r="A1589" i="12"/>
  <c r="B1589" i="12"/>
  <c r="C1589" i="12"/>
  <c r="D1589" i="12"/>
  <c r="E1589" i="12"/>
  <c r="F1589" i="12"/>
  <c r="G1589" i="12"/>
  <c r="A1590" i="12"/>
  <c r="B1590" i="12"/>
  <c r="C1590" i="12"/>
  <c r="D1590" i="12"/>
  <c r="E1590" i="12"/>
  <c r="F1590" i="12"/>
  <c r="G1590" i="12"/>
  <c r="A1591" i="12"/>
  <c r="B1591" i="12"/>
  <c r="C1591" i="12"/>
  <c r="D1591" i="12"/>
  <c r="E1591" i="12"/>
  <c r="F1591" i="12"/>
  <c r="G1591" i="12"/>
  <c r="A1592" i="12"/>
  <c r="B1592" i="12"/>
  <c r="C1592" i="12"/>
  <c r="D1592" i="12"/>
  <c r="E1592" i="12"/>
  <c r="F1592" i="12"/>
  <c r="G1592" i="12"/>
  <c r="A1593" i="12"/>
  <c r="B1593" i="12"/>
  <c r="C1593" i="12"/>
  <c r="D1593" i="12"/>
  <c r="E1593" i="12"/>
  <c r="F1593" i="12"/>
  <c r="G1593" i="12"/>
  <c r="A1594" i="12"/>
  <c r="B1594" i="12"/>
  <c r="C1594" i="12"/>
  <c r="D1594" i="12"/>
  <c r="E1594" i="12"/>
  <c r="F1594" i="12"/>
  <c r="G1594" i="12"/>
  <c r="A1595" i="12"/>
  <c r="B1595" i="12"/>
  <c r="C1595" i="12"/>
  <c r="D1595" i="12"/>
  <c r="E1595" i="12"/>
  <c r="F1595" i="12"/>
  <c r="G1595" i="12"/>
  <c r="A1596" i="12"/>
  <c r="B1596" i="12"/>
  <c r="C1596" i="12"/>
  <c r="D1596" i="12"/>
  <c r="E1596" i="12"/>
  <c r="F1596" i="12"/>
  <c r="G1596" i="12"/>
  <c r="A1597" i="12"/>
  <c r="B1597" i="12"/>
  <c r="C1597" i="12"/>
  <c r="D1597" i="12"/>
  <c r="E1597" i="12"/>
  <c r="F1597" i="12"/>
  <c r="G1597" i="12"/>
  <c r="A1598" i="12"/>
  <c r="B1598" i="12"/>
  <c r="C1598" i="12"/>
  <c r="D1598" i="12"/>
  <c r="E1598" i="12"/>
  <c r="F1598" i="12"/>
  <c r="G1598" i="12"/>
  <c r="A1599" i="12"/>
  <c r="B1599" i="12"/>
  <c r="C1599" i="12"/>
  <c r="D1599" i="12"/>
  <c r="E1599" i="12"/>
  <c r="F1599" i="12"/>
  <c r="G1599" i="12"/>
  <c r="A1600" i="12"/>
  <c r="B1600" i="12"/>
  <c r="C1600" i="12"/>
  <c r="D1600" i="12"/>
  <c r="E1600" i="12"/>
  <c r="F1600" i="12"/>
  <c r="G1600" i="12"/>
  <c r="A1601" i="12"/>
  <c r="B1601" i="12"/>
  <c r="C1601" i="12"/>
  <c r="D1601" i="12"/>
  <c r="E1601" i="12"/>
  <c r="F1601" i="12"/>
  <c r="G1601" i="12"/>
  <c r="A1602" i="12"/>
  <c r="B1602" i="12"/>
  <c r="C1602" i="12"/>
  <c r="D1602" i="12"/>
  <c r="E1602" i="12"/>
  <c r="F1602" i="12"/>
  <c r="G1602" i="12"/>
  <c r="A1603" i="12"/>
  <c r="B1603" i="12"/>
  <c r="C1603" i="12"/>
  <c r="D1603" i="12"/>
  <c r="E1603" i="12"/>
  <c r="F1603" i="12"/>
  <c r="G1603" i="12"/>
  <c r="A1604" i="12"/>
  <c r="B1604" i="12"/>
  <c r="C1604" i="12"/>
  <c r="D1604" i="12"/>
  <c r="E1604" i="12"/>
  <c r="F1604" i="12"/>
  <c r="G1604" i="12"/>
  <c r="A1605" i="12"/>
  <c r="B1605" i="12"/>
  <c r="C1605" i="12"/>
  <c r="D1605" i="12"/>
  <c r="E1605" i="12"/>
  <c r="F1605" i="12"/>
  <c r="G1605" i="12"/>
  <c r="A1606" i="12"/>
  <c r="B1606" i="12"/>
  <c r="C1606" i="12"/>
  <c r="D1606" i="12"/>
  <c r="E1606" i="12"/>
  <c r="F1606" i="12"/>
  <c r="G1606" i="12"/>
  <c r="A1607" i="12"/>
  <c r="B1607" i="12"/>
  <c r="C1607" i="12"/>
  <c r="D1607" i="12"/>
  <c r="E1607" i="12"/>
  <c r="F1607" i="12"/>
  <c r="G1607" i="12"/>
  <c r="A1608" i="12"/>
  <c r="B1608" i="12"/>
  <c r="C1608" i="12"/>
  <c r="D1608" i="12"/>
  <c r="E1608" i="12"/>
  <c r="F1608" i="12"/>
  <c r="G1608" i="12"/>
  <c r="A1609" i="12"/>
  <c r="B1609" i="12"/>
  <c r="C1609" i="12"/>
  <c r="D1609" i="12"/>
  <c r="E1609" i="12"/>
  <c r="F1609" i="12"/>
  <c r="G1609" i="12"/>
  <c r="A1610" i="12"/>
  <c r="B1610" i="12"/>
  <c r="C1610" i="12"/>
  <c r="D1610" i="12"/>
  <c r="E1610" i="12"/>
  <c r="F1610" i="12"/>
  <c r="G1610" i="12"/>
  <c r="A1611" i="12"/>
  <c r="B1611" i="12"/>
  <c r="C1611" i="12"/>
  <c r="D1611" i="12"/>
  <c r="E1611" i="12"/>
  <c r="F1611" i="12"/>
  <c r="G1611" i="12"/>
  <c r="A1612" i="12"/>
  <c r="B1612" i="12"/>
  <c r="C1612" i="12"/>
  <c r="D1612" i="12"/>
  <c r="E1612" i="12"/>
  <c r="F1612" i="12"/>
  <c r="G1612" i="12"/>
  <c r="A1613" i="12"/>
  <c r="B1613" i="12"/>
  <c r="C1613" i="12"/>
  <c r="D1613" i="12"/>
  <c r="E1613" i="12"/>
  <c r="F1613" i="12"/>
  <c r="G1613" i="12"/>
  <c r="A1614" i="12"/>
  <c r="B1614" i="12"/>
  <c r="C1614" i="12"/>
  <c r="D1614" i="12"/>
  <c r="E1614" i="12"/>
  <c r="F1614" i="12"/>
  <c r="G1614" i="12"/>
  <c r="A1615" i="12"/>
  <c r="B1615" i="12"/>
  <c r="C1615" i="12"/>
  <c r="D1615" i="12"/>
  <c r="E1615" i="12"/>
  <c r="F1615" i="12"/>
  <c r="G1615" i="12"/>
  <c r="A1616" i="12"/>
  <c r="B1616" i="12"/>
  <c r="C1616" i="12"/>
  <c r="D1616" i="12"/>
  <c r="E1616" i="12"/>
  <c r="F1616" i="12"/>
  <c r="G1616" i="12"/>
  <c r="A1617" i="12"/>
  <c r="B1617" i="12"/>
  <c r="C1617" i="12"/>
  <c r="D1617" i="12"/>
  <c r="E1617" i="12"/>
  <c r="F1617" i="12"/>
  <c r="G1617" i="12"/>
  <c r="A1618" i="12"/>
  <c r="B1618" i="12"/>
  <c r="C1618" i="12"/>
  <c r="D1618" i="12"/>
  <c r="E1618" i="12"/>
  <c r="F1618" i="12"/>
  <c r="G1618" i="12"/>
  <c r="A1619" i="12"/>
  <c r="B1619" i="12"/>
  <c r="C1619" i="12"/>
  <c r="D1619" i="12"/>
  <c r="E1619" i="12"/>
  <c r="F1619" i="12"/>
  <c r="G1619" i="12"/>
  <c r="A1620" i="12"/>
  <c r="B1620" i="12"/>
  <c r="C1620" i="12"/>
  <c r="D1620" i="12"/>
  <c r="E1620" i="12"/>
  <c r="F1620" i="12"/>
  <c r="G1620" i="12"/>
  <c r="A1621" i="12"/>
  <c r="B1621" i="12"/>
  <c r="C1621" i="12"/>
  <c r="D1621" i="12"/>
  <c r="E1621" i="12"/>
  <c r="F1621" i="12"/>
  <c r="G1621" i="12"/>
  <c r="A1622" i="12"/>
  <c r="B1622" i="12"/>
  <c r="C1622" i="12"/>
  <c r="D1622" i="12"/>
  <c r="E1622" i="12"/>
  <c r="F1622" i="12"/>
  <c r="G1622" i="12"/>
  <c r="A1623" i="12"/>
  <c r="B1623" i="12"/>
  <c r="C1623" i="12"/>
  <c r="D1623" i="12"/>
  <c r="E1623" i="12"/>
  <c r="F1623" i="12"/>
  <c r="G1623" i="12"/>
  <c r="A1624" i="12"/>
  <c r="B1624" i="12"/>
  <c r="C1624" i="12"/>
  <c r="D1624" i="12"/>
  <c r="E1624" i="12"/>
  <c r="F1624" i="12"/>
  <c r="G1624" i="12"/>
  <c r="A1625" i="12"/>
  <c r="B1625" i="12"/>
  <c r="C1625" i="12"/>
  <c r="D1625" i="12"/>
  <c r="E1625" i="12"/>
  <c r="F1625" i="12"/>
  <c r="G1625" i="12"/>
  <c r="A1626" i="12"/>
  <c r="B1626" i="12"/>
  <c r="C1626" i="12"/>
  <c r="D1626" i="12"/>
  <c r="E1626" i="12"/>
  <c r="F1626" i="12"/>
  <c r="G1626" i="12"/>
  <c r="A1627" i="12"/>
  <c r="B1627" i="12"/>
  <c r="C1627" i="12"/>
  <c r="D1627" i="12"/>
  <c r="E1627" i="12"/>
  <c r="F1627" i="12"/>
  <c r="G1627" i="12"/>
  <c r="A1628" i="12"/>
  <c r="B1628" i="12"/>
  <c r="C1628" i="12"/>
  <c r="D1628" i="12"/>
  <c r="E1628" i="12"/>
  <c r="F1628" i="12"/>
  <c r="G1628" i="12"/>
  <c r="A1629" i="12"/>
  <c r="B1629" i="12"/>
  <c r="C1629" i="12"/>
  <c r="D1629" i="12"/>
  <c r="E1629" i="12"/>
  <c r="F1629" i="12"/>
  <c r="G1629" i="12"/>
  <c r="A1630" i="12"/>
  <c r="B1630" i="12"/>
  <c r="C1630" i="12"/>
  <c r="D1630" i="12"/>
  <c r="E1630" i="12"/>
  <c r="F1630" i="12"/>
  <c r="G1630" i="12"/>
  <c r="A1631" i="12"/>
  <c r="B1631" i="12"/>
  <c r="C1631" i="12"/>
  <c r="D1631" i="12"/>
  <c r="E1631" i="12"/>
  <c r="F1631" i="12"/>
  <c r="G1631" i="12"/>
  <c r="A1632" i="12"/>
  <c r="B1632" i="12"/>
  <c r="C1632" i="12"/>
  <c r="D1632" i="12"/>
  <c r="E1632" i="12"/>
  <c r="F1632" i="12"/>
  <c r="G1632" i="12"/>
  <c r="A1633" i="12"/>
  <c r="B1633" i="12"/>
  <c r="C1633" i="12"/>
  <c r="D1633" i="12"/>
  <c r="E1633" i="12"/>
  <c r="F1633" i="12"/>
  <c r="G1633" i="12"/>
  <c r="A1634" i="12"/>
  <c r="B1634" i="12"/>
  <c r="C1634" i="12"/>
  <c r="D1634" i="12"/>
  <c r="E1634" i="12"/>
  <c r="F1634" i="12"/>
  <c r="G1634" i="12"/>
  <c r="A1635" i="12"/>
  <c r="B1635" i="12"/>
  <c r="C1635" i="12"/>
  <c r="D1635" i="12"/>
  <c r="E1635" i="12"/>
  <c r="F1635" i="12"/>
  <c r="G1635" i="12"/>
  <c r="A1636" i="12"/>
  <c r="B1636" i="12"/>
  <c r="C1636" i="12"/>
  <c r="D1636" i="12"/>
  <c r="E1636" i="12"/>
  <c r="F1636" i="12"/>
  <c r="G1636" i="12"/>
  <c r="A1637" i="12"/>
  <c r="B1637" i="12"/>
  <c r="C1637" i="12"/>
  <c r="D1637" i="12"/>
  <c r="E1637" i="12"/>
  <c r="F1637" i="12"/>
  <c r="G1637" i="12"/>
  <c r="A1638" i="12"/>
  <c r="B1638" i="12"/>
  <c r="C1638" i="12"/>
  <c r="D1638" i="12"/>
  <c r="E1638" i="12"/>
  <c r="F1638" i="12"/>
  <c r="G1638" i="12"/>
  <c r="A1639" i="12"/>
  <c r="B1639" i="12"/>
  <c r="C1639" i="12"/>
  <c r="D1639" i="12"/>
  <c r="E1639" i="12"/>
  <c r="F1639" i="12"/>
  <c r="G1639" i="12"/>
  <c r="A1640" i="12"/>
  <c r="B1640" i="12"/>
  <c r="C1640" i="12"/>
  <c r="D1640" i="12"/>
  <c r="E1640" i="12"/>
  <c r="F1640" i="12"/>
  <c r="G1640" i="12"/>
  <c r="A1641" i="12"/>
  <c r="B1641" i="12"/>
  <c r="C1641" i="12"/>
  <c r="D1641" i="12"/>
  <c r="E1641" i="12"/>
  <c r="F1641" i="12"/>
  <c r="G1641" i="12"/>
  <c r="A1642" i="12"/>
  <c r="B1642" i="12"/>
  <c r="C1642" i="12"/>
  <c r="D1642" i="12"/>
  <c r="E1642" i="12"/>
  <c r="F1642" i="12"/>
  <c r="G1642" i="12"/>
  <c r="A1643" i="12"/>
  <c r="B1643" i="12"/>
  <c r="C1643" i="12"/>
  <c r="D1643" i="12"/>
  <c r="E1643" i="12"/>
  <c r="F1643" i="12"/>
  <c r="G1643" i="12"/>
  <c r="A1644" i="12"/>
  <c r="B1644" i="12"/>
  <c r="C1644" i="12"/>
  <c r="D1644" i="12"/>
  <c r="E1644" i="12"/>
  <c r="F1644" i="12"/>
  <c r="G1644" i="12"/>
  <c r="A1645" i="12"/>
  <c r="B1645" i="12"/>
  <c r="C1645" i="12"/>
  <c r="D1645" i="12"/>
  <c r="E1645" i="12"/>
  <c r="F1645" i="12"/>
  <c r="G1645" i="12"/>
  <c r="A1646" i="12"/>
  <c r="B1646" i="12"/>
  <c r="C1646" i="12"/>
  <c r="D1646" i="12"/>
  <c r="E1646" i="12"/>
  <c r="F1646" i="12"/>
  <c r="G1646" i="12"/>
  <c r="A1647" i="12"/>
  <c r="B1647" i="12"/>
  <c r="C1647" i="12"/>
  <c r="D1647" i="12"/>
  <c r="E1647" i="12"/>
  <c r="F1647" i="12"/>
  <c r="G1647" i="12"/>
  <c r="A1648" i="12"/>
  <c r="B1648" i="12"/>
  <c r="C1648" i="12"/>
  <c r="D1648" i="12"/>
  <c r="E1648" i="12"/>
  <c r="F1648" i="12"/>
  <c r="G1648" i="12"/>
  <c r="A1649" i="12"/>
  <c r="B1649" i="12"/>
  <c r="C1649" i="12"/>
  <c r="D1649" i="12"/>
  <c r="E1649" i="12"/>
  <c r="F1649" i="12"/>
  <c r="G1649" i="12"/>
  <c r="A1650" i="12"/>
  <c r="B1650" i="12"/>
  <c r="C1650" i="12"/>
  <c r="D1650" i="12"/>
  <c r="E1650" i="12"/>
  <c r="F1650" i="12"/>
  <c r="G1650" i="12"/>
  <c r="A1651" i="12"/>
  <c r="B1651" i="12"/>
  <c r="C1651" i="12"/>
  <c r="D1651" i="12"/>
  <c r="E1651" i="12"/>
  <c r="F1651" i="12"/>
  <c r="G1651" i="12"/>
  <c r="A1652" i="12"/>
  <c r="B1652" i="12"/>
  <c r="C1652" i="12"/>
  <c r="D1652" i="12"/>
  <c r="E1652" i="12"/>
  <c r="F1652" i="12"/>
  <c r="G1652" i="12"/>
  <c r="A1653" i="12"/>
  <c r="B1653" i="12"/>
  <c r="C1653" i="12"/>
  <c r="D1653" i="12"/>
  <c r="E1653" i="12"/>
  <c r="F1653" i="12"/>
  <c r="G1653" i="12"/>
  <c r="A1654" i="12"/>
  <c r="B1654" i="12"/>
  <c r="C1654" i="12"/>
  <c r="D1654" i="12"/>
  <c r="E1654" i="12"/>
  <c r="F1654" i="12"/>
  <c r="G1654" i="12"/>
  <c r="A1655" i="12"/>
  <c r="B1655" i="12"/>
  <c r="C1655" i="12"/>
  <c r="D1655" i="12"/>
  <c r="E1655" i="12"/>
  <c r="F1655" i="12"/>
  <c r="G1655" i="12"/>
  <c r="A1656" i="12"/>
  <c r="B1656" i="12"/>
  <c r="C1656" i="12"/>
  <c r="D1656" i="12"/>
  <c r="E1656" i="12"/>
  <c r="F1656" i="12"/>
  <c r="G1656" i="12"/>
  <c r="A1657" i="12"/>
  <c r="B1657" i="12"/>
  <c r="C1657" i="12"/>
  <c r="D1657" i="12"/>
  <c r="E1657" i="12"/>
  <c r="F1657" i="12"/>
  <c r="G1657" i="12"/>
  <c r="A1658" i="12"/>
  <c r="B1658" i="12"/>
  <c r="C1658" i="12"/>
  <c r="D1658" i="12"/>
  <c r="E1658" i="12"/>
  <c r="F1658" i="12"/>
  <c r="G1658" i="12"/>
  <c r="A1659" i="12"/>
  <c r="B1659" i="12"/>
  <c r="C1659" i="12"/>
  <c r="D1659" i="12"/>
  <c r="E1659" i="12"/>
  <c r="F1659" i="12"/>
  <c r="G1659" i="12"/>
  <c r="A1660" i="12"/>
  <c r="B1660" i="12"/>
  <c r="C1660" i="12"/>
  <c r="D1660" i="12"/>
  <c r="E1660" i="12"/>
  <c r="F1660" i="12"/>
  <c r="G1660" i="12"/>
  <c r="A1661" i="12"/>
  <c r="B1661" i="12"/>
  <c r="C1661" i="12"/>
  <c r="D1661" i="12"/>
  <c r="E1661" i="12"/>
  <c r="F1661" i="12"/>
  <c r="G1661" i="12"/>
  <c r="A1662" i="12"/>
  <c r="B1662" i="12"/>
  <c r="C1662" i="12"/>
  <c r="D1662" i="12"/>
  <c r="E1662" i="12"/>
  <c r="F1662" i="12"/>
  <c r="G1662" i="12"/>
  <c r="A1663" i="12"/>
  <c r="B1663" i="12"/>
  <c r="C1663" i="12"/>
  <c r="D1663" i="12"/>
  <c r="E1663" i="12"/>
  <c r="F1663" i="12"/>
  <c r="G1663" i="12"/>
  <c r="A1664" i="12"/>
  <c r="B1664" i="12"/>
  <c r="C1664" i="12"/>
  <c r="D1664" i="12"/>
  <c r="E1664" i="12"/>
  <c r="F1664" i="12"/>
  <c r="G1664" i="12"/>
  <c r="A1665" i="12"/>
  <c r="B1665" i="12"/>
  <c r="C1665" i="12"/>
  <c r="D1665" i="12"/>
  <c r="E1665" i="12"/>
  <c r="F1665" i="12"/>
  <c r="G1665" i="12"/>
  <c r="A1666" i="12"/>
  <c r="B1666" i="12"/>
  <c r="C1666" i="12"/>
  <c r="D1666" i="12"/>
  <c r="E1666" i="12"/>
  <c r="F1666" i="12"/>
  <c r="G1666" i="12"/>
  <c r="A1667" i="12"/>
  <c r="B1667" i="12"/>
  <c r="C1667" i="12"/>
  <c r="D1667" i="12"/>
  <c r="E1667" i="12"/>
  <c r="F1667" i="12"/>
  <c r="G1667" i="12"/>
  <c r="A1668" i="12"/>
  <c r="B1668" i="12"/>
  <c r="C1668" i="12"/>
  <c r="D1668" i="12"/>
  <c r="E1668" i="12"/>
  <c r="F1668" i="12"/>
  <c r="G1668" i="12"/>
  <c r="A1669" i="12"/>
  <c r="B1669" i="12"/>
  <c r="C1669" i="12"/>
  <c r="D1669" i="12"/>
  <c r="E1669" i="12"/>
  <c r="F1669" i="12"/>
  <c r="G1669" i="12"/>
  <c r="A1670" i="12"/>
  <c r="B1670" i="12"/>
  <c r="C1670" i="12"/>
  <c r="D1670" i="12"/>
  <c r="E1670" i="12"/>
  <c r="F1670" i="12"/>
  <c r="G1670" i="12"/>
  <c r="A1671" i="12"/>
  <c r="B1671" i="12"/>
  <c r="C1671" i="12"/>
  <c r="D1671" i="12"/>
  <c r="E1671" i="12"/>
  <c r="F1671" i="12"/>
  <c r="G1671" i="12"/>
  <c r="A1672" i="12"/>
  <c r="B1672" i="12"/>
  <c r="C1672" i="12"/>
  <c r="D1672" i="12"/>
  <c r="E1672" i="12"/>
  <c r="F1672" i="12"/>
  <c r="G1672" i="12"/>
  <c r="A1673" i="12"/>
  <c r="B1673" i="12"/>
  <c r="C1673" i="12"/>
  <c r="D1673" i="12"/>
  <c r="E1673" i="12"/>
  <c r="F1673" i="12"/>
  <c r="G1673" i="12"/>
  <c r="A1674" i="12"/>
  <c r="B1674" i="12"/>
  <c r="C1674" i="12"/>
  <c r="D1674" i="12"/>
  <c r="E1674" i="12"/>
  <c r="F1674" i="12"/>
  <c r="G1674" i="12"/>
  <c r="A1675" i="12"/>
  <c r="B1675" i="12"/>
  <c r="C1675" i="12"/>
  <c r="D1675" i="12"/>
  <c r="E1675" i="12"/>
  <c r="F1675" i="12"/>
  <c r="G1675" i="12"/>
  <c r="A1676" i="12"/>
  <c r="B1676" i="12"/>
  <c r="C1676" i="12"/>
  <c r="D1676" i="12"/>
  <c r="E1676" i="12"/>
  <c r="F1676" i="12"/>
  <c r="G1676" i="12"/>
  <c r="A1677" i="12"/>
  <c r="B1677" i="12"/>
  <c r="C1677" i="12"/>
  <c r="D1677" i="12"/>
  <c r="E1677" i="12"/>
  <c r="F1677" i="12"/>
  <c r="G1677" i="12"/>
  <c r="A1678" i="12"/>
  <c r="B1678" i="12"/>
  <c r="C1678" i="12"/>
  <c r="D1678" i="12"/>
  <c r="E1678" i="12"/>
  <c r="F1678" i="12"/>
  <c r="G1678" i="12"/>
  <c r="A1679" i="12"/>
  <c r="B1679" i="12"/>
  <c r="C1679" i="12"/>
  <c r="D1679" i="12"/>
  <c r="E1679" i="12"/>
  <c r="F1679" i="12"/>
  <c r="G1679" i="12"/>
  <c r="A1680" i="12"/>
  <c r="B1680" i="12"/>
  <c r="C1680" i="12"/>
  <c r="D1680" i="12"/>
  <c r="E1680" i="12"/>
  <c r="F1680" i="12"/>
  <c r="G1680" i="12"/>
  <c r="A1681" i="12"/>
  <c r="B1681" i="12"/>
  <c r="C1681" i="12"/>
  <c r="D1681" i="12"/>
  <c r="E1681" i="12"/>
  <c r="F1681" i="12"/>
  <c r="G1681" i="12"/>
  <c r="A1682" i="12"/>
  <c r="B1682" i="12"/>
  <c r="C1682" i="12"/>
  <c r="D1682" i="12"/>
  <c r="E1682" i="12"/>
  <c r="F1682" i="12"/>
  <c r="G1682" i="12"/>
  <c r="A1683" i="12"/>
  <c r="B1683" i="12"/>
  <c r="C1683" i="12"/>
  <c r="D1683" i="12"/>
  <c r="E1683" i="12"/>
  <c r="F1683" i="12"/>
  <c r="G1683" i="12"/>
  <c r="A1684" i="12"/>
  <c r="B1684" i="12"/>
  <c r="C1684" i="12"/>
  <c r="D1684" i="12"/>
  <c r="E1684" i="12"/>
  <c r="F1684" i="12"/>
  <c r="G1684" i="12"/>
  <c r="A1685" i="12"/>
  <c r="B1685" i="12"/>
  <c r="C1685" i="12"/>
  <c r="D1685" i="12"/>
  <c r="E1685" i="12"/>
  <c r="F1685" i="12"/>
  <c r="G1685" i="12"/>
  <c r="A1686" i="12"/>
  <c r="B1686" i="12"/>
  <c r="C1686" i="12"/>
  <c r="D1686" i="12"/>
  <c r="E1686" i="12"/>
  <c r="F1686" i="12"/>
  <c r="G1686" i="12"/>
  <c r="A1687" i="12"/>
  <c r="B1687" i="12"/>
  <c r="C1687" i="12"/>
  <c r="D1687" i="12"/>
  <c r="E1687" i="12"/>
  <c r="F1687" i="12"/>
  <c r="G1687" i="12"/>
  <c r="A1688" i="12"/>
  <c r="B1688" i="12"/>
  <c r="C1688" i="12"/>
  <c r="D1688" i="12"/>
  <c r="E1688" i="12"/>
  <c r="F1688" i="12"/>
  <c r="G1688" i="12"/>
  <c r="A1689" i="12"/>
  <c r="B1689" i="12"/>
  <c r="C1689" i="12"/>
  <c r="D1689" i="12"/>
  <c r="E1689" i="12"/>
  <c r="F1689" i="12"/>
  <c r="G1689" i="12"/>
  <c r="A1690" i="12"/>
  <c r="B1690" i="12"/>
  <c r="C1690" i="12"/>
  <c r="D1690" i="12"/>
  <c r="E1690" i="12"/>
  <c r="F1690" i="12"/>
  <c r="G1690" i="12"/>
  <c r="A1691" i="12"/>
  <c r="B1691" i="12"/>
  <c r="C1691" i="12"/>
  <c r="D1691" i="12"/>
  <c r="E1691" i="12"/>
  <c r="F1691" i="12"/>
  <c r="G1691" i="12"/>
  <c r="A1692" i="12"/>
  <c r="B1692" i="12"/>
  <c r="C1692" i="12"/>
  <c r="D1692" i="12"/>
  <c r="E1692" i="12"/>
  <c r="F1692" i="12"/>
  <c r="G1692" i="12"/>
  <c r="A1693" i="12"/>
  <c r="B1693" i="12"/>
  <c r="C1693" i="12"/>
  <c r="D1693" i="12"/>
  <c r="E1693" i="12"/>
  <c r="F1693" i="12"/>
  <c r="G1693" i="12"/>
  <c r="A1694" i="12"/>
  <c r="B1694" i="12"/>
  <c r="C1694" i="12"/>
  <c r="D1694" i="12"/>
  <c r="E1694" i="12"/>
  <c r="F1694" i="12"/>
  <c r="G1694" i="12"/>
  <c r="A1695" i="12"/>
  <c r="B1695" i="12"/>
  <c r="C1695" i="12"/>
  <c r="D1695" i="12"/>
  <c r="E1695" i="12"/>
  <c r="F1695" i="12"/>
  <c r="G1695" i="12"/>
  <c r="A1696" i="12"/>
  <c r="B1696" i="12"/>
  <c r="C1696" i="12"/>
  <c r="D1696" i="12"/>
  <c r="E1696" i="12"/>
  <c r="F1696" i="12"/>
  <c r="G1696" i="12"/>
  <c r="A1697" i="12"/>
  <c r="B1697" i="12"/>
  <c r="C1697" i="12"/>
  <c r="D1697" i="12"/>
  <c r="E1697" i="12"/>
  <c r="F1697" i="12"/>
  <c r="G1697" i="12"/>
  <c r="A1698" i="12"/>
  <c r="B1698" i="12"/>
  <c r="C1698" i="12"/>
  <c r="D1698" i="12"/>
  <c r="E1698" i="12"/>
  <c r="F1698" i="12"/>
  <c r="G1698" i="12"/>
  <c r="A1699" i="12"/>
  <c r="B1699" i="12"/>
  <c r="C1699" i="12"/>
  <c r="D1699" i="12"/>
  <c r="E1699" i="12"/>
  <c r="F1699" i="12"/>
  <c r="G1699" i="12"/>
  <c r="A1700" i="12"/>
  <c r="B1700" i="12"/>
  <c r="C1700" i="12"/>
  <c r="D1700" i="12"/>
  <c r="E1700" i="12"/>
  <c r="F1700" i="12"/>
  <c r="G1700" i="12"/>
  <c r="A1701" i="12"/>
  <c r="B1701" i="12"/>
  <c r="C1701" i="12"/>
  <c r="D1701" i="12"/>
  <c r="E1701" i="12"/>
  <c r="F1701" i="12"/>
  <c r="G1701" i="12"/>
  <c r="A1702" i="12"/>
  <c r="B1702" i="12"/>
  <c r="C1702" i="12"/>
  <c r="D1702" i="12"/>
  <c r="E1702" i="12"/>
  <c r="F1702" i="12"/>
  <c r="G1702" i="12"/>
  <c r="A1703" i="12"/>
  <c r="B1703" i="12"/>
  <c r="C1703" i="12"/>
  <c r="D1703" i="12"/>
  <c r="E1703" i="12"/>
  <c r="F1703" i="12"/>
  <c r="G1703" i="12"/>
  <c r="A1704" i="12"/>
  <c r="B1704" i="12"/>
  <c r="C1704" i="12"/>
  <c r="D1704" i="12"/>
  <c r="E1704" i="12"/>
  <c r="F1704" i="12"/>
  <c r="G1704" i="12"/>
  <c r="A1705" i="12"/>
  <c r="B1705" i="12"/>
  <c r="C1705" i="12"/>
  <c r="D1705" i="12"/>
  <c r="E1705" i="12"/>
  <c r="F1705" i="12"/>
  <c r="G1705" i="12"/>
  <c r="A1706" i="12"/>
  <c r="B1706" i="12"/>
  <c r="C1706" i="12"/>
  <c r="D1706" i="12"/>
  <c r="E1706" i="12"/>
  <c r="F1706" i="12"/>
  <c r="G1706" i="12"/>
  <c r="A1707" i="12"/>
  <c r="B1707" i="12"/>
  <c r="C1707" i="12"/>
  <c r="D1707" i="12"/>
  <c r="E1707" i="12"/>
  <c r="F1707" i="12"/>
  <c r="G1707" i="12"/>
  <c r="A1708" i="12"/>
  <c r="B1708" i="12"/>
  <c r="C1708" i="12"/>
  <c r="D1708" i="12"/>
  <c r="E1708" i="12"/>
  <c r="F1708" i="12"/>
  <c r="G1708" i="12"/>
  <c r="A1709" i="12"/>
  <c r="B1709" i="12"/>
  <c r="C1709" i="12"/>
  <c r="D1709" i="12"/>
  <c r="E1709" i="12"/>
  <c r="F1709" i="12"/>
  <c r="G1709" i="12"/>
  <c r="A1710" i="12"/>
  <c r="B1710" i="12"/>
  <c r="C1710" i="12"/>
  <c r="D1710" i="12"/>
  <c r="E1710" i="12"/>
  <c r="F1710" i="12"/>
  <c r="G1710" i="12"/>
  <c r="A1711" i="12"/>
  <c r="B1711" i="12"/>
  <c r="C1711" i="12"/>
  <c r="D1711" i="12"/>
  <c r="E1711" i="12"/>
  <c r="F1711" i="12"/>
  <c r="G1711" i="12"/>
  <c r="A1712" i="12"/>
  <c r="B1712" i="12"/>
  <c r="C1712" i="12"/>
  <c r="D1712" i="12"/>
  <c r="E1712" i="12"/>
  <c r="F1712" i="12"/>
  <c r="G1712" i="12"/>
  <c r="A1713" i="12"/>
  <c r="B1713" i="12"/>
  <c r="C1713" i="12"/>
  <c r="D1713" i="12"/>
  <c r="E1713" i="12"/>
  <c r="F1713" i="12"/>
  <c r="G1713" i="12"/>
  <c r="A1714" i="12"/>
  <c r="B1714" i="12"/>
  <c r="C1714" i="12"/>
  <c r="D1714" i="12"/>
  <c r="E1714" i="12"/>
  <c r="F1714" i="12"/>
  <c r="G1714" i="12"/>
  <c r="A1715" i="12"/>
  <c r="B1715" i="12"/>
  <c r="C1715" i="12"/>
  <c r="D1715" i="12"/>
  <c r="E1715" i="12"/>
  <c r="F1715" i="12"/>
  <c r="G1715" i="12"/>
  <c r="A1716" i="12"/>
  <c r="B1716" i="12"/>
  <c r="C1716" i="12"/>
  <c r="D1716" i="12"/>
  <c r="E1716" i="12"/>
  <c r="F1716" i="12"/>
  <c r="G1716" i="12"/>
  <c r="A1717" i="12"/>
  <c r="B1717" i="12"/>
  <c r="C1717" i="12"/>
  <c r="D1717" i="12"/>
  <c r="E1717" i="12"/>
  <c r="F1717" i="12"/>
  <c r="G1717" i="12"/>
  <c r="A1718" i="12"/>
  <c r="B1718" i="12"/>
  <c r="C1718" i="12"/>
  <c r="D1718" i="12"/>
  <c r="E1718" i="12"/>
  <c r="F1718" i="12"/>
  <c r="G1718" i="12"/>
  <c r="A1719" i="12"/>
  <c r="B1719" i="12"/>
  <c r="C1719" i="12"/>
  <c r="D1719" i="12"/>
  <c r="E1719" i="12"/>
  <c r="F1719" i="12"/>
  <c r="G1719" i="12"/>
  <c r="A1720" i="12"/>
  <c r="B1720" i="12"/>
  <c r="C1720" i="12"/>
  <c r="D1720" i="12"/>
  <c r="E1720" i="12"/>
  <c r="F1720" i="12"/>
  <c r="G1720" i="12"/>
  <c r="A1721" i="12"/>
  <c r="B1721" i="12"/>
  <c r="C1721" i="12"/>
  <c r="D1721" i="12"/>
  <c r="E1721" i="12"/>
  <c r="F1721" i="12"/>
  <c r="G1721" i="12"/>
  <c r="A1722" i="12"/>
  <c r="B1722" i="12"/>
  <c r="C1722" i="12"/>
  <c r="D1722" i="12"/>
  <c r="E1722" i="12"/>
  <c r="F1722" i="12"/>
  <c r="G1722" i="12"/>
  <c r="A1723" i="12"/>
  <c r="B1723" i="12"/>
  <c r="C1723" i="12"/>
  <c r="D1723" i="12"/>
  <c r="E1723" i="12"/>
  <c r="F1723" i="12"/>
  <c r="G1723" i="12"/>
  <c r="A1724" i="12"/>
  <c r="B1724" i="12"/>
  <c r="C1724" i="12"/>
  <c r="D1724" i="12"/>
  <c r="E1724" i="12"/>
  <c r="F1724" i="12"/>
  <c r="G1724" i="12"/>
  <c r="A1725" i="12"/>
  <c r="B1725" i="12"/>
  <c r="C1725" i="12"/>
  <c r="D1725" i="12"/>
  <c r="E1725" i="12"/>
  <c r="F1725" i="12"/>
  <c r="G1725" i="12"/>
  <c r="A1726" i="12"/>
  <c r="B1726" i="12"/>
  <c r="C1726" i="12"/>
  <c r="D1726" i="12"/>
  <c r="E1726" i="12"/>
  <c r="F1726" i="12"/>
  <c r="G1726" i="12"/>
  <c r="A1727" i="12"/>
  <c r="B1727" i="12"/>
  <c r="C1727" i="12"/>
  <c r="D1727" i="12"/>
  <c r="E1727" i="12"/>
  <c r="F1727" i="12"/>
  <c r="G1727" i="12"/>
  <c r="A1728" i="12"/>
  <c r="B1728" i="12"/>
  <c r="C1728" i="12"/>
  <c r="D1728" i="12"/>
  <c r="E1728" i="12"/>
  <c r="F1728" i="12"/>
  <c r="G1728" i="12"/>
  <c r="A1729" i="12"/>
  <c r="B1729" i="12"/>
  <c r="C1729" i="12"/>
  <c r="D1729" i="12"/>
  <c r="E1729" i="12"/>
  <c r="F1729" i="12"/>
  <c r="G1729" i="12"/>
  <c r="A1730" i="12"/>
  <c r="B1730" i="12"/>
  <c r="C1730" i="12"/>
  <c r="D1730" i="12"/>
  <c r="E1730" i="12"/>
  <c r="F1730" i="12"/>
  <c r="G1730" i="12"/>
  <c r="A1731" i="12"/>
  <c r="B1731" i="12"/>
  <c r="C1731" i="12"/>
  <c r="D1731" i="12"/>
  <c r="E1731" i="12"/>
  <c r="F1731" i="12"/>
  <c r="G1731" i="12"/>
  <c r="A1732" i="12"/>
  <c r="B1732" i="12"/>
  <c r="C1732" i="12"/>
  <c r="D1732" i="12"/>
  <c r="E1732" i="12"/>
  <c r="F1732" i="12"/>
  <c r="G1732" i="12"/>
  <c r="A1733" i="12"/>
  <c r="B1733" i="12"/>
  <c r="C1733" i="12"/>
  <c r="D1733" i="12"/>
  <c r="E1733" i="12"/>
  <c r="F1733" i="12"/>
  <c r="G1733" i="12"/>
  <c r="A1734" i="12"/>
  <c r="B1734" i="12"/>
  <c r="C1734" i="12"/>
  <c r="D1734" i="12"/>
  <c r="E1734" i="12"/>
  <c r="F1734" i="12"/>
  <c r="G1734" i="12"/>
  <c r="A1735" i="12"/>
  <c r="B1735" i="12"/>
  <c r="C1735" i="12"/>
  <c r="D1735" i="12"/>
  <c r="E1735" i="12"/>
  <c r="F1735" i="12"/>
  <c r="G1735" i="12"/>
  <c r="A1736" i="12"/>
  <c r="B1736" i="12"/>
  <c r="C1736" i="12"/>
  <c r="D1736" i="12"/>
  <c r="E1736" i="12"/>
  <c r="F1736" i="12"/>
  <c r="G1736" i="12"/>
  <c r="A1737" i="12"/>
  <c r="B1737" i="12"/>
  <c r="C1737" i="12"/>
  <c r="D1737" i="12"/>
  <c r="E1737" i="12"/>
  <c r="F1737" i="12"/>
  <c r="G1737" i="12"/>
  <c r="A1738" i="12"/>
  <c r="B1738" i="12"/>
  <c r="C1738" i="12"/>
  <c r="D1738" i="12"/>
  <c r="E1738" i="12"/>
  <c r="F1738" i="12"/>
  <c r="G1738" i="12"/>
  <c r="A1739" i="12"/>
  <c r="B1739" i="12"/>
  <c r="C1739" i="12"/>
  <c r="D1739" i="12"/>
  <c r="E1739" i="12"/>
  <c r="F1739" i="12"/>
  <c r="G1739" i="12"/>
  <c r="A1740" i="12"/>
  <c r="B1740" i="12"/>
  <c r="C1740" i="12"/>
  <c r="D1740" i="12"/>
  <c r="E1740" i="12"/>
  <c r="F1740" i="12"/>
  <c r="G1740" i="12"/>
  <c r="A1741" i="12"/>
  <c r="B1741" i="12"/>
  <c r="C1741" i="12"/>
  <c r="D1741" i="12"/>
  <c r="E1741" i="12"/>
  <c r="F1741" i="12"/>
  <c r="G1741" i="12"/>
  <c r="A1742" i="12"/>
  <c r="B1742" i="12"/>
  <c r="C1742" i="12"/>
  <c r="D1742" i="12"/>
  <c r="E1742" i="12"/>
  <c r="F1742" i="12"/>
  <c r="G1742" i="12"/>
  <c r="A1743" i="12"/>
  <c r="B1743" i="12"/>
  <c r="C1743" i="12"/>
  <c r="D1743" i="12"/>
  <c r="E1743" i="12"/>
  <c r="F1743" i="12"/>
  <c r="G1743" i="12"/>
  <c r="A1744" i="12"/>
  <c r="B1744" i="12"/>
  <c r="C1744" i="12"/>
  <c r="D1744" i="12"/>
  <c r="E1744" i="12"/>
  <c r="F1744" i="12"/>
  <c r="G1744" i="12"/>
  <c r="A1745" i="12"/>
  <c r="B1745" i="12"/>
  <c r="C1745" i="12"/>
  <c r="D1745" i="12"/>
  <c r="E1745" i="12"/>
  <c r="F1745" i="12"/>
  <c r="G1745" i="12"/>
  <c r="A1746" i="12"/>
  <c r="B1746" i="12"/>
  <c r="C1746" i="12"/>
  <c r="D1746" i="12"/>
  <c r="E1746" i="12"/>
  <c r="F1746" i="12"/>
  <c r="G1746" i="12"/>
  <c r="A1747" i="12"/>
  <c r="B1747" i="12"/>
  <c r="C1747" i="12"/>
  <c r="D1747" i="12"/>
  <c r="E1747" i="12"/>
  <c r="F1747" i="12"/>
  <c r="G1747" i="12"/>
  <c r="A1748" i="12"/>
  <c r="B1748" i="12"/>
  <c r="C1748" i="12"/>
  <c r="D1748" i="12"/>
  <c r="E1748" i="12"/>
  <c r="F1748" i="12"/>
  <c r="G1748" i="12"/>
  <c r="A1749" i="12"/>
  <c r="B1749" i="12"/>
  <c r="C1749" i="12"/>
  <c r="D1749" i="12"/>
  <c r="E1749" i="12"/>
  <c r="F1749" i="12"/>
  <c r="G1749" i="12"/>
  <c r="A1750" i="12"/>
  <c r="B1750" i="12"/>
  <c r="C1750" i="12"/>
  <c r="D1750" i="12"/>
  <c r="E1750" i="12"/>
  <c r="F1750" i="12"/>
  <c r="G1750" i="12"/>
  <c r="A1751" i="12"/>
  <c r="B1751" i="12"/>
  <c r="C1751" i="12"/>
  <c r="D1751" i="12"/>
  <c r="E1751" i="12"/>
  <c r="F1751" i="12"/>
  <c r="G1751" i="12"/>
  <c r="A1752" i="12"/>
  <c r="B1752" i="12"/>
  <c r="C1752" i="12"/>
  <c r="D1752" i="12"/>
  <c r="E1752" i="12"/>
  <c r="F1752" i="12"/>
  <c r="G1752" i="12"/>
  <c r="A1753" i="12"/>
  <c r="B1753" i="12"/>
  <c r="C1753" i="12"/>
  <c r="D1753" i="12"/>
  <c r="E1753" i="12"/>
  <c r="F1753" i="12"/>
  <c r="G1753" i="12"/>
  <c r="A1754" i="12"/>
  <c r="B1754" i="12"/>
  <c r="C1754" i="12"/>
  <c r="D1754" i="12"/>
  <c r="E1754" i="12"/>
  <c r="F1754" i="12"/>
  <c r="G1754" i="12"/>
  <c r="A1755" i="12"/>
  <c r="B1755" i="12"/>
  <c r="C1755" i="12"/>
  <c r="D1755" i="12"/>
  <c r="E1755" i="12"/>
  <c r="F1755" i="12"/>
  <c r="G1755" i="12"/>
  <c r="A1756" i="12"/>
  <c r="B1756" i="12"/>
  <c r="C1756" i="12"/>
  <c r="D1756" i="12"/>
  <c r="E1756" i="12"/>
  <c r="F1756" i="12"/>
  <c r="G1756" i="12"/>
  <c r="A1757" i="12"/>
  <c r="B1757" i="12"/>
  <c r="C1757" i="12"/>
  <c r="D1757" i="12"/>
  <c r="E1757" i="12"/>
  <c r="F1757" i="12"/>
  <c r="G1757" i="12"/>
  <c r="A1758" i="12"/>
  <c r="B1758" i="12"/>
  <c r="C1758" i="12"/>
  <c r="D1758" i="12"/>
  <c r="E1758" i="12"/>
  <c r="F1758" i="12"/>
  <c r="G1758" i="12"/>
  <c r="A1759" i="12"/>
  <c r="B1759" i="12"/>
  <c r="C1759" i="12"/>
  <c r="D1759" i="12"/>
  <c r="E1759" i="12"/>
  <c r="F1759" i="12"/>
  <c r="G1759" i="12"/>
  <c r="A1760" i="12"/>
  <c r="B1760" i="12"/>
  <c r="C1760" i="12"/>
  <c r="D1760" i="12"/>
  <c r="E1760" i="12"/>
  <c r="F1760" i="12"/>
  <c r="G1760" i="12"/>
  <c r="A1761" i="12"/>
  <c r="B1761" i="12"/>
  <c r="C1761" i="12"/>
  <c r="D1761" i="12"/>
  <c r="E1761" i="12"/>
  <c r="F1761" i="12"/>
  <c r="G1761" i="12"/>
  <c r="A1762" i="12"/>
  <c r="B1762" i="12"/>
  <c r="C1762" i="12"/>
  <c r="D1762" i="12"/>
  <c r="E1762" i="12"/>
  <c r="F1762" i="12"/>
  <c r="G1762" i="12"/>
  <c r="A1763" i="12"/>
  <c r="B1763" i="12"/>
  <c r="C1763" i="12"/>
  <c r="D1763" i="12"/>
  <c r="E1763" i="12"/>
  <c r="F1763" i="12"/>
  <c r="G1763" i="12"/>
  <c r="A1764" i="12"/>
  <c r="B1764" i="12"/>
  <c r="C1764" i="12"/>
  <c r="D1764" i="12"/>
  <c r="E1764" i="12"/>
  <c r="F1764" i="12"/>
  <c r="G1764" i="12"/>
  <c r="A1765" i="12"/>
  <c r="B1765" i="12"/>
  <c r="C1765" i="12"/>
  <c r="D1765" i="12"/>
  <c r="E1765" i="12"/>
  <c r="F1765" i="12"/>
  <c r="G1765" i="12"/>
  <c r="A1766" i="12"/>
  <c r="B1766" i="12"/>
  <c r="C1766" i="12"/>
  <c r="D1766" i="12"/>
  <c r="E1766" i="12"/>
  <c r="F1766" i="12"/>
  <c r="G1766" i="12"/>
  <c r="A1767" i="12"/>
  <c r="B1767" i="12"/>
  <c r="C1767" i="12"/>
  <c r="D1767" i="12"/>
  <c r="E1767" i="12"/>
  <c r="F1767" i="12"/>
  <c r="G1767" i="12"/>
  <c r="A1768" i="12"/>
  <c r="B1768" i="12"/>
  <c r="C1768" i="12"/>
  <c r="D1768" i="12"/>
  <c r="E1768" i="12"/>
  <c r="F1768" i="12"/>
  <c r="G1768" i="12"/>
  <c r="A1769" i="12"/>
  <c r="B1769" i="12"/>
  <c r="C1769" i="12"/>
  <c r="D1769" i="12"/>
  <c r="E1769" i="12"/>
  <c r="F1769" i="12"/>
  <c r="G1769" i="12"/>
  <c r="A1770" i="12"/>
  <c r="B1770" i="12"/>
  <c r="C1770" i="12"/>
  <c r="D1770" i="12"/>
  <c r="E1770" i="12"/>
  <c r="F1770" i="12"/>
  <c r="G1770" i="12"/>
  <c r="A1771" i="12"/>
  <c r="B1771" i="12"/>
  <c r="C1771" i="12"/>
  <c r="D1771" i="12"/>
  <c r="E1771" i="12"/>
  <c r="F1771" i="12"/>
  <c r="G1771" i="12"/>
  <c r="A1772" i="12"/>
  <c r="B1772" i="12"/>
  <c r="C1772" i="12"/>
  <c r="D1772" i="12"/>
  <c r="E1772" i="12"/>
  <c r="F1772" i="12"/>
  <c r="G1772" i="12"/>
  <c r="A1773" i="12"/>
  <c r="B1773" i="12"/>
  <c r="C1773" i="12"/>
  <c r="D1773" i="12"/>
  <c r="E1773" i="12"/>
  <c r="F1773" i="12"/>
  <c r="G1773" i="12"/>
  <c r="A1774" i="12"/>
  <c r="B1774" i="12"/>
  <c r="C1774" i="12"/>
  <c r="D1774" i="12"/>
  <c r="E1774" i="12"/>
  <c r="F1774" i="12"/>
  <c r="G1774" i="12"/>
  <c r="A1775" i="12"/>
  <c r="B1775" i="12"/>
  <c r="C1775" i="12"/>
  <c r="D1775" i="12"/>
  <c r="E1775" i="12"/>
  <c r="F1775" i="12"/>
  <c r="G1775" i="12"/>
  <c r="A1776" i="12"/>
  <c r="B1776" i="12"/>
  <c r="C1776" i="12"/>
  <c r="D1776" i="12"/>
  <c r="E1776" i="12"/>
  <c r="F1776" i="12"/>
  <c r="G1776" i="12"/>
  <c r="A1777" i="12"/>
  <c r="B1777" i="12"/>
  <c r="C1777" i="12"/>
  <c r="D1777" i="12"/>
  <c r="E1777" i="12"/>
  <c r="F1777" i="12"/>
  <c r="G1777" i="12"/>
  <c r="A1778" i="12"/>
  <c r="B1778" i="12"/>
  <c r="C1778" i="12"/>
  <c r="D1778" i="12"/>
  <c r="E1778" i="12"/>
  <c r="F1778" i="12"/>
  <c r="G1778" i="12"/>
  <c r="A1779" i="12"/>
  <c r="B1779" i="12"/>
  <c r="C1779" i="12"/>
  <c r="D1779" i="12"/>
  <c r="E1779" i="12"/>
  <c r="F1779" i="12"/>
  <c r="G1779" i="12"/>
  <c r="A1780" i="12"/>
  <c r="B1780" i="12"/>
  <c r="C1780" i="12"/>
  <c r="D1780" i="12"/>
  <c r="E1780" i="12"/>
  <c r="F1780" i="12"/>
  <c r="G1780" i="12"/>
  <c r="A1781" i="12"/>
  <c r="B1781" i="12"/>
  <c r="C1781" i="12"/>
  <c r="D1781" i="12"/>
  <c r="E1781" i="12"/>
  <c r="F1781" i="12"/>
  <c r="G1781" i="12"/>
  <c r="A1782" i="12"/>
  <c r="B1782" i="12"/>
  <c r="C1782" i="12"/>
  <c r="D1782" i="12"/>
  <c r="E1782" i="12"/>
  <c r="F1782" i="12"/>
  <c r="G1782" i="12"/>
  <c r="A1783" i="12"/>
  <c r="B1783" i="12"/>
  <c r="C1783" i="12"/>
  <c r="D1783" i="12"/>
  <c r="E1783" i="12"/>
  <c r="F1783" i="12"/>
  <c r="G1783" i="12"/>
  <c r="A1784" i="12"/>
  <c r="B1784" i="12"/>
  <c r="C1784" i="12"/>
  <c r="D1784" i="12"/>
  <c r="E1784" i="12"/>
  <c r="F1784" i="12"/>
  <c r="G1784" i="12"/>
  <c r="A1785" i="12"/>
  <c r="B1785" i="12"/>
  <c r="C1785" i="12"/>
  <c r="D1785" i="12"/>
  <c r="E1785" i="12"/>
  <c r="F1785" i="12"/>
  <c r="G1785" i="12"/>
  <c r="A1786" i="12"/>
  <c r="B1786" i="12"/>
  <c r="C1786" i="12"/>
  <c r="D1786" i="12"/>
  <c r="E1786" i="12"/>
  <c r="F1786" i="12"/>
  <c r="G1786" i="12"/>
  <c r="A1787" i="12"/>
  <c r="B1787" i="12"/>
  <c r="C1787" i="12"/>
  <c r="D1787" i="12"/>
  <c r="E1787" i="12"/>
  <c r="F1787" i="12"/>
  <c r="G1787" i="12"/>
  <c r="A1788" i="12"/>
  <c r="B1788" i="12"/>
  <c r="C1788" i="12"/>
  <c r="D1788" i="12"/>
  <c r="E1788" i="12"/>
  <c r="F1788" i="12"/>
  <c r="G1788" i="12"/>
  <c r="A1789" i="12"/>
  <c r="B1789" i="12"/>
  <c r="C1789" i="12"/>
  <c r="D1789" i="12"/>
  <c r="E1789" i="12"/>
  <c r="F1789" i="12"/>
  <c r="G1789" i="12"/>
  <c r="A1790" i="12"/>
  <c r="B1790" i="12"/>
  <c r="C1790" i="12"/>
  <c r="D1790" i="12"/>
  <c r="E1790" i="12"/>
  <c r="F1790" i="12"/>
  <c r="G1790" i="12"/>
  <c r="A1791" i="12"/>
  <c r="B1791" i="12"/>
  <c r="C1791" i="12"/>
  <c r="D1791" i="12"/>
  <c r="E1791" i="12"/>
  <c r="F1791" i="12"/>
  <c r="G1791" i="12"/>
  <c r="A1792" i="12"/>
  <c r="B1792" i="12"/>
  <c r="C1792" i="12"/>
  <c r="D1792" i="12"/>
  <c r="E1792" i="12"/>
  <c r="F1792" i="12"/>
  <c r="G1792" i="12"/>
  <c r="A1793" i="12"/>
  <c r="B1793" i="12"/>
  <c r="C1793" i="12"/>
  <c r="D1793" i="12"/>
  <c r="E1793" i="12"/>
  <c r="F1793" i="12"/>
  <c r="G1793" i="12"/>
  <c r="A1794" i="12"/>
  <c r="B1794" i="12"/>
  <c r="C1794" i="12"/>
  <c r="D1794" i="12"/>
  <c r="E1794" i="12"/>
  <c r="F1794" i="12"/>
  <c r="G1794" i="12"/>
  <c r="A1795" i="12"/>
  <c r="B1795" i="12"/>
  <c r="C1795" i="12"/>
  <c r="D1795" i="12"/>
  <c r="E1795" i="12"/>
  <c r="F1795" i="12"/>
  <c r="G1795" i="12"/>
  <c r="A1796" i="12"/>
  <c r="B1796" i="12"/>
  <c r="C1796" i="12"/>
  <c r="D1796" i="12"/>
  <c r="E1796" i="12"/>
  <c r="F1796" i="12"/>
  <c r="G1796" i="12"/>
  <c r="A1797" i="12"/>
  <c r="B1797" i="12"/>
  <c r="C1797" i="12"/>
  <c r="D1797" i="12"/>
  <c r="E1797" i="12"/>
  <c r="F1797" i="12"/>
  <c r="G1797" i="12"/>
  <c r="A1798" i="12"/>
  <c r="B1798" i="12"/>
  <c r="C1798" i="12"/>
  <c r="D1798" i="12"/>
  <c r="E1798" i="12"/>
  <c r="F1798" i="12"/>
  <c r="G1798" i="12"/>
  <c r="A1799" i="12"/>
  <c r="B1799" i="12"/>
  <c r="C1799" i="12"/>
  <c r="D1799" i="12"/>
  <c r="E1799" i="12"/>
  <c r="F1799" i="12"/>
  <c r="G1799" i="12"/>
  <c r="A1800" i="12"/>
  <c r="B1800" i="12"/>
  <c r="C1800" i="12"/>
  <c r="D1800" i="12"/>
  <c r="E1800" i="12"/>
  <c r="F1800" i="12"/>
  <c r="G1800" i="12"/>
  <c r="A1801" i="12"/>
  <c r="B1801" i="12"/>
  <c r="C1801" i="12"/>
  <c r="D1801" i="12"/>
  <c r="E1801" i="12"/>
  <c r="F1801" i="12"/>
  <c r="G1801" i="12"/>
  <c r="A1802" i="12"/>
  <c r="B1802" i="12"/>
  <c r="C1802" i="12"/>
  <c r="D1802" i="12"/>
  <c r="E1802" i="12"/>
  <c r="F1802" i="12"/>
  <c r="G1802" i="12"/>
  <c r="A1803" i="12"/>
  <c r="B1803" i="12"/>
  <c r="C1803" i="12"/>
  <c r="D1803" i="12"/>
  <c r="E1803" i="12"/>
  <c r="F1803" i="12"/>
  <c r="G1803" i="12"/>
  <c r="A1804" i="12"/>
  <c r="B1804" i="12"/>
  <c r="C1804" i="12"/>
  <c r="D1804" i="12"/>
  <c r="E1804" i="12"/>
  <c r="F1804" i="12"/>
  <c r="G1804" i="12"/>
  <c r="A1805" i="12"/>
  <c r="B1805" i="12"/>
  <c r="C1805" i="12"/>
  <c r="D1805" i="12"/>
  <c r="E1805" i="12"/>
  <c r="F1805" i="12"/>
  <c r="G1805" i="12"/>
  <c r="A1806" i="12"/>
  <c r="B1806" i="12"/>
  <c r="C1806" i="12"/>
  <c r="D1806" i="12"/>
  <c r="E1806" i="12"/>
  <c r="F1806" i="12"/>
  <c r="G1806" i="12"/>
  <c r="A1807" i="12"/>
  <c r="B1807" i="12"/>
  <c r="C1807" i="12"/>
  <c r="D1807" i="12"/>
  <c r="E1807" i="12"/>
  <c r="F1807" i="12"/>
  <c r="G1807" i="12"/>
  <c r="A1808" i="12"/>
  <c r="B1808" i="12"/>
  <c r="C1808" i="12"/>
  <c r="D1808" i="12"/>
  <c r="E1808" i="12"/>
  <c r="F1808" i="12"/>
  <c r="G1808" i="12"/>
  <c r="A1809" i="12"/>
  <c r="B1809" i="12"/>
  <c r="C1809" i="12"/>
  <c r="D1809" i="12"/>
  <c r="E1809" i="12"/>
  <c r="F1809" i="12"/>
  <c r="G1809" i="12"/>
  <c r="A1810" i="12"/>
  <c r="B1810" i="12"/>
  <c r="C1810" i="12"/>
  <c r="D1810" i="12"/>
  <c r="E1810" i="12"/>
  <c r="F1810" i="12"/>
  <c r="G1810" i="12"/>
  <c r="A1811" i="12"/>
  <c r="B1811" i="12"/>
  <c r="C1811" i="12"/>
  <c r="D1811" i="12"/>
  <c r="E1811" i="12"/>
  <c r="F1811" i="12"/>
  <c r="G1811" i="12"/>
  <c r="A1812" i="12"/>
  <c r="B1812" i="12"/>
  <c r="C1812" i="12"/>
  <c r="D1812" i="12"/>
  <c r="E1812" i="12"/>
  <c r="F1812" i="12"/>
  <c r="G1812" i="12"/>
  <c r="A1813" i="12"/>
  <c r="B1813" i="12"/>
  <c r="C1813" i="12"/>
  <c r="D1813" i="12"/>
  <c r="E1813" i="12"/>
  <c r="F1813" i="12"/>
  <c r="G1813" i="12"/>
  <c r="A1814" i="12"/>
  <c r="B1814" i="12"/>
  <c r="C1814" i="12"/>
  <c r="D1814" i="12"/>
  <c r="E1814" i="12"/>
  <c r="F1814" i="12"/>
  <c r="G1814" i="12"/>
  <c r="A1815" i="12"/>
  <c r="B1815" i="12"/>
  <c r="C1815" i="12"/>
  <c r="D1815" i="12"/>
  <c r="E1815" i="12"/>
  <c r="F1815" i="12"/>
  <c r="G1815" i="12"/>
  <c r="A1816" i="12"/>
  <c r="B1816" i="12"/>
  <c r="C1816" i="12"/>
  <c r="D1816" i="12"/>
  <c r="E1816" i="12"/>
  <c r="F1816" i="12"/>
  <c r="G1816" i="12"/>
  <c r="A1817" i="12"/>
  <c r="B1817" i="12"/>
  <c r="C1817" i="12"/>
  <c r="D1817" i="12"/>
  <c r="E1817" i="12"/>
  <c r="F1817" i="12"/>
  <c r="G1817" i="12"/>
  <c r="A1818" i="12"/>
  <c r="B1818" i="12"/>
  <c r="C1818" i="12"/>
  <c r="D1818" i="12"/>
  <c r="E1818" i="12"/>
  <c r="F1818" i="12"/>
  <c r="G1818" i="12"/>
  <c r="A1819" i="12"/>
  <c r="B1819" i="12"/>
  <c r="C1819" i="12"/>
  <c r="D1819" i="12"/>
  <c r="E1819" i="12"/>
  <c r="F1819" i="12"/>
  <c r="G1819" i="12"/>
  <c r="A1820" i="12"/>
  <c r="B1820" i="12"/>
  <c r="C1820" i="12"/>
  <c r="D1820" i="12"/>
  <c r="E1820" i="12"/>
  <c r="F1820" i="12"/>
  <c r="G1820" i="12"/>
  <c r="A1821" i="12"/>
  <c r="B1821" i="12"/>
  <c r="C1821" i="12"/>
  <c r="D1821" i="12"/>
  <c r="E1821" i="12"/>
  <c r="F1821" i="12"/>
  <c r="G1821" i="12"/>
  <c r="A1822" i="12"/>
  <c r="B1822" i="12"/>
  <c r="C1822" i="12"/>
  <c r="D1822" i="12"/>
  <c r="E1822" i="12"/>
  <c r="F1822" i="12"/>
  <c r="G1822" i="12"/>
  <c r="A1823" i="12"/>
  <c r="B1823" i="12"/>
  <c r="C1823" i="12"/>
  <c r="D1823" i="12"/>
  <c r="E1823" i="12"/>
  <c r="F1823" i="12"/>
  <c r="G1823" i="12"/>
  <c r="A1824" i="12"/>
  <c r="B1824" i="12"/>
  <c r="C1824" i="12"/>
  <c r="D1824" i="12"/>
  <c r="E1824" i="12"/>
  <c r="F1824" i="12"/>
  <c r="G1824" i="12"/>
  <c r="A1825" i="12"/>
  <c r="B1825" i="12"/>
  <c r="C1825" i="12"/>
  <c r="D1825" i="12"/>
  <c r="E1825" i="12"/>
  <c r="F1825" i="12"/>
  <c r="G1825" i="12"/>
  <c r="A1826" i="12"/>
  <c r="B1826" i="12"/>
  <c r="C1826" i="12"/>
  <c r="D1826" i="12"/>
  <c r="E1826" i="12"/>
  <c r="F1826" i="12"/>
  <c r="G1826" i="12"/>
  <c r="A1827" i="12"/>
  <c r="B1827" i="12"/>
  <c r="C1827" i="12"/>
  <c r="D1827" i="12"/>
  <c r="E1827" i="12"/>
  <c r="F1827" i="12"/>
  <c r="G1827" i="12"/>
  <c r="A1828" i="12"/>
  <c r="B1828" i="12"/>
  <c r="C1828" i="12"/>
  <c r="D1828" i="12"/>
  <c r="E1828" i="12"/>
  <c r="F1828" i="12"/>
  <c r="G1828" i="12"/>
  <c r="A1829" i="12"/>
  <c r="B1829" i="12"/>
  <c r="C1829" i="12"/>
  <c r="D1829" i="12"/>
  <c r="E1829" i="12"/>
  <c r="F1829" i="12"/>
  <c r="G1829" i="12"/>
  <c r="A1830" i="12"/>
  <c r="B1830" i="12"/>
  <c r="C1830" i="12"/>
  <c r="D1830" i="12"/>
  <c r="E1830" i="12"/>
  <c r="F1830" i="12"/>
  <c r="G1830" i="12"/>
  <c r="A1831" i="12"/>
  <c r="B1831" i="12"/>
  <c r="C1831" i="12"/>
  <c r="D1831" i="12"/>
  <c r="E1831" i="12"/>
  <c r="F1831" i="12"/>
  <c r="G1831" i="12"/>
  <c r="A1832" i="12"/>
  <c r="B1832" i="12"/>
  <c r="C1832" i="12"/>
  <c r="D1832" i="12"/>
  <c r="E1832" i="12"/>
  <c r="F1832" i="12"/>
  <c r="G1832" i="12"/>
  <c r="A1833" i="12"/>
  <c r="B1833" i="12"/>
  <c r="C1833" i="12"/>
  <c r="D1833" i="12"/>
  <c r="E1833" i="12"/>
  <c r="F1833" i="12"/>
  <c r="G1833" i="12"/>
  <c r="A1834" i="12"/>
  <c r="B1834" i="12"/>
  <c r="C1834" i="12"/>
  <c r="D1834" i="12"/>
  <c r="E1834" i="12"/>
  <c r="F1834" i="12"/>
  <c r="G1834" i="12"/>
  <c r="A1835" i="12"/>
  <c r="B1835" i="12"/>
  <c r="C1835" i="12"/>
  <c r="D1835" i="12"/>
  <c r="E1835" i="12"/>
  <c r="F1835" i="12"/>
  <c r="G1835" i="12"/>
  <c r="A1836" i="12"/>
  <c r="B1836" i="12"/>
  <c r="C1836" i="12"/>
  <c r="D1836" i="12"/>
  <c r="E1836" i="12"/>
  <c r="F1836" i="12"/>
  <c r="G1836" i="12"/>
  <c r="A1837" i="12"/>
  <c r="B1837" i="12"/>
  <c r="C1837" i="12"/>
  <c r="D1837" i="12"/>
  <c r="E1837" i="12"/>
  <c r="F1837" i="12"/>
  <c r="G1837" i="12"/>
  <c r="A1838" i="12"/>
  <c r="B1838" i="12"/>
  <c r="C1838" i="12"/>
  <c r="D1838" i="12"/>
  <c r="E1838" i="12"/>
  <c r="F1838" i="12"/>
  <c r="G1838" i="12"/>
  <c r="A1839" i="12"/>
  <c r="B1839" i="12"/>
  <c r="C1839" i="12"/>
  <c r="D1839" i="12"/>
  <c r="E1839" i="12"/>
  <c r="F1839" i="12"/>
  <c r="G1839" i="12"/>
  <c r="A1840" i="12"/>
  <c r="B1840" i="12"/>
  <c r="C1840" i="12"/>
  <c r="D1840" i="12"/>
  <c r="E1840" i="12"/>
  <c r="F1840" i="12"/>
  <c r="G1840" i="12"/>
  <c r="A1841" i="12"/>
  <c r="B1841" i="12"/>
  <c r="C1841" i="12"/>
  <c r="D1841" i="12"/>
  <c r="E1841" i="12"/>
  <c r="F1841" i="12"/>
  <c r="G1841" i="12"/>
  <c r="A1842" i="12"/>
  <c r="B1842" i="12"/>
  <c r="C1842" i="12"/>
  <c r="D1842" i="12"/>
  <c r="E1842" i="12"/>
  <c r="F1842" i="12"/>
  <c r="G1842" i="12"/>
  <c r="A1843" i="12"/>
  <c r="B1843" i="12"/>
  <c r="C1843" i="12"/>
  <c r="D1843" i="12"/>
  <c r="E1843" i="12"/>
  <c r="F1843" i="12"/>
  <c r="G1843" i="12"/>
  <c r="A1844" i="12"/>
  <c r="B1844" i="12"/>
  <c r="C1844" i="12"/>
  <c r="D1844" i="12"/>
  <c r="E1844" i="12"/>
  <c r="F1844" i="12"/>
  <c r="G1844" i="12"/>
  <c r="A1845" i="12"/>
  <c r="B1845" i="12"/>
  <c r="C1845" i="12"/>
  <c r="D1845" i="12"/>
  <c r="E1845" i="12"/>
  <c r="F1845" i="12"/>
  <c r="G1845" i="12"/>
  <c r="A1846" i="12"/>
  <c r="B1846" i="12"/>
  <c r="C1846" i="12"/>
  <c r="D1846" i="12"/>
  <c r="E1846" i="12"/>
  <c r="F1846" i="12"/>
  <c r="G1846" i="12"/>
  <c r="A1847" i="12"/>
  <c r="B1847" i="12"/>
  <c r="C1847" i="12"/>
  <c r="D1847" i="12"/>
  <c r="E1847" i="12"/>
  <c r="F1847" i="12"/>
  <c r="G1847" i="12"/>
  <c r="A1848" i="12"/>
  <c r="B1848" i="12"/>
  <c r="C1848" i="12"/>
  <c r="D1848" i="12"/>
  <c r="E1848" i="12"/>
  <c r="F1848" i="12"/>
  <c r="G1848" i="12"/>
  <c r="A1849" i="12"/>
  <c r="B1849" i="12"/>
  <c r="C1849" i="12"/>
  <c r="D1849" i="12"/>
  <c r="E1849" i="12"/>
  <c r="F1849" i="12"/>
  <c r="G1849" i="12"/>
  <c r="A1850" i="12"/>
  <c r="B1850" i="12"/>
  <c r="C1850" i="12"/>
  <c r="D1850" i="12"/>
  <c r="E1850" i="12"/>
  <c r="F1850" i="12"/>
  <c r="G1850" i="12"/>
  <c r="A1851" i="12"/>
  <c r="B1851" i="12"/>
  <c r="C1851" i="12"/>
  <c r="D1851" i="12"/>
  <c r="E1851" i="12"/>
  <c r="F1851" i="12"/>
  <c r="G1851" i="12"/>
  <c r="A1852" i="12"/>
  <c r="B1852" i="12"/>
  <c r="C1852" i="12"/>
  <c r="D1852" i="12"/>
  <c r="E1852" i="12"/>
  <c r="F1852" i="12"/>
  <c r="G1852" i="12"/>
  <c r="A1853" i="12"/>
  <c r="B1853" i="12"/>
  <c r="C1853" i="12"/>
  <c r="D1853" i="12"/>
  <c r="E1853" i="12"/>
  <c r="F1853" i="12"/>
  <c r="G1853" i="12"/>
  <c r="A1854" i="12"/>
  <c r="B1854" i="12"/>
  <c r="C1854" i="12"/>
  <c r="D1854" i="12"/>
  <c r="E1854" i="12"/>
  <c r="F1854" i="12"/>
  <c r="G1854" i="12"/>
  <c r="A1855" i="12"/>
  <c r="B1855" i="12"/>
  <c r="C1855" i="12"/>
  <c r="D1855" i="12"/>
  <c r="E1855" i="12"/>
  <c r="F1855" i="12"/>
  <c r="G1855" i="12"/>
  <c r="A1856" i="12"/>
  <c r="B1856" i="12"/>
  <c r="C1856" i="12"/>
  <c r="D1856" i="12"/>
  <c r="E1856" i="12"/>
  <c r="F1856" i="12"/>
  <c r="G1856" i="12"/>
  <c r="A1857" i="12"/>
  <c r="B1857" i="12"/>
  <c r="C1857" i="12"/>
  <c r="D1857" i="12"/>
  <c r="E1857" i="12"/>
  <c r="F1857" i="12"/>
  <c r="G1857" i="12"/>
  <c r="A1858" i="12"/>
  <c r="B1858" i="12"/>
  <c r="C1858" i="12"/>
  <c r="D1858" i="12"/>
  <c r="E1858" i="12"/>
  <c r="F1858" i="12"/>
  <c r="G1858" i="12"/>
  <c r="A1859" i="12"/>
  <c r="B1859" i="12"/>
  <c r="C1859" i="12"/>
  <c r="D1859" i="12"/>
  <c r="E1859" i="12"/>
  <c r="F1859" i="12"/>
  <c r="G1859" i="12"/>
  <c r="A1860" i="12"/>
  <c r="B1860" i="12"/>
  <c r="C1860" i="12"/>
  <c r="D1860" i="12"/>
  <c r="E1860" i="12"/>
  <c r="F1860" i="12"/>
  <c r="G1860" i="12"/>
  <c r="A1861" i="12"/>
  <c r="B1861" i="12"/>
  <c r="C1861" i="12"/>
  <c r="D1861" i="12"/>
  <c r="E1861" i="12"/>
  <c r="F1861" i="12"/>
  <c r="G1861" i="12"/>
  <c r="A1862" i="12"/>
  <c r="B1862" i="12"/>
  <c r="C1862" i="12"/>
  <c r="D1862" i="12"/>
  <c r="E1862" i="12"/>
  <c r="F1862" i="12"/>
  <c r="G1862" i="12"/>
  <c r="A1863" i="12"/>
  <c r="B1863" i="12"/>
  <c r="C1863" i="12"/>
  <c r="D1863" i="12"/>
  <c r="E1863" i="12"/>
  <c r="F1863" i="12"/>
  <c r="G1863" i="12"/>
  <c r="A1864" i="12"/>
  <c r="B1864" i="12"/>
  <c r="C1864" i="12"/>
  <c r="D1864" i="12"/>
  <c r="E1864" i="12"/>
  <c r="F1864" i="12"/>
  <c r="G1864" i="12"/>
  <c r="A1865" i="12"/>
  <c r="B1865" i="12"/>
  <c r="C1865" i="12"/>
  <c r="D1865" i="12"/>
  <c r="E1865" i="12"/>
  <c r="F1865" i="12"/>
  <c r="G1865" i="12"/>
  <c r="A1866" i="12"/>
  <c r="B1866" i="12"/>
  <c r="C1866" i="12"/>
  <c r="D1866" i="12"/>
  <c r="E1866" i="12"/>
  <c r="F1866" i="12"/>
  <c r="G1866" i="12"/>
  <c r="A1867" i="12"/>
  <c r="B1867" i="12"/>
  <c r="C1867" i="12"/>
  <c r="D1867" i="12"/>
  <c r="E1867" i="12"/>
  <c r="F1867" i="12"/>
  <c r="G1867" i="12"/>
  <c r="A1868" i="12"/>
  <c r="B1868" i="12"/>
  <c r="C1868" i="12"/>
  <c r="D1868" i="12"/>
  <c r="E1868" i="12"/>
  <c r="F1868" i="12"/>
  <c r="G1868" i="12"/>
  <c r="A1869" i="12"/>
  <c r="B1869" i="12"/>
  <c r="C1869" i="12"/>
  <c r="D1869" i="12"/>
  <c r="E1869" i="12"/>
  <c r="F1869" i="12"/>
  <c r="G1869" i="12"/>
  <c r="A1870" i="12"/>
  <c r="B1870" i="12"/>
  <c r="C1870" i="12"/>
  <c r="D1870" i="12"/>
  <c r="E1870" i="12"/>
  <c r="F1870" i="12"/>
  <c r="G1870" i="12"/>
  <c r="A1871" i="12"/>
  <c r="B1871" i="12"/>
  <c r="C1871" i="12"/>
  <c r="D1871" i="12"/>
  <c r="E1871" i="12"/>
  <c r="F1871" i="12"/>
  <c r="G1871" i="12"/>
  <c r="A1872" i="12"/>
  <c r="B1872" i="12"/>
  <c r="C1872" i="12"/>
  <c r="D1872" i="12"/>
  <c r="E1872" i="12"/>
  <c r="F1872" i="12"/>
  <c r="G1872" i="12"/>
  <c r="A1873" i="12"/>
  <c r="B1873" i="12"/>
  <c r="C1873" i="12"/>
  <c r="D1873" i="12"/>
  <c r="E1873" i="12"/>
  <c r="F1873" i="12"/>
  <c r="G1873" i="12"/>
  <c r="A1874" i="12"/>
  <c r="B1874" i="12"/>
  <c r="C1874" i="12"/>
  <c r="D1874" i="12"/>
  <c r="E1874" i="12"/>
  <c r="F1874" i="12"/>
  <c r="G1874" i="12"/>
  <c r="A1875" i="12"/>
  <c r="B1875" i="12"/>
  <c r="C1875" i="12"/>
  <c r="D1875" i="12"/>
  <c r="E1875" i="12"/>
  <c r="F1875" i="12"/>
  <c r="G1875" i="12"/>
  <c r="A1876" i="12"/>
  <c r="B1876" i="12"/>
  <c r="C1876" i="12"/>
  <c r="D1876" i="12"/>
  <c r="E1876" i="12"/>
  <c r="F1876" i="12"/>
  <c r="G1876" i="12"/>
  <c r="A1877" i="12"/>
  <c r="B1877" i="12"/>
  <c r="C1877" i="12"/>
  <c r="D1877" i="12"/>
  <c r="E1877" i="12"/>
  <c r="F1877" i="12"/>
  <c r="G1877" i="12"/>
  <c r="A1878" i="12"/>
  <c r="B1878" i="12"/>
  <c r="C1878" i="12"/>
  <c r="D1878" i="12"/>
  <c r="E1878" i="12"/>
  <c r="F1878" i="12"/>
  <c r="G1878" i="12"/>
  <c r="A1879" i="12"/>
  <c r="B1879" i="12"/>
  <c r="C1879" i="12"/>
  <c r="D1879" i="12"/>
  <c r="E1879" i="12"/>
  <c r="F1879" i="12"/>
  <c r="G1879" i="12"/>
  <c r="A1880" i="12"/>
  <c r="B1880" i="12"/>
  <c r="C1880" i="12"/>
  <c r="D1880" i="12"/>
  <c r="E1880" i="12"/>
  <c r="F1880" i="12"/>
  <c r="G1880" i="12"/>
  <c r="A1881" i="12"/>
  <c r="B1881" i="12"/>
  <c r="C1881" i="12"/>
  <c r="D1881" i="12"/>
  <c r="E1881" i="12"/>
  <c r="F1881" i="12"/>
  <c r="G1881" i="12"/>
  <c r="A1882" i="12"/>
  <c r="B1882" i="12"/>
  <c r="C1882" i="12"/>
  <c r="D1882" i="12"/>
  <c r="E1882" i="12"/>
  <c r="F1882" i="12"/>
  <c r="G1882" i="12"/>
  <c r="A1883" i="12"/>
  <c r="B1883" i="12"/>
  <c r="C1883" i="12"/>
  <c r="D1883" i="12"/>
  <c r="E1883" i="12"/>
  <c r="F1883" i="12"/>
  <c r="G1883" i="12"/>
  <c r="A1884" i="12"/>
  <c r="B1884" i="12"/>
  <c r="C1884" i="12"/>
  <c r="D1884" i="12"/>
  <c r="E1884" i="12"/>
  <c r="F1884" i="12"/>
  <c r="G1884" i="12"/>
  <c r="A1885" i="12"/>
  <c r="B1885" i="12"/>
  <c r="C1885" i="12"/>
  <c r="D1885" i="12"/>
  <c r="E1885" i="12"/>
  <c r="F1885" i="12"/>
  <c r="G1885" i="12"/>
  <c r="A1886" i="12"/>
  <c r="B1886" i="12"/>
  <c r="C1886" i="12"/>
  <c r="D1886" i="12"/>
  <c r="E1886" i="12"/>
  <c r="F1886" i="12"/>
  <c r="G1886" i="12"/>
  <c r="A1887" i="12"/>
  <c r="B1887" i="12"/>
  <c r="C1887" i="12"/>
  <c r="D1887" i="12"/>
  <c r="E1887" i="12"/>
  <c r="F1887" i="12"/>
  <c r="G1887" i="12"/>
  <c r="A1888" i="12"/>
  <c r="B1888" i="12"/>
  <c r="C1888" i="12"/>
  <c r="D1888" i="12"/>
  <c r="E1888" i="12"/>
  <c r="F1888" i="12"/>
  <c r="G1888" i="12"/>
  <c r="A1889" i="12"/>
  <c r="B1889" i="12"/>
  <c r="C1889" i="12"/>
  <c r="D1889" i="12"/>
  <c r="E1889" i="12"/>
  <c r="F1889" i="12"/>
  <c r="G1889" i="12"/>
  <c r="A1890" i="12"/>
  <c r="B1890" i="12"/>
  <c r="C1890" i="12"/>
  <c r="D1890" i="12"/>
  <c r="E1890" i="12"/>
  <c r="F1890" i="12"/>
  <c r="G1890" i="12"/>
  <c r="A1891" i="12"/>
  <c r="B1891" i="12"/>
  <c r="C1891" i="12"/>
  <c r="D1891" i="12"/>
  <c r="E1891" i="12"/>
  <c r="F1891" i="12"/>
  <c r="G1891" i="12"/>
  <c r="A1892" i="12"/>
  <c r="B1892" i="12"/>
  <c r="C1892" i="12"/>
  <c r="D1892" i="12"/>
  <c r="E1892" i="12"/>
  <c r="F1892" i="12"/>
  <c r="G1892" i="12"/>
  <c r="A1893" i="12"/>
  <c r="B1893" i="12"/>
  <c r="C1893" i="12"/>
  <c r="D1893" i="12"/>
  <c r="E1893" i="12"/>
  <c r="F1893" i="12"/>
  <c r="G1893" i="12"/>
  <c r="A1894" i="12"/>
  <c r="B1894" i="12"/>
  <c r="C1894" i="12"/>
  <c r="D1894" i="12"/>
  <c r="E1894" i="12"/>
  <c r="F1894" i="12"/>
  <c r="G1894" i="12"/>
  <c r="A1895" i="12"/>
  <c r="B1895" i="12"/>
  <c r="C1895" i="12"/>
  <c r="D1895" i="12"/>
  <c r="E1895" i="12"/>
  <c r="F1895" i="12"/>
  <c r="G1895" i="12"/>
  <c r="A1896" i="12"/>
  <c r="B1896" i="12"/>
  <c r="C1896" i="12"/>
  <c r="D1896" i="12"/>
  <c r="E1896" i="12"/>
  <c r="F1896" i="12"/>
  <c r="G1896" i="12"/>
  <c r="A1897" i="12"/>
  <c r="B1897" i="12"/>
  <c r="C1897" i="12"/>
  <c r="D1897" i="12"/>
  <c r="E1897" i="12"/>
  <c r="F1897" i="12"/>
  <c r="G1897" i="12"/>
  <c r="A1898" i="12"/>
  <c r="B1898" i="12"/>
  <c r="C1898" i="12"/>
  <c r="D1898" i="12"/>
  <c r="E1898" i="12"/>
  <c r="F1898" i="12"/>
  <c r="G1898" i="12"/>
  <c r="A1899" i="12"/>
  <c r="B1899" i="12"/>
  <c r="C1899" i="12"/>
  <c r="D1899" i="12"/>
  <c r="E1899" i="12"/>
  <c r="F1899" i="12"/>
  <c r="G1899" i="12"/>
  <c r="A1900" i="12"/>
  <c r="B1900" i="12"/>
  <c r="C1900" i="12"/>
  <c r="D1900" i="12"/>
  <c r="E1900" i="12"/>
  <c r="F1900" i="12"/>
  <c r="G1900" i="12"/>
  <c r="A1901" i="12"/>
  <c r="B1901" i="12"/>
  <c r="C1901" i="12"/>
  <c r="D1901" i="12"/>
  <c r="E1901" i="12"/>
  <c r="F1901" i="12"/>
  <c r="G1901" i="12"/>
  <c r="A1902" i="12"/>
  <c r="B1902" i="12"/>
  <c r="C1902" i="12"/>
  <c r="D1902" i="12"/>
  <c r="E1902" i="12"/>
  <c r="F1902" i="12"/>
  <c r="G1902" i="12"/>
  <c r="A1903" i="12"/>
  <c r="B1903" i="12"/>
  <c r="C1903" i="12"/>
  <c r="D1903" i="12"/>
  <c r="E1903" i="12"/>
  <c r="F1903" i="12"/>
  <c r="G1903" i="12"/>
  <c r="A1904" i="12"/>
  <c r="B1904" i="12"/>
  <c r="C1904" i="12"/>
  <c r="D1904" i="12"/>
  <c r="E1904" i="12"/>
  <c r="F1904" i="12"/>
  <c r="G1904" i="12"/>
  <c r="A1905" i="12"/>
  <c r="B1905" i="12"/>
  <c r="C1905" i="12"/>
  <c r="D1905" i="12"/>
  <c r="E1905" i="12"/>
  <c r="F1905" i="12"/>
  <c r="G1905" i="12"/>
  <c r="A1906" i="12"/>
  <c r="B1906" i="12"/>
  <c r="C1906" i="12"/>
  <c r="D1906" i="12"/>
  <c r="E1906" i="12"/>
  <c r="F1906" i="12"/>
  <c r="G1906" i="12"/>
  <c r="A1907" i="12"/>
  <c r="B1907" i="12"/>
  <c r="C1907" i="12"/>
  <c r="D1907" i="12"/>
  <c r="E1907" i="12"/>
  <c r="F1907" i="12"/>
  <c r="G1907" i="12"/>
  <c r="A1908" i="12"/>
  <c r="B1908" i="12"/>
  <c r="C1908" i="12"/>
  <c r="D1908" i="12"/>
  <c r="E1908" i="12"/>
  <c r="F1908" i="12"/>
  <c r="G1908" i="12"/>
  <c r="A1909" i="12"/>
  <c r="B1909" i="12"/>
  <c r="C1909" i="12"/>
  <c r="D1909" i="12"/>
  <c r="E1909" i="12"/>
  <c r="F1909" i="12"/>
  <c r="G1909" i="12"/>
  <c r="A1910" i="12"/>
  <c r="B1910" i="12"/>
  <c r="C1910" i="12"/>
  <c r="D1910" i="12"/>
  <c r="E1910" i="12"/>
  <c r="F1910" i="12"/>
  <c r="G1910" i="12"/>
  <c r="A1911" i="12"/>
  <c r="B1911" i="12"/>
  <c r="C1911" i="12"/>
  <c r="D1911" i="12"/>
  <c r="E1911" i="12"/>
  <c r="F1911" i="12"/>
  <c r="G1911" i="12"/>
  <c r="A1912" i="12"/>
  <c r="B1912" i="12"/>
  <c r="C1912" i="12"/>
  <c r="D1912" i="12"/>
  <c r="E1912" i="12"/>
  <c r="F1912" i="12"/>
  <c r="G1912" i="12"/>
  <c r="A1913" i="12"/>
  <c r="B1913" i="12"/>
  <c r="C1913" i="12"/>
  <c r="D1913" i="12"/>
  <c r="E1913" i="12"/>
  <c r="F1913" i="12"/>
  <c r="G1913" i="12"/>
  <c r="A1914" i="12"/>
  <c r="B1914" i="12"/>
  <c r="C1914" i="12"/>
  <c r="D1914" i="12"/>
  <c r="E1914" i="12"/>
  <c r="F1914" i="12"/>
  <c r="G1914" i="12"/>
  <c r="A1915" i="12"/>
  <c r="B1915" i="12"/>
  <c r="C1915" i="12"/>
  <c r="D1915" i="12"/>
  <c r="E1915" i="12"/>
  <c r="F1915" i="12"/>
  <c r="G1915" i="12"/>
  <c r="A1916" i="12"/>
  <c r="B1916" i="12"/>
  <c r="C1916" i="12"/>
  <c r="D1916" i="12"/>
  <c r="E1916" i="12"/>
  <c r="F1916" i="12"/>
  <c r="G1916" i="12"/>
  <c r="A1917" i="12"/>
  <c r="B1917" i="12"/>
  <c r="C1917" i="12"/>
  <c r="D1917" i="12"/>
  <c r="E1917" i="12"/>
  <c r="F1917" i="12"/>
  <c r="G1917" i="12"/>
  <c r="A1918" i="12"/>
  <c r="B1918" i="12"/>
  <c r="C1918" i="12"/>
  <c r="D1918" i="12"/>
  <c r="E1918" i="12"/>
  <c r="F1918" i="12"/>
  <c r="G1918" i="12"/>
  <c r="A1919" i="12"/>
  <c r="B1919" i="12"/>
  <c r="C1919" i="12"/>
  <c r="D1919" i="12"/>
  <c r="E1919" i="12"/>
  <c r="F1919" i="12"/>
  <c r="G1919" i="12"/>
  <c r="A1920" i="12"/>
  <c r="B1920" i="12"/>
  <c r="C1920" i="12"/>
  <c r="D1920" i="12"/>
  <c r="E1920" i="12"/>
  <c r="F1920" i="12"/>
  <c r="G1920" i="12"/>
  <c r="A1921" i="12"/>
  <c r="B1921" i="12"/>
  <c r="C1921" i="12"/>
  <c r="D1921" i="12"/>
  <c r="E1921" i="12"/>
  <c r="F1921" i="12"/>
  <c r="G1921" i="12"/>
  <c r="A1922" i="12"/>
  <c r="B1922" i="12"/>
  <c r="C1922" i="12"/>
  <c r="D1922" i="12"/>
  <c r="E1922" i="12"/>
  <c r="F1922" i="12"/>
  <c r="G1922" i="12"/>
  <c r="A1923" i="12"/>
  <c r="B1923" i="12"/>
  <c r="C1923" i="12"/>
  <c r="D1923" i="12"/>
  <c r="E1923" i="12"/>
  <c r="F1923" i="12"/>
  <c r="G1923" i="12"/>
  <c r="A1924" i="12"/>
  <c r="B1924" i="12"/>
  <c r="C1924" i="12"/>
  <c r="D1924" i="12"/>
  <c r="E1924" i="12"/>
  <c r="F1924" i="12"/>
  <c r="G1924" i="12"/>
  <c r="A1925" i="12"/>
  <c r="B1925" i="12"/>
  <c r="C1925" i="12"/>
  <c r="D1925" i="12"/>
  <c r="E1925" i="12"/>
  <c r="F1925" i="12"/>
  <c r="G1925" i="12"/>
  <c r="A1926" i="12"/>
  <c r="B1926" i="12"/>
  <c r="C1926" i="12"/>
  <c r="D1926" i="12"/>
  <c r="E1926" i="12"/>
  <c r="F1926" i="12"/>
  <c r="G1926" i="12"/>
  <c r="A1927" i="12"/>
  <c r="B1927" i="12"/>
  <c r="C1927" i="12"/>
  <c r="D1927" i="12"/>
  <c r="E1927" i="12"/>
  <c r="F1927" i="12"/>
  <c r="G1927" i="12"/>
  <c r="A1928" i="12"/>
  <c r="B1928" i="12"/>
  <c r="C1928" i="12"/>
  <c r="D1928" i="12"/>
  <c r="E1928" i="12"/>
  <c r="F1928" i="12"/>
  <c r="G1928" i="12"/>
  <c r="A1929" i="12"/>
  <c r="B1929" i="12"/>
  <c r="C1929" i="12"/>
  <c r="D1929" i="12"/>
  <c r="E1929" i="12"/>
  <c r="F1929" i="12"/>
  <c r="G1929" i="12"/>
  <c r="A1930" i="12"/>
  <c r="B1930" i="12"/>
  <c r="C1930" i="12"/>
  <c r="D1930" i="12"/>
  <c r="E1930" i="12"/>
  <c r="F1930" i="12"/>
  <c r="G1930" i="12"/>
  <c r="A1931" i="12"/>
  <c r="B1931" i="12"/>
  <c r="C1931" i="12"/>
  <c r="D1931" i="12"/>
  <c r="E1931" i="12"/>
  <c r="F1931" i="12"/>
  <c r="G1931" i="12"/>
  <c r="A1932" i="12"/>
  <c r="B1932" i="12"/>
  <c r="C1932" i="12"/>
  <c r="D1932" i="12"/>
  <c r="E1932" i="12"/>
  <c r="F1932" i="12"/>
  <c r="G1932" i="12"/>
  <c r="A1933" i="12"/>
  <c r="B1933" i="12"/>
  <c r="C1933" i="12"/>
  <c r="D1933" i="12"/>
  <c r="E1933" i="12"/>
  <c r="F1933" i="12"/>
  <c r="G1933" i="12"/>
  <c r="A1934" i="12"/>
  <c r="B1934" i="12"/>
  <c r="C1934" i="12"/>
  <c r="D1934" i="12"/>
  <c r="E1934" i="12"/>
  <c r="F1934" i="12"/>
  <c r="G1934" i="12"/>
  <c r="A1935" i="12"/>
  <c r="B1935" i="12"/>
  <c r="C1935" i="12"/>
  <c r="D1935" i="12"/>
  <c r="E1935" i="12"/>
  <c r="F1935" i="12"/>
  <c r="G1935" i="12"/>
  <c r="A1936" i="12"/>
  <c r="B1936" i="12"/>
  <c r="C1936" i="12"/>
  <c r="D1936" i="12"/>
  <c r="E1936" i="12"/>
  <c r="F1936" i="12"/>
  <c r="G1936" i="12"/>
  <c r="A1937" i="12"/>
  <c r="B1937" i="12"/>
  <c r="C1937" i="12"/>
  <c r="D1937" i="12"/>
  <c r="E1937" i="12"/>
  <c r="F1937" i="12"/>
  <c r="G1937" i="12"/>
  <c r="A1938" i="12"/>
  <c r="B1938" i="12"/>
  <c r="C1938" i="12"/>
  <c r="D1938" i="12"/>
  <c r="E1938" i="12"/>
  <c r="F1938" i="12"/>
  <c r="G1938" i="12"/>
  <c r="A1939" i="12"/>
  <c r="B1939" i="12"/>
  <c r="C1939" i="12"/>
  <c r="D1939" i="12"/>
  <c r="E1939" i="12"/>
  <c r="F1939" i="12"/>
  <c r="G1939" i="12"/>
  <c r="A1940" i="12"/>
  <c r="B1940" i="12"/>
  <c r="C1940" i="12"/>
  <c r="D1940" i="12"/>
  <c r="E1940" i="12"/>
  <c r="F1940" i="12"/>
  <c r="G1940" i="12"/>
  <c r="A1941" i="12"/>
  <c r="B1941" i="12"/>
  <c r="C1941" i="12"/>
  <c r="D1941" i="12"/>
  <c r="E1941" i="12"/>
  <c r="F1941" i="12"/>
  <c r="G1941" i="12"/>
  <c r="A1942" i="12"/>
  <c r="B1942" i="12"/>
  <c r="C1942" i="12"/>
  <c r="D1942" i="12"/>
  <c r="E1942" i="12"/>
  <c r="F1942" i="12"/>
  <c r="G1942" i="12"/>
  <c r="A1943" i="12"/>
  <c r="B1943" i="12"/>
  <c r="C1943" i="12"/>
  <c r="D1943" i="12"/>
  <c r="E1943" i="12"/>
  <c r="F1943" i="12"/>
  <c r="G1943" i="12"/>
  <c r="A1944" i="12"/>
  <c r="B1944" i="12"/>
  <c r="C1944" i="12"/>
  <c r="D1944" i="12"/>
  <c r="E1944" i="12"/>
  <c r="F1944" i="12"/>
  <c r="G1944" i="12"/>
  <c r="A1945" i="12"/>
  <c r="B1945" i="12"/>
  <c r="C1945" i="12"/>
  <c r="D1945" i="12"/>
  <c r="E1945" i="12"/>
  <c r="F1945" i="12"/>
  <c r="G1945" i="12"/>
  <c r="A1946" i="12"/>
  <c r="B1946" i="12"/>
  <c r="C1946" i="12"/>
  <c r="D1946" i="12"/>
  <c r="E1946" i="12"/>
  <c r="F1946" i="12"/>
  <c r="G1946" i="12"/>
  <c r="A1947" i="12"/>
  <c r="B1947" i="12"/>
  <c r="C1947" i="12"/>
  <c r="D1947" i="12"/>
  <c r="E1947" i="12"/>
  <c r="F1947" i="12"/>
  <c r="G1947" i="12"/>
  <c r="A1948" i="12"/>
  <c r="B1948" i="12"/>
  <c r="C1948" i="12"/>
  <c r="D1948" i="12"/>
  <c r="E1948" i="12"/>
  <c r="F1948" i="12"/>
  <c r="G1948" i="12"/>
  <c r="A1949" i="12"/>
  <c r="B1949" i="12"/>
  <c r="C1949" i="12"/>
  <c r="D1949" i="12"/>
  <c r="E1949" i="12"/>
  <c r="F1949" i="12"/>
  <c r="G1949" i="12"/>
  <c r="A1950" i="12"/>
  <c r="B1950" i="12"/>
  <c r="C1950" i="12"/>
  <c r="D1950" i="12"/>
  <c r="E1950" i="12"/>
  <c r="F1950" i="12"/>
  <c r="G1950" i="12"/>
  <c r="A1951" i="12"/>
  <c r="B1951" i="12"/>
  <c r="C1951" i="12"/>
  <c r="D1951" i="12"/>
  <c r="E1951" i="12"/>
  <c r="F1951" i="12"/>
  <c r="G1951" i="12"/>
  <c r="A1952" i="12"/>
  <c r="B1952" i="12"/>
  <c r="C1952" i="12"/>
  <c r="D1952" i="12"/>
  <c r="E1952" i="12"/>
  <c r="F1952" i="12"/>
  <c r="G1952" i="12"/>
  <c r="A1953" i="12"/>
  <c r="B1953" i="12"/>
  <c r="C1953" i="12"/>
  <c r="D1953" i="12"/>
  <c r="E1953" i="12"/>
  <c r="F1953" i="12"/>
  <c r="G1953" i="12"/>
  <c r="A1954" i="12"/>
  <c r="B1954" i="12"/>
  <c r="C1954" i="12"/>
  <c r="D1954" i="12"/>
  <c r="E1954" i="12"/>
  <c r="F1954" i="12"/>
  <c r="G1954" i="12"/>
  <c r="A1955" i="12"/>
  <c r="B1955" i="12"/>
  <c r="C1955" i="12"/>
  <c r="D1955" i="12"/>
  <c r="E1955" i="12"/>
  <c r="F1955" i="12"/>
  <c r="G1955" i="12"/>
  <c r="A1956" i="12"/>
  <c r="B1956" i="12"/>
  <c r="C1956" i="12"/>
  <c r="D1956" i="12"/>
  <c r="E1956" i="12"/>
  <c r="F1956" i="12"/>
  <c r="G1956" i="12"/>
  <c r="A1957" i="12"/>
  <c r="B1957" i="12"/>
  <c r="C1957" i="12"/>
  <c r="D1957" i="12"/>
  <c r="E1957" i="12"/>
  <c r="F1957" i="12"/>
  <c r="G1957" i="12"/>
  <c r="A1958" i="12"/>
  <c r="B1958" i="12"/>
  <c r="C1958" i="12"/>
  <c r="D1958" i="12"/>
  <c r="E1958" i="12"/>
  <c r="F1958" i="12"/>
  <c r="G1958" i="12"/>
  <c r="A1959" i="12"/>
  <c r="B1959" i="12"/>
  <c r="C1959" i="12"/>
  <c r="D1959" i="12"/>
  <c r="E1959" i="12"/>
  <c r="F1959" i="12"/>
  <c r="G1959" i="12"/>
  <c r="A1960" i="12"/>
  <c r="B1960" i="12"/>
  <c r="C1960" i="12"/>
  <c r="D1960" i="12"/>
  <c r="E1960" i="12"/>
  <c r="F1960" i="12"/>
  <c r="G1960" i="12"/>
  <c r="A1961" i="12"/>
  <c r="B1961" i="12"/>
  <c r="C1961" i="12"/>
  <c r="D1961" i="12"/>
  <c r="E1961" i="12"/>
  <c r="F1961" i="12"/>
  <c r="G1961" i="12"/>
  <c r="A1962" i="12"/>
  <c r="B1962" i="12"/>
  <c r="C1962" i="12"/>
  <c r="D1962" i="12"/>
  <c r="E1962" i="12"/>
  <c r="F1962" i="12"/>
  <c r="G1962" i="12"/>
  <c r="A1963" i="12"/>
  <c r="B1963" i="12"/>
  <c r="C1963" i="12"/>
  <c r="D1963" i="12"/>
  <c r="E1963" i="12"/>
  <c r="F1963" i="12"/>
  <c r="G1963" i="12"/>
  <c r="A1964" i="12"/>
  <c r="B1964" i="12"/>
  <c r="C1964" i="12"/>
  <c r="D1964" i="12"/>
  <c r="E1964" i="12"/>
  <c r="F1964" i="12"/>
  <c r="G1964" i="12"/>
  <c r="A1965" i="12"/>
  <c r="B1965" i="12"/>
  <c r="C1965" i="12"/>
  <c r="D1965" i="12"/>
  <c r="E1965" i="12"/>
  <c r="F1965" i="12"/>
  <c r="G1965" i="12"/>
  <c r="A1966" i="12"/>
  <c r="B1966" i="12"/>
  <c r="C1966" i="12"/>
  <c r="D1966" i="12"/>
  <c r="E1966" i="12"/>
  <c r="F1966" i="12"/>
  <c r="G1966" i="12"/>
  <c r="A1967" i="12"/>
  <c r="B1967" i="12"/>
  <c r="C1967" i="12"/>
  <c r="D1967" i="12"/>
  <c r="E1967" i="12"/>
  <c r="F1967" i="12"/>
  <c r="G1967" i="12"/>
  <c r="A1968" i="12"/>
  <c r="B1968" i="12"/>
  <c r="C1968" i="12"/>
  <c r="D1968" i="12"/>
  <c r="E1968" i="12"/>
  <c r="F1968" i="12"/>
  <c r="G1968" i="12"/>
  <c r="A1969" i="12"/>
  <c r="B1969" i="12"/>
  <c r="C1969" i="12"/>
  <c r="D1969" i="12"/>
  <c r="E1969" i="12"/>
  <c r="F1969" i="12"/>
  <c r="G1969" i="12"/>
  <c r="A1970" i="12"/>
  <c r="B1970" i="12"/>
  <c r="C1970" i="12"/>
  <c r="D1970" i="12"/>
  <c r="E1970" i="12"/>
  <c r="F1970" i="12"/>
  <c r="G1970" i="12"/>
  <c r="A1971" i="12"/>
  <c r="B1971" i="12"/>
  <c r="C1971" i="12"/>
  <c r="D1971" i="12"/>
  <c r="E1971" i="12"/>
  <c r="F1971" i="12"/>
  <c r="G1971" i="12"/>
  <c r="A1972" i="12"/>
  <c r="B1972" i="12"/>
  <c r="C1972" i="12"/>
  <c r="D1972" i="12"/>
  <c r="E1972" i="12"/>
  <c r="F1972" i="12"/>
  <c r="G1972" i="12"/>
  <c r="A1973" i="12"/>
  <c r="B1973" i="12"/>
  <c r="C1973" i="12"/>
  <c r="D1973" i="12"/>
  <c r="E1973" i="12"/>
  <c r="F1973" i="12"/>
  <c r="G1973" i="12"/>
  <c r="A1974" i="12"/>
  <c r="B1974" i="12"/>
  <c r="C1974" i="12"/>
  <c r="D1974" i="12"/>
  <c r="E1974" i="12"/>
  <c r="F1974" i="12"/>
  <c r="G1974" i="12"/>
  <c r="A1975" i="12"/>
  <c r="B1975" i="12"/>
  <c r="C1975" i="12"/>
  <c r="D1975" i="12"/>
  <c r="E1975" i="12"/>
  <c r="F1975" i="12"/>
  <c r="G1975" i="12"/>
  <c r="A1976" i="12"/>
  <c r="B1976" i="12"/>
  <c r="C1976" i="12"/>
  <c r="D1976" i="12"/>
  <c r="E1976" i="12"/>
  <c r="F1976" i="12"/>
  <c r="G1976" i="12"/>
  <c r="A1977" i="12"/>
  <c r="B1977" i="12"/>
  <c r="C1977" i="12"/>
  <c r="D1977" i="12"/>
  <c r="E1977" i="12"/>
  <c r="F1977" i="12"/>
  <c r="G1977" i="12"/>
  <c r="A1978" i="12"/>
  <c r="B1978" i="12"/>
  <c r="C1978" i="12"/>
  <c r="D1978" i="12"/>
  <c r="E1978" i="12"/>
  <c r="F1978" i="12"/>
  <c r="G1978" i="12"/>
  <c r="A1979" i="12"/>
  <c r="B1979" i="12"/>
  <c r="C1979" i="12"/>
  <c r="D1979" i="12"/>
  <c r="E1979" i="12"/>
  <c r="F1979" i="12"/>
  <c r="G1979" i="12"/>
  <c r="A1980" i="12"/>
  <c r="B1980" i="12"/>
  <c r="C1980" i="12"/>
  <c r="D1980" i="12"/>
  <c r="E1980" i="12"/>
  <c r="F1980" i="12"/>
  <c r="G1980" i="12"/>
  <c r="A1981" i="12"/>
  <c r="B1981" i="12"/>
  <c r="C1981" i="12"/>
  <c r="D1981" i="12"/>
  <c r="E1981" i="12"/>
  <c r="F1981" i="12"/>
  <c r="G1981" i="12"/>
  <c r="A1982" i="12"/>
  <c r="B1982" i="12"/>
  <c r="C1982" i="12"/>
  <c r="D1982" i="12"/>
  <c r="E1982" i="12"/>
  <c r="F1982" i="12"/>
  <c r="G1982" i="12"/>
  <c r="A1983" i="12"/>
  <c r="B1983" i="12"/>
  <c r="C1983" i="12"/>
  <c r="D1983" i="12"/>
  <c r="E1983" i="12"/>
  <c r="F1983" i="12"/>
  <c r="G1983" i="12"/>
  <c r="A1984" i="12"/>
  <c r="B1984" i="12"/>
  <c r="C1984" i="12"/>
  <c r="D1984" i="12"/>
  <c r="E1984" i="12"/>
  <c r="F1984" i="12"/>
  <c r="G1984" i="12"/>
  <c r="A1985" i="12"/>
  <c r="B1985" i="12"/>
  <c r="C1985" i="12"/>
  <c r="D1985" i="12"/>
  <c r="E1985" i="12"/>
  <c r="F1985" i="12"/>
  <c r="G1985" i="12"/>
  <c r="A1986" i="12"/>
  <c r="B1986" i="12"/>
  <c r="C1986" i="12"/>
  <c r="D1986" i="12"/>
  <c r="E1986" i="12"/>
  <c r="F1986" i="12"/>
  <c r="G1986" i="12"/>
  <c r="A1987" i="12"/>
  <c r="B1987" i="12"/>
  <c r="C1987" i="12"/>
  <c r="D1987" i="12"/>
  <c r="E1987" i="12"/>
  <c r="F1987" i="12"/>
  <c r="G1987" i="12"/>
  <c r="A1988" i="12"/>
  <c r="B1988" i="12"/>
  <c r="C1988" i="12"/>
  <c r="D1988" i="12"/>
  <c r="E1988" i="12"/>
  <c r="F1988" i="12"/>
  <c r="G1988" i="12"/>
  <c r="A1989" i="12"/>
  <c r="B1989" i="12"/>
  <c r="C1989" i="12"/>
  <c r="D1989" i="12"/>
  <c r="E1989" i="12"/>
  <c r="F1989" i="12"/>
  <c r="G1989" i="12"/>
  <c r="A1990" i="12"/>
  <c r="B1990" i="12"/>
  <c r="C1990" i="12"/>
  <c r="D1990" i="12"/>
  <c r="E1990" i="12"/>
  <c r="F1990" i="12"/>
  <c r="G1990" i="12"/>
  <c r="A1991" i="12"/>
  <c r="B1991" i="12"/>
  <c r="C1991" i="12"/>
  <c r="D1991" i="12"/>
  <c r="E1991" i="12"/>
  <c r="F1991" i="12"/>
  <c r="G1991" i="12"/>
  <c r="A1992" i="12"/>
  <c r="B1992" i="12"/>
  <c r="C1992" i="12"/>
  <c r="D1992" i="12"/>
  <c r="E1992" i="12"/>
  <c r="F1992" i="12"/>
  <c r="G1992" i="12"/>
  <c r="A1993" i="12"/>
  <c r="B1993" i="12"/>
  <c r="C1993" i="12"/>
  <c r="D1993" i="12"/>
  <c r="E1993" i="12"/>
  <c r="F1993" i="12"/>
  <c r="G1993" i="12"/>
  <c r="A1994" i="12"/>
  <c r="B1994" i="12"/>
  <c r="C1994" i="12"/>
  <c r="D1994" i="12"/>
  <c r="E1994" i="12"/>
  <c r="F1994" i="12"/>
  <c r="G1994" i="12"/>
  <c r="A1995" i="12"/>
  <c r="B1995" i="12"/>
  <c r="C1995" i="12"/>
  <c r="D1995" i="12"/>
  <c r="E1995" i="12"/>
  <c r="F1995" i="12"/>
  <c r="G1995" i="12"/>
  <c r="A1996" i="12"/>
  <c r="B1996" i="12"/>
  <c r="C1996" i="12"/>
  <c r="D1996" i="12"/>
  <c r="E1996" i="12"/>
  <c r="F1996" i="12"/>
  <c r="G1996" i="12"/>
  <c r="A1997" i="12"/>
  <c r="B1997" i="12"/>
  <c r="C1997" i="12"/>
  <c r="D1997" i="12"/>
  <c r="E1997" i="12"/>
  <c r="F1997" i="12"/>
  <c r="G1997" i="12"/>
  <c r="A1998" i="12"/>
  <c r="B1998" i="12"/>
  <c r="C1998" i="12"/>
  <c r="D1998" i="12"/>
  <c r="E1998" i="12"/>
  <c r="F1998" i="12"/>
  <c r="G1998" i="12"/>
  <c r="A1999" i="12"/>
  <c r="B1999" i="12"/>
  <c r="C1999" i="12"/>
  <c r="D1999" i="12"/>
  <c r="E1999" i="12"/>
  <c r="F1999" i="12"/>
  <c r="G1999" i="12"/>
  <c r="A2000" i="12"/>
  <c r="B2000" i="12"/>
  <c r="C2000" i="12"/>
  <c r="D2000" i="12"/>
  <c r="E2000" i="12"/>
  <c r="F2000" i="12"/>
  <c r="G2000" i="12"/>
  <c r="A2001" i="12"/>
  <c r="B2001" i="12"/>
  <c r="C2001" i="12"/>
  <c r="D2001" i="12"/>
  <c r="E2001" i="12"/>
  <c r="F2001" i="12"/>
  <c r="G2001" i="12"/>
  <c r="G2" i="12"/>
  <c r="F2" i="12"/>
  <c r="E2" i="12"/>
  <c r="D2" i="12"/>
  <c r="B2" i="12"/>
  <c r="C2" i="12"/>
  <c r="A2" i="12"/>
  <c r="E6" i="9"/>
  <c r="E5" i="9"/>
  <c r="E9" i="8" a="1"/>
  <c r="E8" i="8" a="1"/>
  <c r="E7" i="8" a="1"/>
  <c r="E6" i="8" a="1"/>
  <c r="E5" i="8" a="1"/>
  <c r="E12" i="7"/>
  <c r="E11" i="7"/>
  <c r="E10" i="7"/>
  <c r="E9" i="7"/>
  <c r="E8" i="7"/>
  <c r="E7" i="7"/>
  <c r="E6" i="7"/>
  <c r="E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<sst xmlns="http://schemas.openxmlformats.org/spreadsheetml/2006/main" count="13903" uniqueCount="3061">
  <si>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</si>
  <si>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</si>
  <si>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</si>
  <si>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</si>
  <si>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</si>
  <si>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</si>
  <si>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</si>
  <si>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</si>
  <si>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</si>
  <si>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</si>
  <si>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</si>
  <si>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</si>
  <si>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</si>
  <si>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</si>
  <si>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</si>
  <si>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</si>
  <si>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</si>
  <si>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</si>
  <si>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</si>
  <si>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</si>
  <si>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</si>
  <si>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</si>
  <si>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</si>
  <si>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</si>
  <si>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</si>
  <si>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</si>
  <si>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</si>
  <si>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</si>
  <si>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</si>
  <si>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</si>
  <si>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</si>
  <si>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</si>
  <si>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</si>
  <si>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</si>
  <si>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</si>
  <si>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</si>
  <si>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</si>
  <si>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</si>
  <si>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</si>
  <si>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</si>
  <si>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</si>
  <si>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</si>
  <si>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</si>
  <si>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</si>
  <si>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</si>
  <si>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</si>
  <si>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</si>
  <si>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</si>
  <si>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</si>
  <si>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</si>
  <si>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</si>
  <si>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</si>
  <si>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</si>
  <si>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</si>
  <si>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</si>
  <si>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</si>
  <si>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</si>
  <si>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</si>
  <si>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</si>
  <si>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</si>
  <si>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</si>
  <si>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</si>
  <si>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</si>
  <si>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</si>
  <si>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</si>
  <si>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</si>
  <si>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</si>
  <si>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</si>
  <si>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</si>
  <si>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</si>
  <si>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</si>
  <si>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</si>
  <si>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</si>
  <si>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</si>
  <si>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</si>
  <si>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</si>
  <si>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</si>
  <si>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</si>
  <si>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</si>
  <si>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</si>
  <si>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</si>
  <si>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</si>
  <si>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</si>
  <si>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</si>
  <si>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</si>
  <si>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</si>
  <si>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</si>
  <si>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</si>
  <si>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</si>
  <si>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</si>
  <si>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</si>
  <si>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</si>
  <si>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</si>
  <si>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</si>
  <si>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</si>
  <si>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</si>
  <si>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</si>
  <si>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</si>
  <si>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</si>
  <si>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</si>
  <si>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</si>
  <si>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</si>
  <si>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</si>
  <si>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</si>
  <si>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</si>
  <si>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</si>
  <si>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</si>
  <si>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</si>
  <si>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</si>
  <si>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</si>
  <si>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</si>
  <si>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</si>
  <si>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</si>
  <si>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</si>
  <si>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</si>
  <si>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</si>
  <si>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</si>
  <si>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</si>
  <si>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</si>
  <si>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</si>
  <si>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</si>
  <si>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</si>
  <si>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</si>
  <si>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</si>
  <si>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</si>
  <si>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</si>
  <si>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</si>
  <si>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</si>
  <si>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</si>
  <si>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</si>
  <si>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</si>
  <si>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</si>
  <si>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</si>
  <si>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</si>
  <si>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</si>
  <si>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</si>
  <si>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</si>
  <si>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</si>
  <si>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</si>
  <si>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</si>
  <si>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</si>
  <si>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</si>
  <si>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</si>
  <si>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</si>
  <si>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</si>
  <si>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</si>
  <si>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</si>
  <si>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</si>
  <si>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</si>
  <si>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</si>
  <si>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</si>
  <si>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</si>
  <si>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</si>
  <si>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</si>
  <si>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</si>
  <si>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</si>
  <si>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</si>
  <si>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</si>
  <si>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</si>
  <si>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</si>
  <si>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</si>
  <si>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</si>
  <si>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</si>
  <si>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</si>
  <si>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</si>
  <si>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</si>
  <si>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</si>
  <si>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</si>
  <si>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</si>
  <si>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</si>
  <si>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</si>
  <si>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</si>
  <si>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</si>
  <si>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</si>
  <si>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</si>
  <si>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</si>
  <si>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</si>
  <si>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</si>
  <si>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</si>
  <si>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</si>
  <si>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</si>
  <si>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</si>
  <si>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</si>
  <si>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</si>
  <si>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</si>
  <si>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</si>
  <si>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</si>
  <si>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</si>
  <si>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</si>
  <si>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</si>
  <si>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</si>
  <si>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</si>
  <si>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</si>
  <si>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</si>
  <si>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</si>
  <si>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</si>
  <si>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</si>
  <si>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</si>
  <si>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</si>
  <si>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</si>
  <si>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</si>
  <si>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</si>
  <si>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</si>
  <si>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</si>
  <si>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</si>
  <si>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</si>
  <si>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</si>
  <si>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</si>
  <si>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</si>
  <si>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</si>
  <si>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</si>
  <si>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</si>
  <si>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</si>
  <si>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</si>
  <si>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</si>
  <si>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</si>
  <si>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</si>
  <si>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</si>
  <si>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</si>
  <si>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</si>
  <si>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</si>
  <si>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</si>
  <si>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</si>
  <si>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</si>
  <si>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</si>
  <si>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</si>
  <si>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</si>
  <si>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</si>
  <si>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</si>
  <si>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</si>
  <si>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</si>
  <si>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</si>
  <si>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</si>
  <si>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</si>
  <si>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</si>
  <si>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</si>
  <si>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</si>
  <si>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</si>
  <si>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</si>
  <si>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</si>
  <si>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</si>
  <si>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</si>
  <si>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</si>
  <si>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</si>
  <si>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</si>
  <si>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</si>
  <si>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</si>
  <si>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</si>
  <si>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</si>
  <si>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</si>
  <si>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</si>
  <si>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</si>
  <si>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</si>
  <si>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</si>
  <si>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</si>
  <si>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</si>
  <si>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</si>
  <si>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</si>
  <si>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</si>
  <si>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</si>
  <si>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</si>
  <si>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</si>
  <si>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</si>
  <si>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</si>
  <si>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</si>
  <si>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</si>
  <si>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</si>
  <si>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</si>
  <si>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</si>
  <si>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</si>
  <si>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</si>
  <si>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</si>
  <si>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</si>
  <si>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</si>
  <si>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</si>
  <si>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</si>
  <si>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</si>
  <si>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</si>
  <si>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</si>
  <si>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</si>
  <si>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</si>
  <si>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</si>
  <si>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</si>
  <si>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</si>
  <si>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</si>
  <si>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</si>
  <si>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</si>
  <si>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</si>
  <si>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</si>
  <si>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</si>
  <si>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</si>
  <si>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</si>
  <si>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</si>
  <si>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</si>
  <si>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</si>
  <si>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</si>
  <si>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</si>
  <si>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</si>
  <si>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</si>
  <si>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</si>
  <si>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</si>
  <si>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</si>
  <si>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</si>
  <si>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</si>
  <si>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</si>
  <si>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</si>
  <si>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</si>
  <si>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</si>
  <si>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</si>
  <si>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</si>
  <si>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</si>
  <si>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</si>
  <si>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</si>
  <si>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</si>
  <si>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</si>
  <si>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</si>
  <si>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</si>
  <si>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</si>
  <si>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</si>
  <si>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</si>
  <si>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</si>
  <si>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</si>
  <si>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</si>
  <si>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</si>
  <si>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</si>
  <si>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</si>
  <si>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</si>
  <si>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</si>
  <si>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</si>
  <si>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</si>
  <si>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</si>
  <si>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</si>
  <si>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</si>
  <si>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</si>
  <si>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</si>
  <si>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</si>
  <si>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</si>
  <si>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</si>
  <si>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</si>
  <si>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</si>
  <si>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</si>
  <si>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</si>
  <si>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</si>
  <si>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</si>
  <si>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</si>
  <si>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</si>
  <si>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</si>
  <si>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</si>
  <si>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</si>
  <si>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</si>
  <si>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</si>
  <si>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</si>
  <si>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</si>
  <si>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</si>
  <si>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</si>
  <si>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</si>
  <si>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</si>
  <si>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</si>
  <si>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</si>
  <si>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</si>
  <si>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</si>
  <si>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</si>
  <si>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</si>
  <si>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</si>
  <si>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</si>
  <si>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</si>
  <si>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</si>
  <si>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</si>
  <si>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</si>
  <si>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</si>
  <si>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</si>
  <si>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</si>
  <si>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</si>
  <si>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</si>
  <si>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</si>
  <si>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</si>
  <si>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</si>
  <si>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</si>
  <si>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</si>
  <si>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</si>
  <si>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</si>
  <si>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</si>
  <si>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</si>
  <si>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</si>
  <si>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</si>
  <si>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</si>
  <si>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</si>
  <si>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</si>
  <si>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</si>
  <si>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</si>
  <si>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</si>
  <si>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</si>
  <si>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</si>
  <si>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</si>
  <si>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</si>
  <si>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</si>
  <si>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</si>
  <si>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</si>
  <si>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</si>
  <si>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</si>
  <si>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</si>
  <si>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</si>
  <si>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</si>
  <si>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</si>
  <si>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</si>
  <si>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</si>
  <si>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</si>
  <si>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</si>
  <si>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</si>
  <si>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</si>
  <si>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</si>
  <si>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</si>
  <si>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</si>
  <si>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</si>
  <si>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</si>
  <si>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</si>
  <si>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</si>
  <si>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</si>
  <si>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</si>
  <si>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</si>
  <si>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</si>
  <si>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</si>
  <si>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</si>
  <si>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</si>
  <si>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</si>
  <si>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</si>
  <si>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</si>
  <si>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</si>
  <si>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</si>
  <si>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</si>
  <si>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</si>
  <si>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</si>
  <si>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</si>
  <si>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</si>
  <si>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</si>
  <si>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</si>
  <si>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</si>
  <si>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</si>
  <si>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</si>
  <si>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</si>
  <si>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</si>
  <si>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</si>
  <si>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</si>
  <si>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</si>
  <si>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</si>
  <si>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</si>
  <si>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</si>
  <si>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</si>
  <si>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</si>
  <si>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</si>
  <si>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</si>
  <si>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</si>
  <si>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</si>
  <si>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</si>
  <si>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</si>
  <si>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</si>
  <si>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</si>
  <si>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</si>
  <si>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</si>
  <si>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</si>
  <si>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</si>
  <si>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</si>
  <si>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</si>
  <si>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</si>
  <si>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</si>
  <si>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</si>
  <si>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</si>
  <si>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</si>
  <si>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</si>
  <si>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</si>
  <si>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</si>
  <si>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</si>
  <si>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</si>
  <si>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</si>
  <si>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</si>
  <si>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</si>
  <si>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</si>
  <si>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</si>
  <si>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</si>
  <si>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</si>
  <si>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</si>
  <si>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</si>
  <si>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</si>
  <si>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</si>
  <si>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</si>
  <si>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</si>
  <si>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</si>
  <si>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</si>
  <si>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</si>
  <si>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</si>
  <si>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</si>
  <si>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</si>
  <si>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</si>
  <si>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</si>
  <si>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</si>
  <si>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</si>
  <si>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</si>
  <si>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</si>
  <si>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</si>
  <si>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</si>
  <si>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</si>
  <si>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</si>
  <si>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</si>
  <si>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</si>
  <si>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</si>
  <si>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</si>
  <si>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</si>
  <si>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</si>
  <si>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</si>
  <si>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</si>
  <si>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</si>
  <si>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</si>
  <si>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</si>
  <si>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</si>
  <si>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</si>
  <si>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</si>
  <si>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</si>
  <si>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</si>
  <si>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</si>
  <si>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</si>
  <si>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</si>
  <si>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</si>
  <si>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</si>
  <si>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</si>
  <si>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</si>
  <si>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</si>
  <si>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</si>
  <si>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</si>
  <si>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</si>
  <si>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</si>
  <si>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</si>
  <si>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</si>
  <si>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</si>
  <si>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</si>
  <si>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</si>
  <si>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</si>
  <si>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</si>
  <si>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</si>
  <si>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</si>
  <si>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</si>
  <si>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</si>
  <si>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</si>
  <si>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</si>
  <si>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</si>
  <si>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</si>
  <si>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</si>
  <si>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</si>
  <si>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</si>
  <si>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</si>
  <si>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</si>
  <si>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</si>
  <si>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</si>
  <si>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</si>
  <si>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</si>
  <si>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</si>
  <si>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</si>
  <si>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</si>
  <si>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</si>
  <si>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</si>
  <si>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</si>
  <si>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</si>
  <si>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</si>
  <si>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</si>
  <si>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</si>
  <si>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</si>
  <si>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</si>
  <si>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</si>
  <si>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</si>
  <si>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</si>
  <si>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</si>
  <si>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</si>
  <si>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</si>
  <si>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</si>
  <si>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</si>
  <si>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</si>
  <si>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</si>
  <si>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</si>
  <si>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</si>
  <si>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</si>
  <si>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</si>
  <si>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</si>
  <si>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</si>
  <si>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</si>
  <si>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</si>
  <si>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</si>
  <si>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</si>
  <si>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</si>
  <si>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</si>
  <si>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</si>
  <si>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</si>
  <si>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</si>
  <si>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</si>
  <si>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</si>
  <si>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</si>
  <si>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</si>
  <si>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</si>
  <si>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</si>
  <si>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</si>
  <si>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</si>
  <si>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</si>
  <si>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</si>
  <si>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</si>
  <si>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</si>
  <si>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</si>
  <si>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</si>
  <si>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</si>
  <si>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</si>
  <si>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</si>
  <si>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</si>
  <si>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</si>
  <si>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</si>
  <si>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</si>
  <si>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</si>
  <si>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</si>
  <si>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</si>
  <si>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</si>
  <si>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</si>
  <si>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</si>
  <si>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</si>
  <si>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</si>
  <si>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</si>
  <si>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</si>
  <si>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</si>
  <si>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</si>
  <si>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</si>
  <si>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</si>
  <si>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</si>
  <si>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</si>
  <si>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</si>
  <si>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</si>
  <si>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</si>
  <si>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</si>
  <si>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</si>
  <si>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</si>
  <si>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</si>
  <si>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</si>
  <si>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</si>
  <si>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</si>
  <si>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</si>
  <si>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</si>
  <si>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</si>
  <si>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</si>
  <si>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</si>
  <si>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</si>
  <si>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</si>
  <si>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</si>
  <si>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</si>
  <si>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</si>
  <si>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</si>
  <si>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</si>
  <si>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</si>
  <si>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</si>
  <si>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</si>
  <si>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</si>
  <si>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</si>
  <si>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</si>
  <si>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</si>
  <si>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</si>
  <si>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</si>
  <si>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</si>
  <si>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</si>
  <si>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</si>
  <si>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</si>
  <si>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</si>
  <si>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</si>
  <si>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</si>
  <si>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</si>
  <si>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</si>
  <si>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</si>
  <si>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</si>
  <si>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</si>
  <si>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</si>
  <si>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</si>
  <si>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</si>
  <si>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</si>
  <si>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</si>
  <si>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</si>
  <si>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</si>
  <si>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</si>
  <si>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</si>
  <si>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</si>
  <si>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</si>
  <si>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</si>
  <si>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</si>
  <si>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</si>
  <si>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</si>
  <si>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</si>
  <si>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</si>
  <si>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</si>
  <si>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</si>
  <si>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</si>
  <si>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</si>
  <si>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</si>
  <si>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</si>
  <si>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</si>
  <si>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</si>
  <si>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</si>
  <si>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</si>
  <si>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</si>
  <si>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</si>
  <si>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</si>
  <si>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</si>
  <si>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</si>
  <si>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</si>
  <si>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</si>
  <si>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</si>
  <si>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</si>
  <si>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</si>
  <si>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</si>
  <si>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</si>
  <si>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</si>
  <si>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</si>
  <si>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</si>
  <si>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</si>
  <si>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</si>
  <si>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</si>
  <si>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</si>
  <si>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</si>
  <si>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</si>
  <si>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</si>
  <si>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</si>
  <si>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</si>
  <si>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</si>
  <si>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</si>
  <si>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</si>
  <si>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</si>
  <si>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</si>
  <si>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</si>
  <si>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</si>
  <si>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</si>
  <si>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</si>
  <si>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</si>
  <si>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</si>
  <si>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</si>
  <si>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</si>
  <si>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</si>
  <si>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</si>
  <si>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</si>
  <si>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</si>
  <si>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</si>
  <si>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</si>
  <si>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</si>
  <si>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</si>
  <si>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</si>
  <si>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</si>
  <si>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</si>
  <si>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</si>
  <si>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</si>
  <si>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</si>
  <si>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</si>
  <si>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</si>
  <si>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</si>
  <si>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</si>
  <si>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</si>
  <si>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</si>
  <si>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</si>
  <si>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</si>
  <si>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</si>
  <si>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</si>
  <si>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</si>
  <si>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</si>
  <si>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</si>
  <si>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</si>
  <si>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</si>
  <si>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</si>
  <si>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</si>
  <si>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</si>
  <si>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</si>
  <si>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</si>
  <si>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</si>
  <si>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</si>
  <si>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</si>
  <si>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</si>
  <si>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</si>
  <si>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</si>
  <si>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</si>
  <si>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</si>
  <si>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</si>
  <si>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</si>
  <si>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</si>
  <si>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</si>
  <si>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</si>
  <si>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</si>
  <si>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</si>
  <si>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</si>
  <si>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</si>
  <si>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</si>
  <si>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</si>
  <si>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</si>
  <si>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</si>
  <si>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</si>
  <si>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</si>
  <si>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</si>
  <si>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</si>
  <si>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</si>
  <si>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</si>
  <si>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</si>
  <si>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</si>
  <si>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</si>
  <si>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</si>
  <si>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</si>
  <si>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</si>
  <si>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</si>
  <si>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</si>
  <si>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</si>
  <si>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</si>
  <si>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</si>
  <si>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</si>
  <si>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</si>
  <si>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</si>
  <si>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</si>
  <si>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</si>
  <si>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</si>
  <si>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</si>
  <si>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</si>
  <si>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</si>
  <si>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</si>
  <si>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</si>
  <si>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</si>
  <si>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</si>
  <si>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</si>
  <si>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</si>
  <si>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</si>
  <si>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</si>
  <si>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</si>
  <si>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</si>
  <si>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</si>
  <si>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</si>
  <si>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</si>
  <si>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</si>
  <si>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</si>
  <si>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</si>
  <si>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</si>
  <si>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</si>
  <si>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</si>
  <si>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</si>
  <si>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</si>
  <si>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</si>
  <si>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</si>
  <si>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</si>
  <si>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</si>
  <si>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</si>
  <si>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</si>
  <si>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</si>
  <si>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</si>
  <si>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</si>
  <si>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</si>
  <si>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</si>
  <si>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</si>
  <si>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</si>
  <si>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</si>
  <si>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</si>
  <si>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</si>
  <si>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</si>
  <si>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</si>
  <si>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</si>
  <si>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</si>
  <si>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</si>
  <si>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</si>
  <si>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</si>
  <si>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</si>
  <si>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</si>
  <si>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</si>
  <si>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</si>
  <si>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</si>
  <si>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</si>
  <si>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</si>
  <si>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</si>
  <si>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</si>
  <si>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</si>
  <si>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</si>
  <si>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</si>
  <si>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</si>
  <si>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</si>
  <si>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</si>
  <si>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</si>
  <si>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</si>
  <si>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</si>
  <si>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</si>
  <si>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</si>
  <si>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</si>
  <si>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</si>
  <si>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</si>
  <si>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</si>
  <si>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</si>
  <si>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</si>
  <si>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</si>
  <si>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</si>
  <si>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</si>
  <si>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</si>
  <si>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</si>
  <si>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</si>
  <si>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</si>
  <si>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</si>
  <si>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</si>
  <si>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</si>
  <si>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</si>
  <si>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</si>
  <si>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</si>
  <si>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</si>
  <si>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</si>
  <si>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</si>
  <si>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</si>
  <si>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</si>
  <si>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</si>
  <si>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</si>
  <si>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</si>
  <si>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</si>
  <si>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</si>
  <si>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</si>
  <si>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</si>
  <si>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</si>
  <si>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</si>
  <si>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</si>
  <si>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</si>
  <si>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</si>
  <si>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</si>
  <si>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</si>
  <si>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</si>
  <si>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</si>
  <si>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</si>
  <si>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</si>
  <si>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</si>
  <si>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</si>
  <si>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</si>
  <si>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</si>
  <si>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</si>
  <si>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</si>
  <si>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</si>
  <si>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</si>
  <si>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</si>
  <si>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</si>
  <si>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</si>
  <si>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</si>
  <si>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</si>
  <si>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</si>
  <si>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</si>
  <si>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</si>
  <si>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</si>
  <si>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</si>
  <si>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</si>
  <si>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</si>
  <si>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</si>
  <si>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</si>
  <si>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</si>
  <si>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</si>
  <si>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</si>
  <si>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</si>
  <si>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</si>
  <si>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</si>
  <si>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</si>
  <si>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</si>
  <si>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</si>
  <si>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</si>
  <si>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</si>
  <si>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</si>
  <si>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</si>
  <si>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</si>
  <si>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</si>
  <si>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</si>
  <si>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</si>
  <si>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</si>
  <si>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</si>
  <si>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</si>
  <si>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</si>
  <si>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</si>
  <si>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</si>
  <si>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</si>
  <si>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</si>
  <si>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</si>
  <si>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</si>
  <si>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</si>
  <si>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</si>
  <si>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</si>
  <si>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</si>
  <si>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</si>
  <si>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</si>
  <si>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</si>
  <si>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</si>
  <si>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</si>
  <si>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</si>
  <si>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</si>
  <si>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</si>
  <si>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</si>
  <si>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</si>
  <si>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</si>
  <si>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</si>
  <si>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</si>
  <si>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</si>
  <si>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</si>
  <si>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</si>
  <si>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</si>
  <si>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</si>
  <si>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</si>
  <si>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</si>
  <si>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</si>
  <si>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</si>
  <si>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</si>
  <si>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</si>
  <si>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</si>
  <si>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</si>
  <si>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</si>
  <si>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</si>
  <si>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</si>
  <si>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</si>
  <si>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</si>
  <si>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</si>
  <si>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</si>
  <si>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</si>
  <si>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</si>
  <si>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</si>
  <si>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</si>
  <si>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</si>
  <si>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</si>
  <si>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</si>
  <si>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</si>
  <si>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</si>
  <si>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</si>
  <si>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</si>
  <si>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</si>
  <si>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</si>
  <si>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</si>
  <si>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</si>
  <si>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</si>
  <si>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</si>
  <si>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</si>
  <si>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</si>
  <si>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</si>
  <si>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</si>
  <si>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</si>
  <si>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</si>
  <si>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</si>
  <si>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</si>
  <si>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</si>
  <si>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</si>
  <si>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</si>
  <si>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</si>
  <si>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</si>
  <si>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</si>
  <si>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</si>
  <si>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</si>
  <si>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</si>
  <si>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</si>
  <si>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</si>
  <si>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</si>
  <si>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</si>
  <si>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</si>
  <si>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</si>
  <si>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</si>
  <si>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</si>
  <si>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</si>
  <si>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</si>
  <si>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</si>
  <si>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</si>
  <si>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</si>
  <si>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</si>
  <si>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</si>
  <si>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</si>
  <si>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</si>
  <si>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</si>
  <si>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</si>
  <si>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</si>
  <si>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</si>
  <si>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</si>
  <si>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</si>
  <si>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</si>
  <si>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</si>
  <si>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</si>
  <si>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</si>
  <si>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</si>
  <si>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</si>
  <si>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</si>
  <si>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</si>
  <si>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</si>
  <si>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</si>
  <si>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</si>
  <si>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</si>
  <si>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</si>
  <si>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</si>
  <si>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</si>
  <si>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</si>
  <si>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</si>
  <si>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</si>
  <si>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</si>
  <si>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</si>
  <si>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</si>
  <si>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</si>
  <si>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</si>
  <si>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</si>
  <si>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</si>
  <si>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</si>
  <si>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</si>
  <si>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</si>
  <si>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</si>
  <si>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</si>
  <si>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</si>
  <si>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</si>
  <si>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</si>
  <si>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</si>
  <si>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</si>
  <si>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</si>
  <si>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</si>
  <si>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</si>
  <si>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</si>
  <si>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</si>
  <si>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</si>
  <si>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</si>
  <si>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</si>
  <si>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</si>
  <si>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</si>
  <si>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</si>
  <si>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</si>
  <si>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</si>
  <si>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</si>
  <si>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</si>
  <si>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</si>
  <si>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</si>
  <si>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</si>
  <si>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</si>
  <si>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</si>
  <si>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</si>
  <si>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</si>
  <si>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</si>
  <si>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</si>
  <si>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</si>
  <si>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</si>
  <si>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</si>
  <si>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</si>
  <si>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</si>
  <si>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</si>
  <si>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</si>
  <si>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</si>
  <si>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</si>
  <si>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</si>
  <si>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</si>
  <si>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</si>
  <si>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</si>
  <si>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</si>
  <si>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</si>
  <si>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</si>
  <si>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</si>
  <si>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</si>
  <si>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</si>
  <si>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</si>
  <si>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</si>
  <si>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</si>
  <si>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</si>
  <si>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</si>
  <si>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</si>
  <si>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</si>
  <si>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</si>
  <si>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</si>
  <si>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</si>
  <si>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</si>
  <si>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</si>
  <si>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</si>
  <si>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</si>
  <si>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</si>
  <si>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</si>
  <si>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</si>
  <si>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</si>
  <si>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</si>
  <si>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</si>
  <si>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</si>
  <si>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</si>
  <si>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</si>
  <si>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</si>
  <si>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</si>
  <si>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</si>
  <si>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</si>
  <si>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</si>
  <si>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</si>
  <si>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</si>
  <si>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</si>
  <si>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</si>
  <si>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</si>
  <si>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</si>
  <si>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</si>
  <si>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</si>
  <si>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</si>
  <si>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</si>
  <si>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</si>
  <si>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</si>
  <si>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</si>
  <si>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</si>
  <si>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</si>
  <si>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</si>
  <si>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</si>
  <si>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</si>
  <si>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</si>
  <si>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</si>
  <si>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</si>
  <si>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</si>
  <si>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</si>
  <si>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</si>
  <si>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</si>
  <si>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</si>
  <si>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</si>
  <si>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</si>
  <si>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</si>
  <si>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</si>
  <si>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</si>
  <si>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</si>
  <si>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</si>
  <si>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</si>
  <si>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</si>
  <si>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</si>
  <si>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</si>
  <si>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</si>
  <si>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</si>
  <si>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</si>
  <si>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</si>
  <si>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</si>
  <si>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</si>
  <si>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</si>
  <si>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</si>
  <si>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</si>
  <si>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</si>
  <si>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</si>
  <si>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</si>
  <si>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</si>
  <si>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</si>
  <si>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</si>
  <si>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</si>
  <si>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</si>
  <si>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</si>
  <si>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</si>
  <si>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</si>
  <si>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</si>
  <si>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</si>
  <si>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</si>
  <si>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</si>
  <si>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</si>
  <si>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</si>
  <si>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</si>
  <si>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</si>
  <si>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</si>
  <si>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</si>
  <si>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</si>
  <si>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</si>
  <si>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</si>
  <si>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</si>
  <si>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</si>
  <si>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</si>
  <si>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</si>
  <si>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</si>
  <si>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</si>
  <si>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</si>
  <si>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</si>
  <si>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</si>
  <si>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</si>
  <si>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</si>
  <si>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</si>
  <si>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</si>
  <si>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</si>
  <si>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</si>
  <si>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</si>
  <si>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</si>
  <si>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</si>
  <si>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</si>
  <si>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</si>
  <si>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</si>
  <si>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</si>
  <si>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</si>
  <si>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</si>
  <si>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</si>
  <si>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</si>
  <si>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</si>
  <si>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</si>
  <si>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</si>
  <si>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</si>
  <si>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</si>
  <si>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</si>
  <si>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</si>
  <si>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</si>
  <si>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</si>
  <si>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</si>
  <si>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</si>
  <si>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</si>
  <si>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</si>
  <si>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</si>
  <si>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</si>
  <si>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</si>
  <si>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</si>
  <si>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</si>
  <si>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</si>
  <si>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</si>
  <si>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</si>
  <si>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</si>
  <si>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</si>
  <si>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</si>
  <si>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</si>
  <si>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</si>
  <si>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</si>
  <si>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</si>
  <si>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</si>
  <si>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</si>
  <si>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</si>
  <si>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</si>
  <si>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</si>
  <si>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</si>
  <si>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</si>
  <si>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</si>
  <si>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</si>
  <si>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</si>
  <si>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</si>
  <si>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</si>
  <si>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</si>
  <si>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</si>
  <si>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</si>
  <si>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</si>
  <si>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</si>
  <si>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</si>
  <si>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</si>
  <si>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</si>
  <si>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</si>
  <si>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</si>
  <si>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</si>
  <si>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</si>
  <si>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</si>
  <si>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</si>
  <si>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</si>
  <si>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</si>
  <si>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</si>
  <si>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</si>
  <si>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</si>
  <si>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</si>
  <si>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</si>
  <si>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</si>
  <si>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</si>
  <si>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</si>
  <si>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</si>
  <si>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</si>
  <si>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</si>
  <si>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</si>
  <si>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</si>
  <si>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</si>
  <si>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</si>
  <si>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</si>
  <si>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</si>
  <si>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</si>
  <si>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</si>
  <si>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</si>
  <si>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</si>
  <si>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</si>
  <si>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</si>
  <si>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</si>
  <si>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</si>
  <si>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</si>
  <si>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</si>
  <si>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</si>
  <si>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</si>
  <si>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</si>
  <si>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</si>
  <si>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</si>
  <si>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</si>
  <si>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</si>
  <si>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</si>
  <si>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</si>
  <si>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</si>
  <si>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</si>
  <si>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</si>
  <si>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</si>
  <si>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</si>
  <si>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</si>
  <si>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</si>
  <si>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</si>
  <si>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</si>
  <si>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</si>
  <si>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</si>
  <si>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</si>
  <si>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</si>
  <si>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</si>
  <si>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</si>
  <si>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</si>
  <si>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</si>
  <si>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</si>
  <si>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</si>
  <si>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</si>
  <si>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</si>
  <si>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</si>
  <si>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</si>
  <si>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</si>
  <si>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</si>
  <si>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</si>
  <si>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</si>
  <si>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</si>
  <si>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</si>
  <si>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</si>
  <si>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</si>
  <si>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</si>
  <si>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</si>
  <si>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</si>
  <si>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</si>
  <si>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</si>
  <si>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</si>
  <si>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</si>
  <si>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</si>
  <si>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</si>
  <si>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</si>
  <si>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</si>
  <si>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</si>
  <si>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</si>
  <si>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</si>
  <si>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</si>
  <si>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</si>
  <si>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</si>
  <si>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</si>
  <si>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</si>
  <si>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</si>
  <si>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</si>
  <si>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</si>
  <si>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</si>
  <si>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</si>
  <si>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</si>
  <si>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</si>
  <si>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</si>
  <si>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</si>
  <si>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</si>
  <si>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</si>
  <si>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</si>
  <si>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</si>
  <si>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</si>
  <si>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</si>
  <si>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</si>
  <si>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</si>
  <si>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</si>
  <si>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</si>
  <si>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</si>
  <si>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</si>
  <si>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</si>
  <si>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</si>
  <si>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</si>
  <si>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</si>
  <si>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</si>
  <si>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</si>
  <si>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</si>
  <si>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</si>
  <si>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</si>
  <si>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</si>
  <si>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</si>
  <si>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</si>
  <si>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</si>
  <si>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</si>
  <si>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</si>
  <si>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</si>
  <si>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</si>
  <si>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</si>
  <si>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</si>
  <si>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</si>
  <si>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</si>
  <si>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</si>
  <si>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</si>
  <si>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</si>
  <si>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</si>
  <si>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</si>
  <si>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</si>
  <si>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</si>
  <si>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</si>
  <si>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</si>
  <si>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</si>
  <si>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</si>
  <si>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</si>
  <si>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</si>
  <si>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</si>
  <si>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</si>
  <si>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</si>
  <si>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</si>
  <si>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</si>
  <si>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</si>
  <si>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</si>
  <si>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</si>
  <si>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</si>
  <si>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</si>
  <si>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</si>
  <si>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</si>
  <si>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</si>
  <si>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</si>
  <si>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</si>
  <si>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</si>
  <si>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</si>
  <si>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</si>
  <si>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</si>
  <si>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</si>
  <si>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</si>
  <si>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</si>
  <si>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</si>
  <si>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</si>
  <si>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</si>
  <si>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</si>
  <si>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</si>
  <si>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</si>
  <si>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</si>
  <si>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</si>
  <si>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</si>
  <si>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</si>
  <si>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</si>
  <si>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</si>
  <si>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</si>
  <si>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</si>
  <si>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</si>
  <si>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</si>
  <si>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</si>
  <si>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</si>
  <si>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</si>
  <si>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</si>
  <si>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</si>
  <si>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</si>
  <si>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</si>
  <si>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</si>
  <si>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</si>
  <si>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</si>
  <si>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</si>
  <si>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</si>
  <si>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</si>
  <si>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</si>
  <si>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</si>
  <si>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</si>
  <si>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</si>
  <si>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</si>
  <si>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</si>
  <si>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</si>
  <si>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</si>
  <si>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</si>
  <si>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</si>
  <si>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</si>
  <si>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</si>
  <si>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</si>
  <si>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</si>
  <si>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</si>
  <si>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</si>
  <si>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</si>
  <si>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</si>
  <si>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</si>
  <si>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</si>
  <si>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</si>
  <si>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</si>
  <si>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</si>
  <si>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</si>
  <si>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</si>
  <si>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</si>
  <si>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</si>
  <si>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</si>
  <si>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</si>
  <si>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</si>
  <si>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</si>
  <si>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</si>
  <si>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</si>
  <si>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</si>
  <si>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</si>
  <si>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</si>
  <si>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</si>
  <si>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</si>
  <si>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</si>
  <si>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</si>
  <si>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</si>
  <si>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</si>
  <si>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</si>
  <si>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</si>
  <si>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</si>
  <si>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</si>
  <si>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</si>
  <si>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</si>
  <si>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</si>
  <si>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</si>
  <si>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</si>
  <si>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</si>
  <si>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</si>
  <si>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</si>
  <si>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</si>
  <si>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</si>
  <si>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</si>
  <si>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</si>
  <si>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</si>
  <si>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</si>
  <si>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</si>
  <si>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</si>
  <si>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</si>
  <si>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</si>
  <si>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</si>
  <si>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</si>
  <si>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</si>
  <si>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</si>
  <si>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</si>
  <si>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</si>
  <si>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</si>
  <si>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</si>
  <si>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</si>
  <si>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</si>
  <si>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</si>
  <si>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</si>
  <si>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</si>
  <si>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</si>
  <si>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</si>
  <si>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</si>
  <si>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</si>
  <si>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</si>
  <si>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</si>
  <si>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</si>
  <si>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</si>
  <si>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</si>
  <si>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</si>
  <si>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</si>
  <si>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</si>
  <si>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</si>
  <si>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</si>
  <si>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</si>
  <si>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</si>
  <si>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</si>
  <si>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</si>
  <si>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</si>
  <si>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</si>
  <si>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</si>
  <si>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</si>
  <si>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</si>
  <si>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</si>
  <si>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</si>
  <si>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</si>
  <si>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</si>
  <si>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</si>
  <si>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</si>
  <si>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</si>
  <si>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</si>
  <si>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</si>
  <si>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</si>
  <si>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</si>
  <si>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</si>
  <si>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</si>
  <si>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</si>
  <si>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</si>
  <si>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</si>
  <si>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</si>
  <si>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</si>
  <si>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</si>
  <si>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</si>
  <si>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</si>
  <si>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</si>
  <si>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</si>
  <si>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</si>
  <si>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</si>
  <si>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</si>
  <si>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</si>
  <si>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</si>
  <si>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</si>
  <si>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</si>
  <si>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</si>
  <si>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</si>
  <si>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</si>
  <si>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</si>
  <si>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</si>
  <si>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</si>
  <si>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</si>
  <si>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</si>
  <si>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</si>
  <si>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</si>
  <si>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</si>
  <si>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</si>
  <si>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</si>
  <si>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</si>
  <si>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</si>
  <si>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</si>
  <si>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</si>
  <si>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</si>
  <si>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</si>
  <si>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</si>
  <si>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</si>
  <si>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</si>
  <si>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</si>
  <si>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</si>
  <si>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</si>
  <si>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</si>
  <si>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</si>
  <si>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</si>
  <si>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</si>
  <si>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</si>
  <si>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</si>
  <si>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</si>
  <si>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</si>
  <si>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</si>
  <si>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</si>
  <si>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</si>
  <si>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</si>
  <si>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</si>
  <si>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</si>
  <si>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</si>
  <si>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</si>
  <si>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</si>
  <si>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</si>
  <si>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</si>
  <si>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</si>
  <si>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</si>
  <si>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</si>
  <si>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</si>
  <si>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</si>
  <si>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</si>
  <si>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</si>
  <si>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</si>
  <si>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</si>
  <si>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</si>
  <si>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</si>
  <si>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</si>
  <si>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</si>
  <si>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</si>
  <si>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</si>
  <si>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</si>
  <si>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</si>
  <si>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</si>
  <si>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</si>
  <si>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</si>
  <si>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</si>
  <si>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</si>
  <si>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</si>
  <si>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</si>
  <si>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</si>
  <si>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</si>
  <si>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</si>
  <si>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</si>
  <si>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</si>
  <si>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</si>
  <si>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</si>
  <si>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</si>
  <si>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</si>
  <si>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</si>
  <si>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</si>
  <si>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</si>
  <si>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</si>
  <si>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</si>
  <si>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</si>
  <si>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</si>
  <si>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</si>
  <si>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</si>
  <si>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</si>
  <si>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</si>
  <si>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</si>
  <si>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</si>
  <si>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</si>
  <si>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</si>
  <si>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</si>
  <si>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</si>
  <si>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</si>
  <si>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</si>
  <si>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</si>
  <si>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</si>
  <si>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</si>
  <si>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</si>
  <si>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</si>
  <si>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</si>
  <si>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</si>
  <si>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</si>
  <si>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</si>
  <si>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</si>
  <si>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</si>
  <si>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</si>
  <si>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</si>
  <si>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</si>
  <si>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</si>
  <si>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</si>
  <si>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</si>
  <si>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</si>
  <si>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</si>
  <si>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</si>
  <si>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</si>
  <si>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</si>
  <si>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</si>
  <si>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</si>
  <si>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</si>
  <si>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</si>
  <si>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</si>
  <si>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</si>
  <si>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</si>
  <si>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</si>
  <si>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</si>
  <si>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</si>
  <si>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</si>
  <si>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</si>
  <si>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</si>
  <si>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</si>
  <si>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</si>
  <si>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</si>
  <si>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</si>
  <si>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</si>
  <si>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</si>
  <si>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</si>
  <si>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</si>
  <si>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</si>
  <si>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</si>
  <si>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</si>
  <si>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</si>
  <si>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</si>
  <si>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</si>
  <si>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</si>
  <si>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</si>
  <si>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</si>
  <si>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</si>
  <si>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</si>
  <si>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</si>
  <si>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</si>
  <si>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</si>
  <si>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</si>
  <si>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</si>
  <si>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</si>
  <si>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</si>
  <si>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</si>
  <si>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</si>
  <si>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</si>
  <si>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</si>
  <si>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</si>
  <si>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</si>
  <si>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</si>
  <si>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</si>
  <si>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</si>
  <si>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</si>
  <si>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</si>
  <si>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</si>
  <si>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</si>
  <si>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</si>
  <si>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</si>
  <si>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</si>
  <si>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</si>
  <si>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</si>
  <si>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</si>
  <si>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</si>
  <si>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</si>
  <si>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</si>
  <si>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</si>
  <si>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</si>
  <si>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</si>
  <si>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</si>
  <si>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</si>
  <si>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</si>
  <si>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</si>
  <si>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</si>
  <si>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</si>
  <si>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</si>
  <si>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</si>
  <si>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</si>
  <si>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</si>
  <si>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</si>
  <si>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</si>
  <si>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</si>
  <si>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</si>
  <si>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</si>
  <si>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</si>
  <si>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</si>
  <si>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</si>
  <si>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</si>
  <si>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</si>
  <si>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</si>
  <si>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</si>
  <si>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</si>
  <si>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</si>
  <si>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</si>
  <si>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</si>
  <si>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</si>
  <si>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</si>
  <si>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</si>
  <si>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</si>
  <si>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</si>
  <si>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</si>
  <si>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</si>
  <si>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</si>
  <si>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</si>
  <si>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</si>
  <si>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</si>
  <si>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</si>
  <si>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</si>
  <si>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</si>
  <si>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</si>
  <si>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</si>
  <si>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</si>
  <si>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</si>
  <si>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</si>
  <si>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</si>
  <si>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</si>
  <si>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</si>
  <si>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</si>
  <si>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</si>
  <si>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</si>
  <si>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</si>
  <si>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</si>
  <si>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</si>
  <si>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</si>
  <si>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</si>
  <si>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</si>
  <si>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</si>
  <si>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</si>
  <si>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</si>
  <si>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</si>
  <si>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</si>
  <si>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</si>
  <si>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</si>
  <si>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</si>
  <si>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</si>
  <si>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</si>
  <si>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</si>
  <si>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</si>
  <si>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</si>
  <si>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</si>
  <si>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</si>
  <si>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</si>
  <si>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</si>
  <si>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</si>
  <si>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</si>
  <si>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</si>
  <si>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</si>
  <si>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</si>
  <si>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</si>
  <si>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</si>
  <si>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</si>
  <si>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</si>
  <si>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</si>
  <si>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</si>
  <si>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</si>
  <si>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</si>
  <si>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</si>
  <si>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</si>
  <si>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</si>
  <si>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</si>
  <si>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</si>
  <si>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</si>
  <si>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</si>
  <si>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</si>
  <si>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</si>
  <si>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</si>
  <si>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</si>
  <si>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</si>
  <si>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</si>
  <si>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</si>
  <si>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</si>
  <si>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</si>
  <si>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</si>
  <si>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</si>
  <si>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</si>
  <si>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</si>
  <si>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</si>
  <si>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</si>
  <si>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</si>
  <si>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</si>
  <si>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</si>
  <si>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</si>
  <si>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</si>
  <si>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</si>
  <si>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</si>
  <si>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</si>
  <si>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</si>
  <si>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</si>
  <si>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</si>
  <si>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</si>
  <si>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</si>
  <si>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</si>
  <si>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</si>
  <si>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</si>
  <si>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</si>
  <si>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</si>
  <si>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</si>
  <si>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</si>
  <si>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</si>
  <si>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</si>
  <si>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</si>
  <si>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</si>
  <si>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</si>
  <si>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</si>
  <si>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</si>
  <si>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</si>
  <si>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</si>
  <si>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</si>
  <si>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</si>
  <si>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</si>
  <si>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</si>
  <si>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</si>
  <si>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</si>
  <si>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</si>
  <si>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</si>
  <si>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</si>
  <si>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</si>
  <si>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</si>
  <si>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</si>
  <si>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</si>
  <si>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</si>
  <si>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</si>
  <si>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</si>
  <si>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</si>
  <si>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</si>
  <si>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</si>
  <si>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</si>
  <si>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</si>
  <si>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</si>
  <si>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</si>
  <si>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</si>
  <si>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</si>
  <si>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</si>
  <si>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</si>
  <si>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</si>
  <si>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</si>
  <si>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</si>
  <si>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</si>
  <si>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</si>
  <si>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</si>
  <si>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</si>
  <si>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</si>
  <si>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</si>
  <si>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</si>
  <si>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</si>
  <si>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</si>
  <si>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</si>
  <si>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</si>
  <si>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</si>
  <si>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</si>
  <si>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</si>
  <si>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</si>
  <si>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</si>
  <si>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</si>
  <si>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</si>
  <si>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</si>
  <si>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</si>
  <si>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</si>
  <si>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</si>
  <si>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</si>
  <si>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</si>
  <si>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</si>
  <si>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</si>
  <si>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</si>
  <si>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</si>
  <si>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</si>
  <si>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</si>
  <si>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</si>
  <si>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</si>
  <si>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</si>
  <si>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</si>
  <si>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</si>
  <si>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</si>
  <si>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</si>
  <si>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</si>
  <si>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</si>
  <si>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</si>
  <si>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</si>
  <si>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</si>
  <si>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</si>
  <si>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</si>
  <si>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</si>
  <si>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</si>
  <si>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</si>
  <si>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</si>
  <si>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</si>
  <si>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</si>
  <si>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</si>
  <si>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</si>
  <si>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</si>
  <si>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</si>
  <si>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</si>
  <si>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</si>
  <si>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</si>
  <si>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</si>
  <si>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</si>
  <si>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</si>
  <si>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</si>
  <si>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</si>
  <si>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</si>
  <si>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</si>
  <si>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</si>
  <si>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</si>
  <si>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</si>
  <si>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</si>
  <si>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</si>
  <si>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</si>
  <si>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</si>
  <si>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</si>
  <si>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</si>
  <si>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</si>
  <si>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</si>
  <si>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</si>
  <si>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</si>
  <si>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</si>
  <si>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</si>
  <si>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</si>
  <si>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</si>
  <si>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</si>
  <si>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</si>
  <si>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</si>
  <si>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</si>
  <si>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</si>
  <si>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</si>
  <si>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</si>
  <si>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</si>
  <si>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</si>
  <si>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</si>
  <si>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</si>
  <si>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</si>
  <si>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</si>
  <si>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</si>
  <si>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</si>
  <si>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</si>
  <si>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</si>
  <si>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</si>
  <si>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</si>
  <si>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</si>
  <si>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</si>
  <si>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</si>
  <si>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</si>
  <si>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</si>
  <si>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</si>
  <si>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</si>
  <si>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</si>
  <si>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</si>
  <si>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</si>
  <si>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</si>
  <si>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</si>
  <si>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</si>
  <si>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</si>
  <si>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</si>
  <si>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</si>
  <si>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</si>
  <si>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</si>
  <si>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</si>
  <si>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</si>
  <si>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</si>
  <si>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</si>
  <si>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</si>
  <si>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</si>
  <si>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</si>
  <si>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</si>
  <si>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</si>
  <si>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</si>
  <si>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</si>
  <si>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</si>
  <si>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</si>
  <si>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</si>
  <si>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</si>
  <si>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</si>
  <si>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</si>
  <si>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</si>
  <si>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</si>
  <si>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</si>
  <si>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</si>
  <si>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</si>
  <si>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</si>
  <si>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</si>
  <si>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</si>
  <si>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</si>
  <si>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</si>
  <si>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</si>
  <si>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</si>
  <si>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</si>
  <si>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</si>
  <si>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</si>
  <si>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</si>
  <si>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</si>
  <si>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</si>
  <si>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</si>
  <si>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</si>
  <si>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</si>
  <si>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</si>
  <si>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</si>
  <si>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</si>
  <si>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</si>
  <si>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</si>
  <si>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</si>
  <si>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</si>
  <si>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</si>
  <si>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</si>
  <si>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</si>
  <si>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</si>
  <si>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</si>
  <si>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</si>
  <si>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</si>
  <si>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</si>
  <si>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</si>
  <si>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</si>
  <si>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</si>
  <si>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</si>
  <si>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</si>
  <si>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</si>
  <si>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</si>
  <si>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</si>
  <si>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</si>
  <si>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</si>
  <si>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</si>
  <si>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</si>
  <si>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</si>
  <si>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</si>
  <si>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</si>
  <si>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</si>
  <si>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</si>
  <si>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</si>
  <si>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</si>
  <si>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</si>
  <si>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</si>
  <si>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</si>
  <si>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</si>
  <si>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</si>
  <si>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</si>
  <si>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</si>
  <si>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</si>
  <si>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</si>
  <si>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</si>
  <si>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</si>
  <si>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</si>
  <si>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</si>
  <si>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</si>
  <si>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</si>
  <si>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</si>
  <si>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</si>
  <si>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</si>
  <si>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</si>
  <si>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</si>
  <si>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</si>
  <si>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</si>
  <si>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</si>
  <si>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</si>
  <si>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</si>
  <si>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</si>
  <si>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</si>
  <si>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</si>
  <si>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</si>
  <si>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</si>
  <si>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</si>
  <si>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</si>
  <si>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</si>
  <si>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</si>
  <si>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</si>
  <si>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</si>
  <si>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</si>
  <si>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</si>
  <si>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</si>
  <si>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</si>
  <si>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</si>
  <si>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</si>
  <si>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</si>
  <si>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</si>
  <si>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</si>
  <si>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</si>
  <si>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</si>
  <si>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</si>
  <si>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</si>
  <si>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</si>
  <si>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</si>
  <si>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</si>
  <si>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</si>
  <si>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</si>
  <si>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</si>
  <si>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</si>
  <si>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</si>
  <si>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</si>
  <si>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</si>
  <si>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</si>
  <si>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</si>
  <si>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</si>
  <si>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</si>
  <si>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</si>
  <si>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</si>
  <si>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</si>
  <si>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</si>
  <si>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</si>
  <si>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</si>
  <si>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</si>
  <si>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</si>
  <si>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</si>
  <si>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</si>
  <si>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</si>
  <si>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</si>
  <si>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</si>
  <si>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</si>
  <si>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</si>
  <si>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</si>
  <si>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</si>
  <si>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</si>
  <si>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</si>
  <si>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</si>
  <si>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</si>
  <si>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</si>
  <si>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</si>
  <si>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</si>
  <si>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</si>
  <si>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</si>
  <si>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</si>
  <si>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</si>
  <si>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</si>
  <si>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</si>
  <si>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</si>
  <si>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</si>
  <si>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</si>
  <si>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</si>
  <si>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</si>
  <si>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</si>
  <si>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</si>
  <si>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</si>
  <si>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</si>
  <si>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</si>
  <si>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</si>
  <si>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</si>
  <si>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</si>
  <si>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</si>
  <si>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</si>
  <si>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</si>
  <si>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</si>
  <si>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</si>
  <si>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</si>
  <si>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</si>
  <si>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</si>
  <si>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</si>
  <si>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</si>
  <si>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</si>
  <si>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</si>
  <si>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</si>
  <si>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</si>
  <si>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</si>
  <si>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</si>
  <si>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</si>
  <si>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</si>
  <si>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</si>
  <si>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</si>
  <si>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</si>
  <si>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</si>
  <si>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</si>
  <si>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</si>
  <si>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</si>
  <si>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</si>
  <si>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</si>
  <si>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</si>
  <si>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</si>
  <si>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</si>
  <si>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</si>
  <si>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</si>
  <si>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</si>
  <si>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</si>
  <si>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</si>
  <si>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</si>
  <si>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</si>
  <si>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</si>
  <si>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</si>
  <si>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</si>
  <si>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</si>
  <si>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</si>
  <si>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</si>
  <si>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</si>
  <si>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</si>
  <si>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</si>
  <si>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</si>
  <si>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</si>
  <si>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</si>
  <si>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</si>
  <si>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</si>
  <si>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</si>
  <si>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</si>
  <si>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</si>
  <si>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</si>
  <si>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</si>
  <si>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</si>
  <si>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</si>
  <si>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</si>
  <si>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</si>
  <si>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</si>
  <si>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</si>
  <si>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</si>
  <si>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</si>
  <si>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</si>
  <si>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</si>
  <si>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</si>
  <si>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</si>
  <si>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</si>
  <si>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</si>
  <si>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</si>
  <si>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</si>
  <si>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</si>
  <si>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</si>
  <si>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</si>
  <si>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</si>
  <si>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</si>
  <si>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</si>
  <si>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</si>
  <si>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</si>
  <si>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</si>
  <si>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</si>
  <si>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</si>
  <si>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</si>
  <si>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</si>
  <si>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</si>
  <si>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</si>
  <si>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</si>
  <si>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</si>
  <si>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</si>
  <si>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</si>
  <si>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</si>
  <si>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</si>
  <si>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</si>
  <si>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</si>
  <si>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</si>
  <si>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</si>
  <si>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</si>
  <si>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</si>
  <si>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</si>
  <si>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</si>
  <si>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</si>
  <si>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</si>
  <si>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</si>
  <si>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</si>
  <si>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</si>
  <si>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</si>
  <si>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</si>
  <si>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</si>
  <si>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</si>
  <si>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</si>
  <si>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</si>
  <si>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</si>
  <si>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</si>
  <si>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</si>
  <si>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</si>
  <si>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</si>
  <si>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</si>
  <si>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</si>
  <si>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</si>
  <si>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</si>
  <si>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</si>
  <si>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</si>
  <si>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</si>
  <si>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</si>
  <si>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</si>
  <si>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</si>
  <si>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</si>
  <si>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</si>
  <si>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</si>
  <si>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</si>
  <si>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</si>
  <si>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</si>
  <si>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</si>
  <si>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</si>
  <si>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</si>
  <si>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</si>
  <si>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</si>
  <si>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</si>
  <si>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</si>
  <si>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</si>
  <si>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</si>
  <si>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</si>
  <si>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</si>
  <si>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</si>
  <si>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</si>
  <si>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</si>
  <si>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</si>
  <si>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</si>
  <si>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</si>
  <si>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</si>
  <si>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</si>
  <si>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</si>
  <si>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</si>
  <si>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</si>
  <si>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</si>
  <si>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</si>
  <si>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</si>
  <si>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</si>
  <si>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</si>
  <si>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</si>
  <si>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</si>
  <si>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</si>
  <si>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</si>
  <si>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</si>
  <si>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</si>
  <si>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</si>
  <si>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</si>
  <si>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</si>
  <si>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</si>
  <si>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</si>
  <si>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</si>
  <si>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</si>
  <si>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</si>
  <si>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</si>
  <si>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</si>
  <si>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</si>
  <si>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</si>
  <si>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</si>
  <si>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</si>
  <si>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</si>
  <si>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</si>
  <si>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</si>
  <si>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</si>
  <si>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</si>
  <si>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</si>
  <si>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</si>
  <si>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</si>
  <si>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</si>
  <si>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</si>
  <si>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</si>
  <si>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</si>
  <si>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</si>
  <si>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</si>
  <si>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</si>
  <si>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</si>
  <si>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</si>
  <si>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</si>
  <si>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</si>
  <si>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</si>
  <si>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</si>
  <si>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</si>
  <si>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</si>
  <si>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</si>
  <si>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</si>
  <si>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</si>
  <si>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</si>
  <si>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</si>
  <si>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</si>
  <si>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</si>
  <si>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</si>
  <si>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</si>
  <si>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</si>
  <si>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</si>
  <si>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</si>
  <si>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</si>
  <si>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</si>
  <si>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</si>
  <si>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</si>
  <si>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</si>
  <si>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</si>
  <si>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</si>
  <si>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</si>
  <si>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</si>
  <si>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</si>
  <si>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</si>
  <si>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</si>
  <si>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</si>
  <si>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</si>
  <si>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</si>
  <si>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</si>
  <si>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</si>
  <si>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</si>
  <si>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</si>
  <si>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</si>
  <si>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</si>
  <si>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</si>
  <si>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</si>
  <si>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</si>
  <si>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</si>
  <si>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</si>
  <si>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</si>
  <si>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</si>
  <si>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</si>
  <si>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</si>
  <si>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</si>
  <si>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</si>
  <si>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</si>
  <si>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</si>
  <si>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</si>
  <si>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</si>
  <si>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</si>
  <si>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</si>
  <si>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</si>
  <si>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</si>
  <si>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</si>
  <si>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</si>
  <si>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</si>
  <si>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</si>
  <si>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</si>
  <si>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</si>
  <si>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</si>
  <si>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</si>
  <si>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</si>
  <si>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</si>
  <si>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</si>
  <si>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</si>
  <si>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</si>
  <si>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</si>
  <si>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</si>
  <si>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</si>
  <si>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</si>
  <si>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</si>
  <si>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</si>
  <si>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</si>
  <si>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</si>
  <si>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</si>
  <si>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</si>
  <si>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</si>
  <si>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</si>
  <si>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</si>
  <si>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</si>
  <si>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</si>
  <si>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</si>
  <si>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</si>
  <si>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</si>
  <si>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</si>
  <si>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</si>
  <si>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</si>
  <si>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</si>
  <si>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</si>
  <si>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</si>
  <si>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</si>
  <si>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</si>
  <si>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</si>
  <si>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</si>
  <si>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</si>
  <si>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</si>
  <si>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</si>
  <si>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</si>
  <si>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</si>
  <si>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</si>
  <si>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</si>
  <si>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</si>
  <si>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</si>
  <si>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</si>
  <si>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</si>
  <si>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</si>
  <si>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</si>
  <si>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</si>
  <si>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</si>
  <si>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</si>
  <si>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</si>
  <si>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</si>
  <si>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</si>
  <si>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</si>
  <si>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</si>
  <si>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</si>
  <si>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</si>
  <si>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</si>
  <si>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</si>
  <si>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</si>
  <si>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</si>
  <si>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</si>
  <si>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</si>
  <si>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</si>
  <si>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</si>
  <si>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</si>
  <si>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</si>
  <si>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</si>
  <si>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</si>
  <si>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</si>
  <si>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</si>
  <si>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</si>
  <si>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</si>
  <si>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</si>
  <si>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</si>
  <si>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</si>
  <si>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</si>
  <si>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</si>
  <si>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</si>
  <si>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</si>
  <si>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</si>
  <si>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</si>
  <si>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</si>
  <si>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</si>
  <si>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</si>
  <si>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</si>
  <si>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</si>
  <si>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</si>
  <si>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</si>
  <si>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</si>
  <si>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</si>
  <si>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</si>
  <si>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</si>
  <si>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</si>
  <si>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</si>
  <si>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</si>
  <si>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</si>
  <si>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</si>
  <si>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</si>
  <si>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</si>
  <si>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</si>
  <si>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</si>
  <si>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</si>
  <si>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</si>
  <si>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</si>
  <si>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</si>
  <si>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</si>
  <si>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</si>
  <si>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</si>
  <si>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</si>
  <si>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</si>
  <si>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</si>
  <si>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</si>
  <si>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</si>
  <si>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</si>
  <si>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</si>
  <si>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</si>
  <si>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</si>
  <si>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</si>
  <si>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</si>
  <si>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</si>
  <si>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</si>
  <si>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</si>
  <si>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</si>
  <si>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</si>
  <si>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</si>
  <si>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</si>
  <si>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</si>
  <si>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</si>
  <si>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</si>
  <si>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</si>
  <si>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</si>
  <si>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</si>
  <si>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</si>
  <si>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</si>
  <si>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</si>
  <si>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</si>
  <si>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</si>
  <si>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</si>
  <si>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</si>
  <si>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</si>
  <si>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</si>
  <si>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</si>
  <si>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</si>
  <si>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</si>
  <si>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</si>
  <si>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</si>
  <si>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</si>
  <si>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</si>
  <si>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</si>
  <si>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</si>
  <si>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</si>
  <si>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</si>
  <si>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</si>
  <si>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</si>
  <si>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</si>
  <si>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</si>
  <si>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</si>
  <si>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</si>
  <si>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</si>
  <si>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</si>
  <si>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</si>
  <si>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</si>
  <si>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</si>
  <si>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</si>
  <si>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</si>
  <si>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</si>
  <si>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</si>
  <si>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</si>
  <si>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</si>
  <si>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</si>
  <si>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</si>
  <si>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</si>
  <si>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</si>
  <si>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</si>
  <si>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</si>
  <si>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</si>
  <si>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</si>
  <si>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</si>
  <si>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</si>
  <si>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</si>
  <si>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</si>
  <si>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</si>
  <si>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</si>
  <si>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</si>
  <si>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</si>
  <si>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</si>
  <si>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</si>
  <si>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</si>
  <si>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</si>
  <si>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</si>
  <si>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</si>
  <si>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</si>
  <si>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</si>
  <si>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</si>
  <si>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</si>
  <si>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</si>
  <si>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</si>
  <si>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</si>
  <si>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</si>
  <si>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</si>
  <si>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</si>
  <si>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</si>
  <si>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</si>
  <si>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</si>
  <si>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</si>
  <si>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</si>
  <si>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</si>
  <si>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</si>
  <si>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</si>
  <si>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</si>
  <si>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</si>
  <si>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</si>
  <si>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</si>
  <si>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</si>
  <si>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</si>
  <si>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</si>
  <si>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</si>
  <si>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</si>
  <si>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</si>
  <si>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</si>
  <si>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</si>
  <si>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</si>
  <si>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</si>
  <si>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</si>
  <si>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</si>
  <si>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</si>
  <si>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</si>
  <si>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</si>
  <si>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</si>
  <si>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</si>
  <si>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</si>
  <si>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</si>
  <si>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</si>
  <si>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</si>
  <si>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</si>
  <si>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</si>
  <si>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</si>
  <si>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</si>
  <si>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</si>
  <si>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</si>
  <si>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</si>
  <si>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</si>
  <si>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</si>
  <si>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</si>
  <si>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</si>
  <si>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</si>
  <si>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</si>
  <si>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</si>
  <si>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</si>
  <si>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</si>
  <si>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</si>
  <si>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</si>
  <si>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</si>
  <si>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</si>
  <si>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</si>
  <si>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</si>
  <si>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</si>
  <si>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</si>
  <si>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</si>
  <si>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</si>
  <si>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</si>
  <si>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</si>
  <si>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</si>
  <si>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</si>
  <si>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</si>
  <si>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</si>
  <si>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</si>
  <si>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</si>
  <si>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</si>
  <si>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</si>
  <si>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</si>
  <si>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</si>
  <si>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</si>
  <si>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</si>
  <si>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</si>
  <si>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</si>
  <si>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</si>
  <si>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</si>
  <si>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</si>
  <si>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</si>
  <si>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</si>
  <si>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</si>
  <si>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</si>
  <si>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</si>
  <si>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</si>
  <si>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</si>
  <si>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</si>
  <si>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</si>
  <si>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</si>
  <si>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</si>
  <si>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</si>
  <si>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</si>
  <si>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</si>
  <si>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</si>
  <si>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</si>
  <si>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</si>
  <si>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</si>
  <si>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</si>
  <si>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</si>
  <si>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</si>
  <si>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</si>
  <si>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</si>
  <si>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</si>
  <si>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</si>
  <si>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</si>
  <si>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</si>
  <si>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</si>
  <si>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</si>
  <si>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</si>
  <si>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</si>
  <si>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</si>
  <si>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</si>
  <si>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</si>
  <si>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</si>
  <si>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</si>
  <si>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</si>
  <si>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</si>
  <si>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</si>
  <si>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</si>
  <si>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</si>
  <si>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</si>
  <si>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</si>
  <si>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</si>
  <si>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</si>
  <si>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</si>
  <si>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</si>
  <si>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</si>
  <si>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</si>
  <si>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</si>
  <si>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</si>
  <si>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</si>
  <si>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</si>
  <si>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</si>
  <si>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</si>
  <si>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</si>
  <si>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</si>
  <si>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</si>
  <si>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</si>
  <si>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</si>
  <si>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</si>
  <si>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</si>
  <si>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</si>
  <si>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</si>
  <si>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</si>
  <si>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</si>
  <si>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</si>
  <si>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</si>
  <si>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</si>
  <si>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</si>
  <si>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</si>
  <si>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</si>
  <si>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</si>
  <si>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</si>
  <si>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</si>
  <si>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</si>
  <si>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</si>
  <si>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</si>
  <si>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</si>
  <si>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</si>
  <si>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</si>
  <si>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</si>
  <si>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</si>
  <si>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</si>
  <si>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</si>
  <si>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</si>
  <si>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</si>
  <si>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</si>
  <si>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</si>
  <si>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</si>
  <si>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</si>
  <si>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</si>
  <si>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</si>
  <si>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</si>
  <si>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</si>
  <si>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</si>
  <si>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</si>
  <si>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</si>
  <si>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</si>
  <si>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</si>
  <si>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</si>
  <si>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</si>
  <si>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</si>
  <si>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</si>
  <si>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</si>
  <si>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</si>
  <si>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</si>
  <si>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</si>
  <si>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</si>
  <si>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</si>
  <si>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</si>
  <si>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</si>
  <si>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</si>
  <si>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</si>
  <si>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</si>
  <si>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</si>
  <si>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</si>
  <si>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</si>
  <si>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</si>
  <si>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</si>
  <si>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</si>
  <si>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</si>
  <si>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</si>
  <si>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</si>
  <si>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</si>
  <si>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</si>
  <si>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</si>
  <si>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</si>
  <si>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</si>
  <si>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</si>
  <si>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</si>
  <si>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</si>
  <si>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</si>
  <si>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</si>
  <si>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</si>
  <si>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</si>
  <si>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</si>
  <si>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</si>
  <si>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</si>
  <si>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</si>
  <si>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</si>
  <si>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</si>
  <si>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</si>
  <si>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</si>
  <si>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</si>
  <si>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</si>
  <si>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</si>
  <si>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</si>
  <si>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</si>
  <si>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</si>
  <si>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</si>
  <si>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</si>
  <si>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</si>
  <si>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</si>
  <si>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</si>
  <si>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</si>
  <si>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</si>
  <si>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</si>
  <si>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</si>
  <si>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</si>
  <si>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</si>
  <si>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</si>
  <si>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</si>
  <si>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</si>
  <si>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</si>
  <si>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</si>
  <si>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</si>
  <si>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</si>
  <si>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</si>
  <si>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</si>
  <si>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</si>
  <si>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</si>
  <si>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</si>
  <si>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</si>
  <si>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</si>
  <si>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</si>
  <si>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</si>
  <si>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</si>
  <si>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</si>
  <si>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</si>
  <si>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</si>
  <si>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</si>
  <si>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</si>
  <si>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</si>
  <si>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</si>
  <si>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</si>
  <si>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</si>
  <si>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</si>
  <si>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</si>
  <si>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</si>
  <si>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</si>
  <si>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</si>
  <si>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 xml:space="preserve"> </t>
  </si>
  <si>
    <t>Order ID</t>
  </si>
  <si>
    <t>Order Date</t>
  </si>
  <si>
    <t>Final Amount</t>
  </si>
  <si>
    <t>Sales Rep ID</t>
  </si>
  <si>
    <t>Category</t>
  </si>
  <si>
    <t>Segment</t>
  </si>
  <si>
    <t>Age</t>
  </si>
  <si>
    <t>Rep ID</t>
  </si>
  <si>
    <t>Total Revenue</t>
  </si>
  <si>
    <t>R015 November Actual</t>
  </si>
  <si>
    <t>R015 November Target</t>
  </si>
  <si>
    <t>Sales Region</t>
  </si>
  <si>
    <t>Row Labels</t>
  </si>
  <si>
    <t>Grand Total</t>
  </si>
  <si>
    <t>Sum of Final Amount</t>
  </si>
  <si>
    <t>Column Labels</t>
  </si>
  <si>
    <t xml:space="preserve">  </t>
  </si>
  <si>
    <t>Order Month</t>
  </si>
  <si>
    <t>Ship City</t>
  </si>
  <si>
    <t>Unit Price</t>
  </si>
  <si>
    <t>Unit Cost</t>
  </si>
  <si>
    <t>Profit Margin</t>
  </si>
  <si>
    <t>Revenue Rank</t>
  </si>
  <si>
    <t>Product ID</t>
  </si>
  <si>
    <t>Product List</t>
  </si>
  <si>
    <t>West Revenue</t>
  </si>
  <si>
    <t>Rank</t>
  </si>
  <si>
    <t>Rep Name</t>
  </si>
  <si>
    <t>RETAIL SALES OPERATIONS ANALYTICS DASHBOARD</t>
  </si>
  <si>
    <t>TOTAL ORDER VALUE</t>
  </si>
  <si>
    <t>COMPLETED ORDER VALUE</t>
  </si>
  <si>
    <t>TOTAL ORDER RECORDS</t>
  </si>
  <si>
    <t>MONTH</t>
  </si>
  <si>
    <t>SALES REVENUE</t>
  </si>
  <si>
    <t>Regional Sales Performance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</si>
</sst>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9"/>
      <name val="Arial"/>
      <family val="2"/>
    </font>
    <font>
      <b/>
      <sz val="20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0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/>
    </xf>
    <xf numFmtId="0" fontId="0" fillId="6" borderId="0" xfId="0" applyFill="1" applyAlignment="1">
      <alignment vertical="center"/>
    </xf>
    <xf numFmtId="165" fontId="0" fillId="0" borderId="0" xfId="0" applyNumberFormat="1"/>
    <xf numFmtId="165" fontId="17" fillId="0" borderId="0" xfId="0" applyNumberFormat="1" applyFont="1"/>
    <xf numFmtId="17" fontId="0" fillId="0" borderId="0" xfId="0" applyNumberFormat="1"/>
    <xf numFmtId="3" fontId="17" fillId="0" borderId="0" xfId="0" applyNumberFormat="1" applyFont="1"/>
    <xf numFmtId="0" fontId="0" fillId="0" borderId="0" xfId="0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62863"/>
        <c:axId val="2080963663"/>
      </c:lineChart>
      <c:catAx>
        <c:axId val="159362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63663"/>
        <c:crosses val="autoZero"/>
        <c:auto val="1"/>
        <c:lblAlgn val="ctr"/>
        <c:lblOffset val="100"/>
        <c:noMultiLvlLbl val="0"/>
      </c:catAx>
      <c:valAx>
        <c:axId val="20809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RECORDED ORDER VALUE-2024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Dashboard!$O$4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Dashboard!$M$5:$M$16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Dashboard!$N$5:$N$16</c:f>
              <c:numCache>
                <c:formatCode>"₹"\ #,##0.00</c:formatCode>
                <c:ptCount val="12"/>
                <c:pt idx="0">
                  <c:v>1941147.4400000004</c:v>
                </c:pt>
                <c:pt idx="1">
                  <c:v>2307493.6700000004</c:v>
                </c:pt>
                <c:pt idx="2">
                  <c:v>2480322.6199999996</c:v>
                </c:pt>
                <c:pt idx="3">
                  <c:v>2282454.1300000004</c:v>
                </c:pt>
                <c:pt idx="4">
                  <c:v>2580391.0199999996</c:v>
                </c:pt>
                <c:pt idx="5">
                  <c:v>1965939.0699999998</c:v>
                </c:pt>
                <c:pt idx="6">
                  <c:v>1965013.6899999988</c:v>
                </c:pt>
                <c:pt idx="7">
                  <c:v>2527927.9600000018</c:v>
                </c:pt>
                <c:pt idx="8">
                  <c:v>2062815.6199999994</c:v>
                </c:pt>
                <c:pt idx="9">
                  <c:v>1977882.43</c:v>
                </c:pt>
                <c:pt idx="10">
                  <c:v>2297637.08</c:v>
                </c:pt>
                <c:pt idx="11">
                  <c:v>2183923.4700000007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D-428F-A78C-A82A8DB56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85695"/>
        <c:axId val="2080980943"/>
      </c:lineChart>
      <c:dateAx>
        <c:axId val="121785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80943"/>
        <c:crosses val="autoZero"/>
        <c:auto val="1"/>
        <c:lblOffset val="100"/>
        <c:baseTimeUnit val="months"/>
      </c:dateAx>
      <c:valAx>
        <c:axId val="208098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8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[Sales_Operations_Analytics_Arathi _minor_Project_5.xlsx]Sheet2!PivotTable1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SALES PERFORMANCE-2024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860762.22999999975</c:v>
                </c:pt>
                <c:pt idx="1">
                  <c:v>979380.9700000002</c:v>
                </c:pt>
                <c:pt idx="2">
                  <c:v>962768.31</c:v>
                </c:pt>
                <c:pt idx="3">
                  <c:v>868240.03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E-44CC-8E99-4FFB0AA17A0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1271152.7899999996</c:v>
                </c:pt>
                <c:pt idx="1">
                  <c:v>1556120.1900000002</c:v>
                </c:pt>
                <c:pt idx="2">
                  <c:v>1590646.0500000005</c:v>
                </c:pt>
                <c:pt idx="3">
                  <c:v>1188460.02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E-44CC-8E99-4FFB0AA17A0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1214881.92</c:v>
                </c:pt>
                <c:pt idx="1">
                  <c:v>1450710.7499999998</c:v>
                </c:pt>
                <c:pt idx="2">
                  <c:v>1314107.3899999999</c:v>
                </c:pt>
                <c:pt idx="3">
                  <c:v>993053.05000000016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1E-44CC-8E99-4FFB0AA17A0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1168089.9100000004</c:v>
                </c:pt>
                <c:pt idx="1">
                  <c:v>1118963.8499999994</c:v>
                </c:pt>
                <c:pt idx="2">
                  <c:v>1041400.7999999998</c:v>
                </c:pt>
                <c:pt idx="3">
                  <c:v>997265.82000000018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1E-44CC-8E99-4FFB0AA17A0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Sheet2!$F$5:$F$9</c:f>
              <c:numCache>
                <c:formatCode>General</c:formatCode>
                <c:ptCount val="4"/>
                <c:pt idx="0">
                  <c:v>1124233.5400000003</c:v>
                </c:pt>
                <c:pt idx="1">
                  <c:v>867033.27</c:v>
                </c:pt>
                <c:pt idx="2">
                  <c:v>1140277.8000000005</c:v>
                </c:pt>
                <c:pt idx="3">
                  <c:v>955407.57999999984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1E-44CC-8E99-4FFB0AA17A0B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Sheet2!$G$5:$G$9</c:f>
              <c:numCache>
                <c:formatCode>General</c:formatCode>
                <c:ptCount val="4"/>
                <c:pt idx="0">
                  <c:v>945710.07999999996</c:v>
                </c:pt>
                <c:pt idx="1">
                  <c:v>1011820.4999999998</c:v>
                </c:pt>
                <c:pt idx="2">
                  <c:v>1095843.4599999997</c:v>
                </c:pt>
                <c:pt idx="3">
                  <c:v>856617.8899999999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1E-44CC-8E99-4FFB0AA17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6111"/>
        <c:axId val="2080980463"/>
      </c:barChart>
      <c:catAx>
        <c:axId val="1593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80463"/>
        <c:crosses val="autoZero"/>
        <c:auto val="1"/>
        <c:lblAlgn val="ctr"/>
        <c:lblOffset val="100"/>
        <c:noMultiLvlLbl val="0"/>
      </c:catAx>
      <c:valAx>
        <c:axId val="20809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8</xdr:row>
      <xdr:rowOff>3810</xdr:rowOff>
    </xdr:from>
    <xdr:to>
      <xdr:col>11</xdr:col>
      <xdr:colOff>327660</xdr:colOff>
      <xdr:row>23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B075CB-A658-9A1F-1FA2-3B1FB178B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248920</xdr:colOff>
      <xdr:row>6</xdr:row>
      <xdr:rowOff>90170</xdr:rowOff>
    </xdr:from>
    <xdr:to>
      <xdr:col>11</xdr:col>
      <xdr:colOff>172720</xdr:colOff>
      <xdr:row>21</xdr:row>
      <xdr:rowOff>90170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492C1C-21BA-EDA5-BD1E-F2C8169E0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4</xdr:col>
      <xdr:colOff>274320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F4BF3B-9AC9-4DB3-B4E3-87DEBCA2B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thi A" refreshedDate="46314.729888541668" createdVersion="8" refreshedVersion="8" minRefreshableVersion="3" recordCount="2000" xr:uid="{A1B41D84-89FC-42EF-8312-B9CCC11C15C0}">
  <cacheSource type="worksheet">
    <worksheetSource ref="A1:H2001" sheet="Q3_Working"/>
  </cacheSource>
  <cacheFields count="8">
    <cacheField name="Order ID" numFmtId="0">
      <sharedItems/>
    </cacheField>
    <cacheField name="Order Date" numFmtId="0">
      <sharedItems containsSemiMixedTypes="0" containsString="0" containsNumber="1" containsInteger="1" minValue="45292" maxValue="45656"/>
    </cacheField>
    <cacheField name="Final Amount" numFmtId="0">
      <sharedItems containsSemiMixedTypes="0" containsString="0" containsNumber="1" minValue="150.66999999999999" maxValue="68081.399999999994"/>
    </cacheField>
    <cacheField name="Sales Rep ID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Sales 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thi A" refreshedDate="46314.755396296299" createdVersion="8" refreshedVersion="8" minRefreshableVersion="3" recordCount="2000" xr:uid="{AE722867-6159-4784-AAC9-89FF55837F07}">
  <cacheSource type="worksheet">
    <worksheetSource ref="A1:I2001" sheet="Q3_Working"/>
  </cacheSource>
  <cacheFields count="9">
    <cacheField name="Order ID" numFmtId="0">
      <sharedItems/>
    </cacheField>
    <cacheField name="Order Date" numFmtId="0">
      <sharedItems containsSemiMixedTypes="0" containsString="0" containsNumber="1" containsInteger="1" minValue="45292" maxValue="45656"/>
    </cacheField>
    <cacheField name="Final Amount" numFmtId="0">
      <sharedItems containsSemiMixedTypes="0" containsString="0" containsNumber="1" minValue="150.66999999999999" maxValue="68081.399999999994"/>
    </cacheField>
    <cacheField name="Sales Rep 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Category" numFmtId="0">
      <sharedItems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Sales Region" numFmtId="0">
      <sharedItems/>
    </cacheField>
    <cacheField name="Order Month" numFmtId="14">
      <sharedItems containsSemiMixedTypes="0" containsNonDate="0" containsDate="1" containsString="0" minDate="2024-01-01T00:00:00" maxDate="2024-12-02T00:00:00" count="12">
        <d v="2024-09-01T00:00:00"/>
        <d v="2024-02-01T00:00:00"/>
        <d v="2024-03-01T00:00:00"/>
        <d v="2024-05-01T00:00:00"/>
        <d v="2024-11-01T00:00:00"/>
        <d v="2024-04-01T00:00:00"/>
        <d v="2024-06-01T00:00:00"/>
        <d v="2024-08-01T00:00:00"/>
        <d v="2024-12-01T00:00:00"/>
        <d v="2024-10-01T00:00:00"/>
        <d v="2024-07-01T00:00:00"/>
        <d v="2024-01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n v="45549"/>
    <n v="24500.16"/>
    <s v="R007"/>
    <x v="0"/>
    <s v="SMB"/>
    <n v="44"/>
    <x v="0"/>
  </r>
  <r>
    <s v="ORD-00002"/>
    <n v="45340"/>
    <n v="1462.88"/>
    <s v="R005"/>
    <x v="0"/>
    <s v="Retail"/>
    <n v="39"/>
    <x v="0"/>
  </r>
  <r>
    <s v="ORD-00003"/>
    <n v="45371"/>
    <n v="3635.92"/>
    <s v="R014"/>
    <x v="1"/>
    <s v="Retail"/>
    <n v="52"/>
    <x v="1"/>
  </r>
  <r>
    <s v="ORD-00004"/>
    <n v="45413"/>
    <n v="3085.38"/>
    <s v="R006"/>
    <x v="2"/>
    <s v="Corporate"/>
    <n v="46"/>
    <x v="0"/>
  </r>
  <r>
    <s v="ORD-00005"/>
    <n v="45611"/>
    <n v="2338.4"/>
    <s v="R008"/>
    <x v="0"/>
    <s v="Retail"/>
    <n v="36"/>
    <x v="0"/>
  </r>
  <r>
    <s v="ORD-00006"/>
    <n v="45406"/>
    <n v="1050.8"/>
    <s v="R025"/>
    <x v="3"/>
    <s v="Retail"/>
    <n v="36"/>
    <x v="2"/>
  </r>
  <r>
    <s v="ORD-00007"/>
    <n v="45455"/>
    <n v="2712.96"/>
    <s v="R024"/>
    <x v="1"/>
    <s v="Retail"/>
    <n v="27"/>
    <x v="2"/>
  </r>
  <r>
    <s v="ORD-00008"/>
    <n v="45617"/>
    <n v="11165.44"/>
    <s v="R019"/>
    <x v="4"/>
    <s v="Corporate"/>
    <n v="57"/>
    <x v="3"/>
  </r>
  <r>
    <s v="ORD-00009"/>
    <n v="45549"/>
    <n v="14131.26"/>
    <s v="R008"/>
    <x v="3"/>
    <s v="Retail"/>
    <n v="42"/>
    <x v="0"/>
  </r>
  <r>
    <s v="ORD-00010"/>
    <n v="45396"/>
    <n v="2875.08"/>
    <s v="R028"/>
    <x v="2"/>
    <s v="Retail"/>
    <n v="56"/>
    <x v="2"/>
  </r>
  <r>
    <s v="ORD-00011"/>
    <n v="45560"/>
    <n v="14761.81"/>
    <s v="R010"/>
    <x v="2"/>
    <s v="Retail"/>
    <n v="60"/>
    <x v="1"/>
  </r>
  <r>
    <s v="ORD-00012"/>
    <n v="45332"/>
    <n v="18604.080000000002"/>
    <s v="R024"/>
    <x v="4"/>
    <s v="Retail"/>
    <n v="56"/>
    <x v="2"/>
  </r>
  <r>
    <s v="ORD-00013"/>
    <n v="45507"/>
    <n v="7464.6"/>
    <s v="R004"/>
    <x v="4"/>
    <s v="SMB"/>
    <n v="27"/>
    <x v="0"/>
  </r>
  <r>
    <s v="ORD-00014"/>
    <n v="45466"/>
    <n v="8375.25"/>
    <s v="R025"/>
    <x v="3"/>
    <s v="SMB"/>
    <n v="39"/>
    <x v="2"/>
  </r>
  <r>
    <s v="ORD-00015"/>
    <n v="45365"/>
    <n v="150.66999999999999"/>
    <s v="R003"/>
    <x v="1"/>
    <s v="Retail"/>
    <n v="38"/>
    <x v="0"/>
  </r>
  <r>
    <s v="ORD-00016"/>
    <n v="45546"/>
    <n v="15086.4"/>
    <s v="R014"/>
    <x v="1"/>
    <s v="Retail"/>
    <n v="63"/>
    <x v="1"/>
  </r>
  <r>
    <s v="ORD-00017"/>
    <n v="45512"/>
    <n v="14259.36"/>
    <s v="R023"/>
    <x v="2"/>
    <s v="SMB"/>
    <n v="46"/>
    <x v="3"/>
  </r>
  <r>
    <s v="ORD-00018"/>
    <n v="45654"/>
    <n v="22494"/>
    <s v="R021"/>
    <x v="5"/>
    <s v="Corporate"/>
    <n v="32"/>
    <x v="3"/>
  </r>
  <r>
    <s v="ORD-00019"/>
    <n v="45626"/>
    <n v="15990.75"/>
    <s v="R023"/>
    <x v="1"/>
    <s v="Retail"/>
    <n v="54"/>
    <x v="3"/>
  </r>
  <r>
    <s v="ORD-00020"/>
    <n v="45394"/>
    <n v="8449.92"/>
    <s v="R023"/>
    <x v="3"/>
    <s v="Retail"/>
    <n v="49"/>
    <x v="3"/>
  </r>
  <r>
    <s v="ORD-00021"/>
    <n v="45470"/>
    <n v="12377.68"/>
    <s v="R006"/>
    <x v="0"/>
    <s v="Retail"/>
    <n v="32"/>
    <x v="0"/>
  </r>
  <r>
    <s v="ORD-00022"/>
    <n v="45354"/>
    <n v="9802"/>
    <s v="R030"/>
    <x v="3"/>
    <s v="Retail"/>
    <n v="34"/>
    <x v="2"/>
  </r>
  <r>
    <s v="ORD-00023"/>
    <n v="45530"/>
    <n v="18066.240000000002"/>
    <s v="R030"/>
    <x v="0"/>
    <s v="Retail"/>
    <n v="50"/>
    <x v="2"/>
  </r>
  <r>
    <s v="ORD-00024"/>
    <n v="45472"/>
    <n v="2989.8"/>
    <s v="R003"/>
    <x v="5"/>
    <s v="SMB"/>
    <n v="40"/>
    <x v="0"/>
  </r>
  <r>
    <s v="ORD-00025"/>
    <n v="45394"/>
    <n v="18873.900000000001"/>
    <s v="R023"/>
    <x v="5"/>
    <s v="Corporate"/>
    <n v="55"/>
    <x v="3"/>
  </r>
  <r>
    <s v="ORD-00026"/>
    <n v="45570"/>
    <n v="1686.7"/>
    <s v="R019"/>
    <x v="1"/>
    <s v="Retail"/>
    <n v="31"/>
    <x v="3"/>
  </r>
  <r>
    <s v="ORD-00027"/>
    <n v="45401"/>
    <n v="18641.599999999999"/>
    <s v="R006"/>
    <x v="5"/>
    <s v="Retail"/>
    <n v="52"/>
    <x v="0"/>
  </r>
  <r>
    <s v="ORD-00028"/>
    <n v="45517"/>
    <n v="23540.58"/>
    <s v="R015"/>
    <x v="4"/>
    <s v="SMB"/>
    <n v="52"/>
    <x v="1"/>
  </r>
  <r>
    <s v="ORD-00029"/>
    <n v="45363"/>
    <n v="38234.699999999997"/>
    <s v="R020"/>
    <x v="5"/>
    <s v="Corporate"/>
    <n v="56"/>
    <x v="3"/>
  </r>
  <r>
    <s v="ORD-00030"/>
    <n v="45367"/>
    <n v="6366.36"/>
    <s v="R005"/>
    <x v="1"/>
    <s v="SMB"/>
    <n v="44"/>
    <x v="0"/>
  </r>
  <r>
    <s v="ORD-00031"/>
    <n v="45569"/>
    <n v="4766.58"/>
    <s v="R006"/>
    <x v="2"/>
    <s v="Corporate"/>
    <n v="47"/>
    <x v="0"/>
  </r>
  <r>
    <s v="ORD-00032"/>
    <n v="45641"/>
    <n v="10388.64"/>
    <s v="R026"/>
    <x v="2"/>
    <s v="Retail"/>
    <n v="53"/>
    <x v="2"/>
  </r>
  <r>
    <s v="ORD-00033"/>
    <n v="45343"/>
    <n v="5392.2"/>
    <s v="R009"/>
    <x v="3"/>
    <s v="Corporate"/>
    <n v="32"/>
    <x v="1"/>
  </r>
  <r>
    <s v="ORD-00034"/>
    <n v="45576"/>
    <n v="2902.25"/>
    <s v="R019"/>
    <x v="3"/>
    <s v="SMB"/>
    <n v="40"/>
    <x v="3"/>
  </r>
  <r>
    <s v="ORD-00035"/>
    <n v="45462"/>
    <n v="30028.799999999999"/>
    <s v="R019"/>
    <x v="5"/>
    <s v="Retail"/>
    <n v="26"/>
    <x v="3"/>
  </r>
  <r>
    <s v="ORD-00036"/>
    <n v="45442"/>
    <n v="1024.92"/>
    <s v="R021"/>
    <x v="3"/>
    <s v="Retail"/>
    <n v="41"/>
    <x v="3"/>
  </r>
  <r>
    <s v="ORD-00037"/>
    <n v="45646"/>
    <n v="8663.2199999999993"/>
    <s v="R009"/>
    <x v="3"/>
    <s v="SMB"/>
    <n v="36"/>
    <x v="1"/>
  </r>
  <r>
    <s v="ORD-00038"/>
    <n v="45478"/>
    <n v="948.29"/>
    <s v="R001"/>
    <x v="1"/>
    <s v="Retail"/>
    <n v="42"/>
    <x v="0"/>
  </r>
  <r>
    <s v="ORD-00039"/>
    <n v="45355"/>
    <n v="14011.2"/>
    <s v="R015"/>
    <x v="1"/>
    <s v="Retail"/>
    <n v="51"/>
    <x v="1"/>
  </r>
  <r>
    <s v="ORD-00040"/>
    <n v="45599"/>
    <n v="13127.4"/>
    <s v="R023"/>
    <x v="5"/>
    <s v="SMB"/>
    <n v="50"/>
    <x v="3"/>
  </r>
  <r>
    <s v="ORD-00041"/>
    <n v="45606"/>
    <n v="19149.12"/>
    <s v="R006"/>
    <x v="3"/>
    <s v="Unknown"/>
    <s v=""/>
    <x v="0"/>
  </r>
  <r>
    <s v="ORD-00042"/>
    <n v="45432"/>
    <n v="42602.400000000001"/>
    <s v="R014"/>
    <x v="5"/>
    <s v="Retail"/>
    <n v="53"/>
    <x v="1"/>
  </r>
  <r>
    <s v="ORD-00043"/>
    <n v="45392"/>
    <n v="5535.32"/>
    <s v="R019"/>
    <x v="3"/>
    <s v="Retail"/>
    <n v="37"/>
    <x v="3"/>
  </r>
  <r>
    <s v="ORD-00044"/>
    <n v="45396"/>
    <n v="10943.4"/>
    <s v="R029"/>
    <x v="5"/>
    <s v="SMB"/>
    <n v="54"/>
    <x v="2"/>
  </r>
  <r>
    <s v="ORD-00045"/>
    <n v="45373"/>
    <n v="4101.92"/>
    <s v="R019"/>
    <x v="0"/>
    <s v="SMB"/>
    <n v="64"/>
    <x v="3"/>
  </r>
  <r>
    <s v="ORD-00046"/>
    <n v="45312"/>
    <n v="31060.26"/>
    <s v="R015"/>
    <x v="2"/>
    <s v="SMB"/>
    <n v="29"/>
    <x v="1"/>
  </r>
  <r>
    <s v="ORD-00047"/>
    <n v="45340"/>
    <n v="11546.08"/>
    <s v="R017"/>
    <x v="0"/>
    <s v="Retail"/>
    <n v="64"/>
    <x v="3"/>
  </r>
  <r>
    <s v="ORD-00048"/>
    <n v="45370"/>
    <n v="36771.839999999997"/>
    <s v="R003"/>
    <x v="5"/>
    <s v="Unknown"/>
    <s v=""/>
    <x v="0"/>
  </r>
  <r>
    <s v="ORD-00049"/>
    <n v="45389"/>
    <n v="9641.7999999999993"/>
    <s v="R007"/>
    <x v="2"/>
    <s v="SMB"/>
    <n v="52"/>
    <x v="0"/>
  </r>
  <r>
    <s v="ORD-00050"/>
    <n v="45565"/>
    <n v="2008.95"/>
    <s v="R028"/>
    <x v="2"/>
    <s v="Corporate"/>
    <n v="52"/>
    <x v="2"/>
  </r>
  <r>
    <s v="ORD-00051"/>
    <n v="45323"/>
    <n v="27008.73"/>
    <s v="R023"/>
    <x v="4"/>
    <s v="Retail"/>
    <n v="34"/>
    <x v="3"/>
  </r>
  <r>
    <s v="ORD-00052"/>
    <n v="45506"/>
    <n v="3713.68"/>
    <s v="R009"/>
    <x v="5"/>
    <s v="SMB"/>
    <n v="34"/>
    <x v="1"/>
  </r>
  <r>
    <s v="ORD-00053"/>
    <n v="45616"/>
    <n v="15403.5"/>
    <s v="R013"/>
    <x v="2"/>
    <s v="Retail"/>
    <n v="36"/>
    <x v="1"/>
  </r>
  <r>
    <s v="ORD-00054"/>
    <n v="45428"/>
    <n v="24212.5"/>
    <s v="R020"/>
    <x v="3"/>
    <s v="Retail"/>
    <n v="24"/>
    <x v="3"/>
  </r>
  <r>
    <s v="ORD-00055"/>
    <n v="45515"/>
    <n v="13118.56"/>
    <s v="R007"/>
    <x v="0"/>
    <s v="Retail"/>
    <n v="27"/>
    <x v="0"/>
  </r>
  <r>
    <s v="ORD-00056"/>
    <n v="45649"/>
    <n v="4385.92"/>
    <s v="R023"/>
    <x v="5"/>
    <s v="SMB"/>
    <n v="55"/>
    <x v="3"/>
  </r>
  <r>
    <s v="ORD-00057"/>
    <n v="45616"/>
    <n v="831.6"/>
    <s v="R017"/>
    <x v="3"/>
    <s v="Retail"/>
    <n v="54"/>
    <x v="3"/>
  </r>
  <r>
    <s v="ORD-00058"/>
    <n v="45573"/>
    <n v="3797.31"/>
    <s v="R007"/>
    <x v="2"/>
    <s v="Retail"/>
    <n v="53"/>
    <x v="0"/>
  </r>
  <r>
    <s v="ORD-00059"/>
    <n v="45417"/>
    <n v="2154.52"/>
    <s v="R030"/>
    <x v="4"/>
    <s v="Corporate"/>
    <n v="55"/>
    <x v="2"/>
  </r>
  <r>
    <s v="ORD-00060"/>
    <n v="45425"/>
    <n v="13479.64"/>
    <s v="R029"/>
    <x v="3"/>
    <s v="Retail"/>
    <n v="40"/>
    <x v="2"/>
  </r>
  <r>
    <s v="ORD-00061"/>
    <n v="45589"/>
    <n v="6186.24"/>
    <s v="R011"/>
    <x v="3"/>
    <s v="SMB"/>
    <n v="55"/>
    <x v="1"/>
  </r>
  <r>
    <s v="ORD-00062"/>
    <n v="45488"/>
    <n v="22529.200000000001"/>
    <s v="R006"/>
    <x v="5"/>
    <s v="Retail"/>
    <n v="44"/>
    <x v="0"/>
  </r>
  <r>
    <s v="ORD-00063"/>
    <n v="45465"/>
    <n v="17633.14"/>
    <s v="R017"/>
    <x v="4"/>
    <s v="Corporate"/>
    <n v="29"/>
    <x v="3"/>
  </r>
  <r>
    <s v="ORD-00064"/>
    <n v="45599"/>
    <n v="2016.9"/>
    <s v="R003"/>
    <x v="4"/>
    <s v="Retail"/>
    <n v="25"/>
    <x v="0"/>
  </r>
  <r>
    <s v="ORD-00065"/>
    <n v="45317"/>
    <n v="21463.200000000001"/>
    <s v="R022"/>
    <x v="4"/>
    <s v="Retail"/>
    <n v="28"/>
    <x v="3"/>
  </r>
  <r>
    <s v="ORD-00066"/>
    <n v="45462"/>
    <n v="4985.6000000000004"/>
    <s v="R020"/>
    <x v="0"/>
    <s v="SMB"/>
    <n v="50"/>
    <x v="3"/>
  </r>
  <r>
    <s v="ORD-00067"/>
    <n v="45499"/>
    <n v="2627.52"/>
    <s v="R028"/>
    <x v="2"/>
    <s v="Retail"/>
    <n v="39"/>
    <x v="2"/>
  </r>
  <r>
    <s v="ORD-00068"/>
    <n v="45328"/>
    <n v="5857.16"/>
    <s v="R017"/>
    <x v="0"/>
    <s v="Retail"/>
    <n v="38"/>
    <x v="3"/>
  </r>
  <r>
    <s v="ORD-00069"/>
    <n v="45459"/>
    <n v="613.79999999999995"/>
    <s v="R025"/>
    <x v="0"/>
    <s v="Retail"/>
    <n v="35"/>
    <x v="2"/>
  </r>
  <r>
    <s v="ORD-00070"/>
    <n v="45398"/>
    <n v="1963.01"/>
    <s v="R030"/>
    <x v="3"/>
    <s v="SMB"/>
    <n v="43"/>
    <x v="2"/>
  </r>
  <r>
    <s v="ORD-00071"/>
    <n v="45470"/>
    <n v="26607.200000000001"/>
    <s v="R002"/>
    <x v="0"/>
    <s v="Retail"/>
    <n v="36"/>
    <x v="0"/>
  </r>
  <r>
    <s v="ORD-00072"/>
    <n v="45346"/>
    <n v="4258.3"/>
    <s v="R001"/>
    <x v="2"/>
    <s v="Retail"/>
    <n v="29"/>
    <x v="0"/>
  </r>
  <r>
    <s v="ORD-00073"/>
    <n v="45483"/>
    <n v="22371.3"/>
    <s v="R003"/>
    <x v="5"/>
    <s v="Retail"/>
    <n v="41"/>
    <x v="0"/>
  </r>
  <r>
    <s v="ORD-00074"/>
    <n v="45585"/>
    <n v="263.07"/>
    <s v="R018"/>
    <x v="3"/>
    <s v="SMB"/>
    <n v="55"/>
    <x v="3"/>
  </r>
  <r>
    <s v="ORD-00075"/>
    <n v="45500"/>
    <n v="2784.87"/>
    <s v="R010"/>
    <x v="2"/>
    <s v="Corporate"/>
    <n v="46"/>
    <x v="1"/>
  </r>
  <r>
    <s v="ORD-00076"/>
    <n v="45375"/>
    <n v="13264.56"/>
    <s v="R022"/>
    <x v="2"/>
    <s v="SMB"/>
    <n v="39"/>
    <x v="3"/>
  </r>
  <r>
    <s v="ORD-00077"/>
    <n v="45443"/>
    <n v="14451.36"/>
    <s v="R019"/>
    <x v="2"/>
    <s v="SMB"/>
    <n v="54"/>
    <x v="3"/>
  </r>
  <r>
    <s v="ORD-00078"/>
    <n v="45390"/>
    <n v="4470.08"/>
    <s v="R022"/>
    <x v="4"/>
    <s v="Retail"/>
    <n v="42"/>
    <x v="3"/>
  </r>
  <r>
    <s v="ORD-00079"/>
    <n v="45615"/>
    <n v="5101.2"/>
    <s v="R028"/>
    <x v="4"/>
    <s v="Retail"/>
    <n v="46"/>
    <x v="2"/>
  </r>
  <r>
    <s v="ORD-00080"/>
    <n v="45498"/>
    <n v="26080.560000000001"/>
    <s v="R030"/>
    <x v="2"/>
    <s v="Corporate"/>
    <n v="33"/>
    <x v="2"/>
  </r>
  <r>
    <s v="ORD-00081"/>
    <n v="45515"/>
    <n v="3722.8"/>
    <s v="R005"/>
    <x v="2"/>
    <s v="SMB"/>
    <n v="60"/>
    <x v="0"/>
  </r>
  <r>
    <s v="ORD-00082"/>
    <n v="45528"/>
    <n v="5163.4399999999996"/>
    <s v="R017"/>
    <x v="0"/>
    <s v="SMB"/>
    <n v="57"/>
    <x v="3"/>
  </r>
  <r>
    <s v="ORD-00083"/>
    <n v="45402"/>
    <n v="9810.8799999999992"/>
    <s v="R007"/>
    <x v="0"/>
    <s v="SMB"/>
    <n v="36"/>
    <x v="0"/>
  </r>
  <r>
    <s v="ORD-00084"/>
    <n v="45547"/>
    <n v="2101.4"/>
    <s v="R026"/>
    <x v="4"/>
    <s v="Retail"/>
    <n v="31"/>
    <x v="2"/>
  </r>
  <r>
    <s v="ORD-00085"/>
    <n v="45424"/>
    <n v="11747.8"/>
    <s v="R012"/>
    <x v="5"/>
    <s v="Retail"/>
    <n v="28"/>
    <x v="1"/>
  </r>
  <r>
    <s v="ORD-00086"/>
    <n v="45461"/>
    <n v="4279.8599999999997"/>
    <s v="R030"/>
    <x v="0"/>
    <s v="SMB"/>
    <n v="44"/>
    <x v="2"/>
  </r>
  <r>
    <s v="ORD-00087"/>
    <n v="45600"/>
    <n v="889.24"/>
    <s v="R026"/>
    <x v="1"/>
    <s v="Retail"/>
    <n v="28"/>
    <x v="2"/>
  </r>
  <r>
    <s v="ORD-00088"/>
    <n v="45587"/>
    <n v="4011.15"/>
    <s v="R010"/>
    <x v="4"/>
    <s v="Retail"/>
    <n v="50"/>
    <x v="1"/>
  </r>
  <r>
    <s v="ORD-00089"/>
    <n v="45518"/>
    <n v="3623.28"/>
    <s v="R004"/>
    <x v="0"/>
    <s v="Corporate"/>
    <n v="59"/>
    <x v="0"/>
  </r>
  <r>
    <s v="ORD-00090"/>
    <n v="45533"/>
    <n v="13637.4"/>
    <s v="R012"/>
    <x v="4"/>
    <s v="SMB"/>
    <n v="65"/>
    <x v="1"/>
  </r>
  <r>
    <s v="ORD-00091"/>
    <n v="45622"/>
    <n v="13347.6"/>
    <s v="R010"/>
    <x v="2"/>
    <s v="Corporate"/>
    <n v="46"/>
    <x v="1"/>
  </r>
  <r>
    <s v="ORD-00092"/>
    <n v="45328"/>
    <n v="16107.84"/>
    <s v="R014"/>
    <x v="0"/>
    <s v="Retail"/>
    <n v="49"/>
    <x v="1"/>
  </r>
  <r>
    <s v="ORD-00093"/>
    <n v="45380"/>
    <n v="17423.64"/>
    <s v="R001"/>
    <x v="2"/>
    <s v="Retail"/>
    <n v="38"/>
    <x v="0"/>
  </r>
  <r>
    <s v="ORD-00094"/>
    <n v="45648"/>
    <n v="921.12"/>
    <s v="R026"/>
    <x v="1"/>
    <s v="Retail"/>
    <n v="25"/>
    <x v="2"/>
  </r>
  <r>
    <s v="ORD-00095"/>
    <n v="45607"/>
    <n v="38046"/>
    <s v="R027"/>
    <x v="5"/>
    <s v="Retail"/>
    <n v="26"/>
    <x v="2"/>
  </r>
  <r>
    <s v="ORD-00096"/>
    <n v="45414"/>
    <n v="4969.2"/>
    <s v="R016"/>
    <x v="1"/>
    <s v="Corporate"/>
    <n v="38"/>
    <x v="1"/>
  </r>
  <r>
    <s v="ORD-00097"/>
    <n v="45328"/>
    <n v="2883.29"/>
    <s v="R025"/>
    <x v="3"/>
    <s v="Retail"/>
    <n v="53"/>
    <x v="2"/>
  </r>
  <r>
    <s v="ORD-00098"/>
    <n v="45373"/>
    <n v="20618"/>
    <s v="R028"/>
    <x v="4"/>
    <s v="Retail"/>
    <n v="41"/>
    <x v="2"/>
  </r>
  <r>
    <s v="ORD-00099"/>
    <n v="45458"/>
    <n v="13982.64"/>
    <s v="R006"/>
    <x v="2"/>
    <s v="SMB"/>
    <n v="22"/>
    <x v="0"/>
  </r>
  <r>
    <s v="ORD-00100"/>
    <n v="45426"/>
    <n v="30460.799999999999"/>
    <s v="R027"/>
    <x v="5"/>
    <s v="Retail"/>
    <n v="60"/>
    <x v="2"/>
  </r>
  <r>
    <s v="ORD-00101"/>
    <n v="45557"/>
    <n v="13297.98"/>
    <s v="R028"/>
    <x v="0"/>
    <s v="SMB"/>
    <n v="44"/>
    <x v="2"/>
  </r>
  <r>
    <s v="ORD-00102"/>
    <n v="45509"/>
    <n v="13260"/>
    <s v="R026"/>
    <x v="3"/>
    <s v="SMB"/>
    <n v="38"/>
    <x v="2"/>
  </r>
  <r>
    <s v="ORD-00103"/>
    <n v="45329"/>
    <n v="19519.28"/>
    <s v="R005"/>
    <x v="1"/>
    <s v="SMB"/>
    <n v="28"/>
    <x v="0"/>
  </r>
  <r>
    <s v="ORD-00104"/>
    <n v="45411"/>
    <n v="25389.84"/>
    <s v="R018"/>
    <x v="4"/>
    <s v="Corporate"/>
    <n v="51"/>
    <x v="3"/>
  </r>
  <r>
    <s v="ORD-00105"/>
    <n v="45297"/>
    <n v="42000.4"/>
    <s v="R003"/>
    <x v="4"/>
    <s v="SMB"/>
    <n v="22"/>
    <x v="0"/>
  </r>
  <r>
    <s v="ORD-00106"/>
    <n v="45640"/>
    <n v="7025.76"/>
    <s v="R017"/>
    <x v="2"/>
    <s v="Retail"/>
    <n v="25"/>
    <x v="3"/>
  </r>
  <r>
    <s v="ORD-00107"/>
    <n v="45322"/>
    <n v="813.05"/>
    <s v="R027"/>
    <x v="1"/>
    <s v="SMB"/>
    <n v="62"/>
    <x v="2"/>
  </r>
  <r>
    <s v="ORD-00108"/>
    <n v="45414"/>
    <n v="3612.42"/>
    <s v="R025"/>
    <x v="2"/>
    <s v="Retail"/>
    <n v="42"/>
    <x v="2"/>
  </r>
  <r>
    <s v="ORD-00109"/>
    <n v="45592"/>
    <n v="5779.4"/>
    <s v="R013"/>
    <x v="2"/>
    <s v="Retail"/>
    <n v="43"/>
    <x v="1"/>
  </r>
  <r>
    <s v="ORD-00110"/>
    <n v="45439"/>
    <n v="3160.08"/>
    <s v="R029"/>
    <x v="3"/>
    <s v="Corporate"/>
    <n v="56"/>
    <x v="2"/>
  </r>
  <r>
    <s v="ORD-00111"/>
    <n v="45486"/>
    <n v="2277.7199999999998"/>
    <s v="R024"/>
    <x v="3"/>
    <s v="SMB"/>
    <n v="44"/>
    <x v="2"/>
  </r>
  <r>
    <s v="ORD-00112"/>
    <n v="45629"/>
    <n v="4965.1000000000004"/>
    <s v="R006"/>
    <x v="0"/>
    <s v="SMB"/>
    <n v="53"/>
    <x v="0"/>
  </r>
  <r>
    <s v="ORD-00113"/>
    <n v="45394"/>
    <n v="2841.6"/>
    <s v="R027"/>
    <x v="5"/>
    <s v="SMB"/>
    <n v="27"/>
    <x v="2"/>
  </r>
  <r>
    <s v="ORD-00114"/>
    <n v="45453"/>
    <n v="6380.4"/>
    <s v="R014"/>
    <x v="4"/>
    <s v="Corporate"/>
    <n v="27"/>
    <x v="1"/>
  </r>
  <r>
    <s v="ORD-00115"/>
    <n v="45370"/>
    <n v="13501.53"/>
    <s v="R029"/>
    <x v="3"/>
    <s v="Retail"/>
    <n v="63"/>
    <x v="2"/>
  </r>
  <r>
    <s v="ORD-00116"/>
    <n v="45597"/>
    <n v="14509.44"/>
    <s v="R028"/>
    <x v="5"/>
    <s v="Retail"/>
    <n v="23"/>
    <x v="2"/>
  </r>
  <r>
    <s v="ORD-00117"/>
    <n v="45531"/>
    <n v="10305.99"/>
    <s v="R029"/>
    <x v="3"/>
    <s v="Retail"/>
    <n v="44"/>
    <x v="2"/>
  </r>
  <r>
    <s v="ORD-00118"/>
    <n v="45596"/>
    <n v="249.3"/>
    <s v="R014"/>
    <x v="4"/>
    <s v="SMB"/>
    <n v="54"/>
    <x v="1"/>
  </r>
  <r>
    <s v="ORD-00119"/>
    <n v="45420"/>
    <n v="894.6"/>
    <s v="R012"/>
    <x v="4"/>
    <s v="Retail"/>
    <n v="50"/>
    <x v="1"/>
  </r>
  <r>
    <s v="ORD-00120"/>
    <n v="45329"/>
    <n v="19637.7"/>
    <s v="R007"/>
    <x v="5"/>
    <s v="SMB"/>
    <n v="28"/>
    <x v="0"/>
  </r>
  <r>
    <s v="ORD-00121"/>
    <n v="45416"/>
    <n v="15073.24"/>
    <s v="R003"/>
    <x v="4"/>
    <s v="SMB"/>
    <n v="46"/>
    <x v="0"/>
  </r>
  <r>
    <s v="ORD-00122"/>
    <n v="45614"/>
    <n v="19374.240000000002"/>
    <s v="R002"/>
    <x v="0"/>
    <s v="Retail"/>
    <n v="30"/>
    <x v="0"/>
  </r>
  <r>
    <s v="ORD-00123"/>
    <n v="45593"/>
    <n v="17006.759999999998"/>
    <s v="R005"/>
    <x v="0"/>
    <s v="SMB"/>
    <n v="53"/>
    <x v="0"/>
  </r>
  <r>
    <s v="ORD-00124"/>
    <n v="45360"/>
    <n v="5537.28"/>
    <s v="R008"/>
    <x v="1"/>
    <s v="SMB"/>
    <n v="51"/>
    <x v="0"/>
  </r>
  <r>
    <s v="ORD-00125"/>
    <n v="45628"/>
    <n v="7845.75"/>
    <s v="R025"/>
    <x v="5"/>
    <s v="Retail"/>
    <n v="59"/>
    <x v="2"/>
  </r>
  <r>
    <s v="ORD-00126"/>
    <n v="45592"/>
    <n v="6471.36"/>
    <s v="R010"/>
    <x v="5"/>
    <s v="Corporate"/>
    <n v="24"/>
    <x v="1"/>
  </r>
  <r>
    <s v="ORD-00127"/>
    <n v="45453"/>
    <n v="23954.98"/>
    <s v="R003"/>
    <x v="4"/>
    <s v="SMB"/>
    <n v="53"/>
    <x v="0"/>
  </r>
  <r>
    <s v="ORD-00128"/>
    <n v="45612"/>
    <n v="5323.36"/>
    <s v="R005"/>
    <x v="2"/>
    <s v="Retail"/>
    <n v="29"/>
    <x v="0"/>
  </r>
  <r>
    <s v="ORD-00129"/>
    <n v="45541"/>
    <n v="20056.400000000001"/>
    <s v="R001"/>
    <x v="3"/>
    <s v="Retail"/>
    <n v="61"/>
    <x v="0"/>
  </r>
  <r>
    <s v="ORD-00130"/>
    <n v="45640"/>
    <n v="17733.240000000002"/>
    <s v="R021"/>
    <x v="2"/>
    <s v="Retail"/>
    <n v="22"/>
    <x v="3"/>
  </r>
  <r>
    <s v="ORD-00131"/>
    <n v="45524"/>
    <n v="33808.639999999999"/>
    <s v="R003"/>
    <x v="5"/>
    <s v="Corporate"/>
    <n v="32"/>
    <x v="0"/>
  </r>
  <r>
    <s v="ORD-00132"/>
    <n v="45344"/>
    <n v="29450.7"/>
    <s v="R011"/>
    <x v="4"/>
    <s v="Corporate"/>
    <n v="42"/>
    <x v="1"/>
  </r>
  <r>
    <s v="ORD-00133"/>
    <n v="45463"/>
    <n v="7767.68"/>
    <s v="R002"/>
    <x v="5"/>
    <s v="Retail"/>
    <n v="22"/>
    <x v="0"/>
  </r>
  <r>
    <s v="ORD-00134"/>
    <n v="45443"/>
    <n v="18240.32"/>
    <s v="R020"/>
    <x v="2"/>
    <s v="Retail"/>
    <n v="44"/>
    <x v="3"/>
  </r>
  <r>
    <s v="ORD-00135"/>
    <n v="45301"/>
    <n v="15646.8"/>
    <s v="R013"/>
    <x v="2"/>
    <s v="SMB"/>
    <n v="64"/>
    <x v="1"/>
  </r>
  <r>
    <s v="ORD-01445"/>
    <n v="45360"/>
    <n v="16501.68"/>
    <s v="R022"/>
    <x v="4"/>
    <s v="SMB"/>
    <n v="29"/>
    <x v="3"/>
  </r>
  <r>
    <s v="ORD-00137"/>
    <n v="45559"/>
    <n v="24836.32"/>
    <s v="R022"/>
    <x v="4"/>
    <s v="SMB"/>
    <n v="64"/>
    <x v="3"/>
  </r>
  <r>
    <s v="ORD-00138"/>
    <n v="45546"/>
    <n v="26512.400000000001"/>
    <s v="R020"/>
    <x v="0"/>
    <s v="Corporate"/>
    <n v="48"/>
    <x v="3"/>
  </r>
  <r>
    <s v="ORD-00139"/>
    <n v="45425"/>
    <n v="809.4"/>
    <s v="R009"/>
    <x v="1"/>
    <s v="Retail"/>
    <n v="55"/>
    <x v="1"/>
  </r>
  <r>
    <s v="ORD-00140"/>
    <n v="45351"/>
    <n v="13281.12"/>
    <s v="R007"/>
    <x v="2"/>
    <s v="Retail"/>
    <n v="31"/>
    <x v="0"/>
  </r>
  <r>
    <s v="ORD-00141"/>
    <n v="45604"/>
    <n v="16180.56"/>
    <s v="R019"/>
    <x v="2"/>
    <s v="Retail"/>
    <n v="42"/>
    <x v="3"/>
  </r>
  <r>
    <s v="ORD-00142"/>
    <n v="45328"/>
    <n v="37696.879999999997"/>
    <s v="R001"/>
    <x v="1"/>
    <s v="Retail"/>
    <n v="32"/>
    <x v="0"/>
  </r>
  <r>
    <s v="ORD-00143"/>
    <n v="45508"/>
    <n v="19040.759999999998"/>
    <s v="R009"/>
    <x v="2"/>
    <s v="Corporate"/>
    <n v="31"/>
    <x v="1"/>
  </r>
  <r>
    <s v="ORD-00144"/>
    <n v="45309"/>
    <n v="8266.56"/>
    <s v="R001"/>
    <x v="0"/>
    <s v="SMB"/>
    <n v="27"/>
    <x v="0"/>
  </r>
  <r>
    <s v="ORD-00145"/>
    <n v="45448"/>
    <n v="25691.68"/>
    <s v="R028"/>
    <x v="2"/>
    <s v="SMB"/>
    <n v="29"/>
    <x v="2"/>
  </r>
  <r>
    <s v="ORD-00146"/>
    <n v="45449"/>
    <n v="3726.9"/>
    <s v="R018"/>
    <x v="0"/>
    <s v="Unknown"/>
    <s v=""/>
    <x v="3"/>
  </r>
  <r>
    <s v="ORD-00147"/>
    <n v="45555"/>
    <n v="1637.25"/>
    <s v="R007"/>
    <x v="3"/>
    <s v="SMB"/>
    <n v="30"/>
    <x v="0"/>
  </r>
  <r>
    <s v="ORD-00148"/>
    <n v="45341"/>
    <n v="33147"/>
    <s v="R002"/>
    <x v="3"/>
    <s v="Retail"/>
    <n v="65"/>
    <x v="0"/>
  </r>
  <r>
    <s v="ORD-00149"/>
    <n v="45422"/>
    <n v="21367.5"/>
    <s v="R012"/>
    <x v="2"/>
    <s v="SMB"/>
    <n v="54"/>
    <x v="1"/>
  </r>
  <r>
    <s v="ORD-00150"/>
    <n v="45346"/>
    <n v="1113"/>
    <s v="R024"/>
    <x v="4"/>
    <s v="SMB"/>
    <n v="30"/>
    <x v="2"/>
  </r>
  <r>
    <s v="ORD-00151"/>
    <n v="45318"/>
    <n v="25418.400000000001"/>
    <s v="R011"/>
    <x v="5"/>
    <s v="Retail"/>
    <n v="41"/>
    <x v="1"/>
  </r>
  <r>
    <s v="ORD-00152"/>
    <n v="45521"/>
    <n v="10376.1"/>
    <s v="R012"/>
    <x v="3"/>
    <s v="Retail"/>
    <n v="37"/>
    <x v="1"/>
  </r>
  <r>
    <s v="ORD-00153"/>
    <n v="45595"/>
    <n v="6817.2"/>
    <s v="R015"/>
    <x v="0"/>
    <s v="SMB"/>
    <n v="34"/>
    <x v="1"/>
  </r>
  <r>
    <s v="ORD-00154"/>
    <n v="45530"/>
    <n v="17945.2"/>
    <s v="R002"/>
    <x v="2"/>
    <s v="Corporate"/>
    <n v="43"/>
    <x v="0"/>
  </r>
  <r>
    <s v="ORD-00155"/>
    <n v="45644"/>
    <n v="4797"/>
    <s v="R013"/>
    <x v="3"/>
    <s v="SMB"/>
    <n v="36"/>
    <x v="1"/>
  </r>
  <r>
    <s v="ORD-00156"/>
    <n v="45298"/>
    <n v="15657.8"/>
    <s v="R001"/>
    <x v="0"/>
    <s v="Retail"/>
    <n v="29"/>
    <x v="0"/>
  </r>
  <r>
    <s v="ORD-00157"/>
    <n v="45447"/>
    <n v="10897.92"/>
    <s v="R030"/>
    <x v="4"/>
    <s v="SMB"/>
    <n v="53"/>
    <x v="2"/>
  </r>
  <r>
    <s v="ORD-00158"/>
    <n v="45601"/>
    <n v="14590.8"/>
    <s v="R022"/>
    <x v="1"/>
    <s v="Corporate"/>
    <n v="37"/>
    <x v="3"/>
  </r>
  <r>
    <s v="ORD-00159"/>
    <n v="45428"/>
    <n v="9796.8799999999992"/>
    <s v="R021"/>
    <x v="5"/>
    <s v="Retail"/>
    <n v="55"/>
    <x v="3"/>
  </r>
  <r>
    <s v="ORD-00160"/>
    <n v="45409"/>
    <n v="3327.16"/>
    <s v="R015"/>
    <x v="3"/>
    <s v="Retail"/>
    <n v="61"/>
    <x v="1"/>
  </r>
  <r>
    <s v="ORD-00161"/>
    <n v="45394"/>
    <n v="31114.880000000001"/>
    <s v="R018"/>
    <x v="5"/>
    <s v="SMB"/>
    <n v="65"/>
    <x v="3"/>
  </r>
  <r>
    <s v="ORD-00162"/>
    <n v="45579"/>
    <n v="7141.14"/>
    <s v="R026"/>
    <x v="2"/>
    <s v="Retail"/>
    <n v="63"/>
    <x v="2"/>
  </r>
  <r>
    <s v="ORD-00163"/>
    <n v="45442"/>
    <n v="17534.72"/>
    <s v="R017"/>
    <x v="4"/>
    <s v="SMB"/>
    <n v="43"/>
    <x v="3"/>
  </r>
  <r>
    <s v="ORD-00164"/>
    <n v="45414"/>
    <n v="1343.16"/>
    <s v="R015"/>
    <x v="0"/>
    <s v="SMB"/>
    <n v="27"/>
    <x v="1"/>
  </r>
  <r>
    <s v="ORD-00165"/>
    <n v="45349"/>
    <n v="10842.23"/>
    <s v="R009"/>
    <x v="3"/>
    <s v="Corporate"/>
    <n v="35"/>
    <x v="1"/>
  </r>
  <r>
    <s v="ORD-00166"/>
    <n v="45533"/>
    <n v="2672.2"/>
    <s v="R009"/>
    <x v="0"/>
    <s v="SMB"/>
    <n v="59"/>
    <x v="1"/>
  </r>
  <r>
    <s v="ORD-00167"/>
    <n v="45489"/>
    <n v="15016.05"/>
    <s v="R022"/>
    <x v="2"/>
    <s v="SMB"/>
    <n v="34"/>
    <x v="3"/>
  </r>
  <r>
    <s v="ORD-00168"/>
    <n v="45457"/>
    <n v="405.61"/>
    <s v="R016"/>
    <x v="1"/>
    <s v="SMB"/>
    <n v="40"/>
    <x v="1"/>
  </r>
  <r>
    <s v="ORD-00169"/>
    <n v="45601"/>
    <n v="26255.58"/>
    <s v="R007"/>
    <x v="4"/>
    <s v="Retail"/>
    <n v="63"/>
    <x v="0"/>
  </r>
  <r>
    <s v="ORD-00170"/>
    <n v="45294"/>
    <n v="4529.6000000000004"/>
    <s v="R002"/>
    <x v="5"/>
    <s v="SMB"/>
    <n v="49"/>
    <x v="0"/>
  </r>
  <r>
    <s v="ORD-00171"/>
    <n v="45345"/>
    <n v="13494.6"/>
    <s v="R022"/>
    <x v="2"/>
    <s v="Retail"/>
    <n v="54"/>
    <x v="3"/>
  </r>
  <r>
    <s v="ORD-00172"/>
    <n v="45391"/>
    <n v="2886.1"/>
    <s v="R010"/>
    <x v="0"/>
    <s v="Corporate"/>
    <n v="52"/>
    <x v="1"/>
  </r>
  <r>
    <s v="ORD-00173"/>
    <n v="45419"/>
    <n v="19939.439999999999"/>
    <s v="R027"/>
    <x v="0"/>
    <s v="Corporate"/>
    <n v="48"/>
    <x v="2"/>
  </r>
  <r>
    <s v="ORD-00174"/>
    <n v="45306"/>
    <n v="2347.36"/>
    <s v="R020"/>
    <x v="0"/>
    <s v="Retail"/>
    <n v="49"/>
    <x v="3"/>
  </r>
  <r>
    <s v="ORD-00175"/>
    <n v="45546"/>
    <n v="3231.72"/>
    <s v="R018"/>
    <x v="1"/>
    <s v="Corporate"/>
    <n v="29"/>
    <x v="3"/>
  </r>
  <r>
    <s v="ORD-00176"/>
    <n v="45633"/>
    <n v="25675"/>
    <s v="R018"/>
    <x v="3"/>
    <s v="Retail"/>
    <n v="46"/>
    <x v="3"/>
  </r>
  <r>
    <s v="ORD-00177"/>
    <n v="45649"/>
    <n v="25359.360000000001"/>
    <s v="R028"/>
    <x v="3"/>
    <s v="Retail"/>
    <n v="59"/>
    <x v="2"/>
  </r>
  <r>
    <s v="ORD-00178"/>
    <n v="45312"/>
    <n v="6661.62"/>
    <s v="R012"/>
    <x v="4"/>
    <s v="Retail"/>
    <n v="65"/>
    <x v="1"/>
  </r>
  <r>
    <s v="ORD-00179"/>
    <n v="45382"/>
    <n v="11880.96"/>
    <s v="R012"/>
    <x v="0"/>
    <s v="Retail"/>
    <n v="57"/>
    <x v="1"/>
  </r>
  <r>
    <s v="ORD-00180"/>
    <n v="45524"/>
    <n v="30411.040000000001"/>
    <s v="R001"/>
    <x v="2"/>
    <s v="Retail"/>
    <n v="63"/>
    <x v="0"/>
  </r>
  <r>
    <s v="ORD-00181"/>
    <n v="45392"/>
    <n v="17719.2"/>
    <s v="R012"/>
    <x v="0"/>
    <s v="Retail"/>
    <n v="34"/>
    <x v="1"/>
  </r>
  <r>
    <s v="ORD-00182"/>
    <n v="45443"/>
    <n v="26527.759999999998"/>
    <s v="R029"/>
    <x v="3"/>
    <s v="Retail"/>
    <n v="60"/>
    <x v="2"/>
  </r>
  <r>
    <s v="ORD-00183"/>
    <n v="45333"/>
    <n v="22052.400000000001"/>
    <s v="R028"/>
    <x v="2"/>
    <s v="Retail"/>
    <n v="28"/>
    <x v="2"/>
  </r>
  <r>
    <s v="ORD-00184"/>
    <n v="45456"/>
    <n v="8781.2999999999993"/>
    <s v="R016"/>
    <x v="5"/>
    <s v="Retail"/>
    <n v="61"/>
    <x v="1"/>
  </r>
  <r>
    <s v="ORD-00185"/>
    <n v="45295"/>
    <n v="25251.75"/>
    <s v="R007"/>
    <x v="4"/>
    <s v="SMB"/>
    <n v="43"/>
    <x v="0"/>
  </r>
  <r>
    <s v="ORD-00186"/>
    <n v="45532"/>
    <n v="1772.34"/>
    <s v="R022"/>
    <x v="3"/>
    <s v="SMB"/>
    <n v="65"/>
    <x v="3"/>
  </r>
  <r>
    <s v="ORD-00187"/>
    <n v="45564"/>
    <n v="2941.44"/>
    <s v="R025"/>
    <x v="5"/>
    <s v="Corporate"/>
    <n v="36"/>
    <x v="2"/>
  </r>
  <r>
    <s v="ORD-00188"/>
    <n v="45539"/>
    <n v="8251.0499999999993"/>
    <s v="R021"/>
    <x v="5"/>
    <s v="Retail"/>
    <n v="34"/>
    <x v="3"/>
  </r>
  <r>
    <s v="ORD-00189"/>
    <n v="45605"/>
    <n v="6446.8"/>
    <s v="R005"/>
    <x v="2"/>
    <s v="Retail"/>
    <n v="59"/>
    <x v="0"/>
  </r>
  <r>
    <s v="ORD-00190"/>
    <n v="45460"/>
    <n v="29748.33"/>
    <s v="R023"/>
    <x v="3"/>
    <s v="Retail"/>
    <n v="55"/>
    <x v="3"/>
  </r>
  <r>
    <s v="ORD-00191"/>
    <n v="45538"/>
    <n v="8787.9599999999991"/>
    <s v="R009"/>
    <x v="0"/>
    <s v="SMB"/>
    <n v="26"/>
    <x v="1"/>
  </r>
  <r>
    <s v="ORD-00192"/>
    <n v="45573"/>
    <n v="15327.04"/>
    <s v="R004"/>
    <x v="2"/>
    <s v="Retail"/>
    <n v="61"/>
    <x v="0"/>
  </r>
  <r>
    <s v="ORD-00193"/>
    <n v="45483"/>
    <n v="20221.919999999998"/>
    <s v="R028"/>
    <x v="5"/>
    <s v="Retail"/>
    <n v="56"/>
    <x v="2"/>
  </r>
  <r>
    <s v="ORD-00194"/>
    <n v="45617"/>
    <n v="44450.7"/>
    <s v="R030"/>
    <x v="1"/>
    <s v="SMB"/>
    <n v="46"/>
    <x v="2"/>
  </r>
  <r>
    <s v="ORD-00195"/>
    <n v="45546"/>
    <n v="9732.7999999999993"/>
    <s v="R012"/>
    <x v="5"/>
    <s v="Corporate"/>
    <n v="29"/>
    <x v="1"/>
  </r>
  <r>
    <s v="ORD-00196"/>
    <n v="45380"/>
    <n v="10728.48"/>
    <s v="R029"/>
    <x v="0"/>
    <s v="Retail"/>
    <n v="49"/>
    <x v="2"/>
  </r>
  <r>
    <s v="ORD-00197"/>
    <n v="45320"/>
    <n v="596.6"/>
    <s v="R022"/>
    <x v="1"/>
    <s v="Corporate"/>
    <n v="35"/>
    <x v="3"/>
  </r>
  <r>
    <s v="ORD-00198"/>
    <n v="45355"/>
    <n v="2422.42"/>
    <s v="R014"/>
    <x v="1"/>
    <s v="SMB"/>
    <n v="55"/>
    <x v="1"/>
  </r>
  <r>
    <s v="ORD-00199"/>
    <n v="45350"/>
    <n v="9025.9599999999991"/>
    <s v="R015"/>
    <x v="0"/>
    <s v="Corporate"/>
    <n v="55"/>
    <x v="1"/>
  </r>
  <r>
    <s v="ORD-00200"/>
    <n v="45587"/>
    <n v="6311.76"/>
    <s v="R003"/>
    <x v="4"/>
    <s v="Retail"/>
    <n v="23"/>
    <x v="0"/>
  </r>
  <r>
    <s v="ORD-00201"/>
    <n v="45344"/>
    <n v="25457.25"/>
    <s v="R016"/>
    <x v="3"/>
    <s v="Retail"/>
    <n v="59"/>
    <x v="1"/>
  </r>
  <r>
    <s v="ORD-00202"/>
    <n v="45492"/>
    <n v="2000.22"/>
    <s v="R030"/>
    <x v="3"/>
    <s v="Retail"/>
    <n v="44"/>
    <x v="2"/>
  </r>
  <r>
    <s v="ORD-00203"/>
    <n v="45490"/>
    <n v="7479.92"/>
    <s v="R014"/>
    <x v="4"/>
    <s v="Retail"/>
    <n v="45"/>
    <x v="1"/>
  </r>
  <r>
    <s v="ORD-00204"/>
    <n v="45538"/>
    <n v="16410.96"/>
    <s v="R015"/>
    <x v="2"/>
    <s v="Retail"/>
    <n v="23"/>
    <x v="1"/>
  </r>
  <r>
    <s v="ORD-00205"/>
    <n v="45591"/>
    <n v="16502.099999999999"/>
    <s v="R009"/>
    <x v="5"/>
    <s v="SMB"/>
    <n v="48"/>
    <x v="1"/>
  </r>
  <r>
    <s v="ORD-00206"/>
    <n v="45319"/>
    <n v="1905.6"/>
    <s v="R017"/>
    <x v="4"/>
    <s v="SMB"/>
    <n v="30"/>
    <x v="3"/>
  </r>
  <r>
    <s v="ORD-00207"/>
    <n v="45527"/>
    <n v="11274.4"/>
    <s v="R002"/>
    <x v="0"/>
    <s v="Retail"/>
    <n v="44"/>
    <x v="0"/>
  </r>
  <r>
    <s v="ORD-00208"/>
    <n v="45572"/>
    <n v="2960.55"/>
    <s v="R015"/>
    <x v="4"/>
    <s v="SMB"/>
    <n v="48"/>
    <x v="1"/>
  </r>
  <r>
    <s v="ORD-00209"/>
    <n v="45637"/>
    <n v="11111.67"/>
    <s v="R012"/>
    <x v="3"/>
    <s v="Retail"/>
    <n v="38"/>
    <x v="1"/>
  </r>
  <r>
    <s v="ORD-00210"/>
    <n v="45315"/>
    <n v="16229.12"/>
    <s v="R012"/>
    <x v="0"/>
    <s v="Corporate"/>
    <n v="34"/>
    <x v="1"/>
  </r>
  <r>
    <s v="ORD-00211"/>
    <n v="45374"/>
    <n v="1877.76"/>
    <s v="R019"/>
    <x v="1"/>
    <s v="Retail"/>
    <n v="44"/>
    <x v="3"/>
  </r>
  <r>
    <s v="ORD-00212"/>
    <n v="45335"/>
    <n v="34394.239999999998"/>
    <s v="R018"/>
    <x v="5"/>
    <s v="Retail"/>
    <n v="25"/>
    <x v="3"/>
  </r>
  <r>
    <s v="ORD-00213"/>
    <n v="45656"/>
    <n v="7160.36"/>
    <s v="R030"/>
    <x v="0"/>
    <s v="SMB"/>
    <n v="29"/>
    <x v="2"/>
  </r>
  <r>
    <s v="ORD-00214"/>
    <n v="45573"/>
    <n v="26011.439999999999"/>
    <s v="R008"/>
    <x v="4"/>
    <s v="Retail"/>
    <n v="35"/>
    <x v="0"/>
  </r>
  <r>
    <s v="ORD-00215"/>
    <n v="45534"/>
    <n v="14600.64"/>
    <s v="R026"/>
    <x v="2"/>
    <s v="Retail"/>
    <n v="32"/>
    <x v="2"/>
  </r>
  <r>
    <s v="ORD-00216"/>
    <n v="45639"/>
    <n v="2925.72"/>
    <s v="R013"/>
    <x v="2"/>
    <s v="Corporate"/>
    <n v="55"/>
    <x v="1"/>
  </r>
  <r>
    <s v="ORD-00217"/>
    <n v="45653"/>
    <n v="26300.34"/>
    <s v="R022"/>
    <x v="2"/>
    <s v="Corporate"/>
    <n v="60"/>
    <x v="3"/>
  </r>
  <r>
    <s v="ORD-00218"/>
    <n v="45424"/>
    <n v="20803.86"/>
    <s v="R006"/>
    <x v="4"/>
    <s v="Retail"/>
    <n v="65"/>
    <x v="0"/>
  </r>
  <r>
    <s v="ORD-00219"/>
    <n v="45400"/>
    <n v="14065.8"/>
    <s v="R004"/>
    <x v="4"/>
    <s v="Retail"/>
    <n v="37"/>
    <x v="0"/>
  </r>
  <r>
    <s v="ORD-00220"/>
    <n v="45531"/>
    <n v="1562.88"/>
    <s v="R001"/>
    <x v="5"/>
    <s v="Retail"/>
    <n v="65"/>
    <x v="0"/>
  </r>
  <r>
    <s v="ORD-00221"/>
    <n v="45546"/>
    <n v="6644.7"/>
    <s v="R018"/>
    <x v="5"/>
    <s v="Retail"/>
    <n v="62"/>
    <x v="3"/>
  </r>
  <r>
    <s v="ORD-00222"/>
    <n v="45608"/>
    <n v="30232.799999999999"/>
    <s v="R007"/>
    <x v="5"/>
    <s v="SMB"/>
    <n v="43"/>
    <x v="0"/>
  </r>
  <r>
    <s v="ORD-00223"/>
    <n v="45614"/>
    <n v="2014.2"/>
    <s v="R005"/>
    <x v="4"/>
    <s v="SMB"/>
    <n v="24"/>
    <x v="0"/>
  </r>
  <r>
    <s v="ORD-00224"/>
    <n v="45405"/>
    <n v="28386.959999999999"/>
    <s v="R020"/>
    <x v="5"/>
    <s v="SMB"/>
    <n v="61"/>
    <x v="3"/>
  </r>
  <r>
    <s v="ORD-00225"/>
    <n v="45504"/>
    <n v="26091"/>
    <s v="R023"/>
    <x v="3"/>
    <s v="Corporate"/>
    <n v="41"/>
    <x v="3"/>
  </r>
  <r>
    <s v="ORD-00226"/>
    <n v="45298"/>
    <n v="9791.1"/>
    <s v="R006"/>
    <x v="5"/>
    <s v="Retail"/>
    <n v="65"/>
    <x v="0"/>
  </r>
  <r>
    <s v="ORD-00227"/>
    <n v="45346"/>
    <n v="24928"/>
    <s v="R021"/>
    <x v="5"/>
    <s v="Corporate"/>
    <n v="47"/>
    <x v="3"/>
  </r>
  <r>
    <s v="ORD-00228"/>
    <n v="45487"/>
    <n v="38644.480000000003"/>
    <s v="R022"/>
    <x v="5"/>
    <s v="SMB"/>
    <n v="30"/>
    <x v="3"/>
  </r>
  <r>
    <s v="ORD-00229"/>
    <n v="45585"/>
    <n v="11304.6"/>
    <s v="R014"/>
    <x v="2"/>
    <s v="Retail"/>
    <n v="38"/>
    <x v="1"/>
  </r>
  <r>
    <s v="ORD-00230"/>
    <n v="45373"/>
    <n v="36844"/>
    <s v="R016"/>
    <x v="5"/>
    <s v="Retail"/>
    <n v="42"/>
    <x v="1"/>
  </r>
  <r>
    <s v="ORD-00231"/>
    <n v="45293"/>
    <n v="4650.5200000000004"/>
    <s v="R002"/>
    <x v="2"/>
    <s v="Corporate"/>
    <n v="55"/>
    <x v="0"/>
  </r>
  <r>
    <s v="ORD-00232"/>
    <n v="45498"/>
    <n v="708.01"/>
    <s v="R025"/>
    <x v="1"/>
    <s v="Retail"/>
    <n v="38"/>
    <x v="2"/>
  </r>
  <r>
    <s v="ORD-00233"/>
    <n v="45643"/>
    <n v="36046.36"/>
    <s v="R029"/>
    <x v="1"/>
    <s v="Retail"/>
    <n v="46"/>
    <x v="2"/>
  </r>
  <r>
    <s v="ORD-00234"/>
    <n v="45542"/>
    <n v="10181.34"/>
    <s v="R024"/>
    <x v="5"/>
    <s v="Retail"/>
    <n v="65"/>
    <x v="2"/>
  </r>
  <r>
    <s v="ORD-00235"/>
    <n v="45508"/>
    <n v="711.14"/>
    <s v="R014"/>
    <x v="3"/>
    <s v="SMB"/>
    <n v="27"/>
    <x v="1"/>
  </r>
  <r>
    <s v="ORD-00236"/>
    <n v="45353"/>
    <n v="1695.69"/>
    <s v="R020"/>
    <x v="2"/>
    <s v="Corporate"/>
    <n v="40"/>
    <x v="3"/>
  </r>
  <r>
    <s v="ORD-00237"/>
    <n v="45344"/>
    <n v="17315.84"/>
    <s v="R002"/>
    <x v="5"/>
    <s v="SMB"/>
    <n v="59"/>
    <x v="0"/>
  </r>
  <r>
    <s v="ORD-00238"/>
    <n v="45389"/>
    <n v="8122.92"/>
    <s v="R018"/>
    <x v="4"/>
    <s v="Retail"/>
    <n v="34"/>
    <x v="3"/>
  </r>
  <r>
    <s v="ORD-00239"/>
    <n v="45344"/>
    <n v="7789.98"/>
    <s v="R024"/>
    <x v="2"/>
    <s v="Retail"/>
    <n v="26"/>
    <x v="2"/>
  </r>
  <r>
    <s v="ORD-00240"/>
    <n v="45480"/>
    <n v="1486.8"/>
    <s v="R004"/>
    <x v="4"/>
    <s v="Corporate"/>
    <n v="37"/>
    <x v="0"/>
  </r>
  <r>
    <s v="ORD-00241"/>
    <n v="45488"/>
    <n v="4026"/>
    <s v="R014"/>
    <x v="5"/>
    <s v="Retail"/>
    <n v="56"/>
    <x v="1"/>
  </r>
  <r>
    <s v="ORD-00242"/>
    <n v="45326"/>
    <n v="6855.42"/>
    <s v="R027"/>
    <x v="1"/>
    <s v="Corporate"/>
    <n v="30"/>
    <x v="2"/>
  </r>
  <r>
    <s v="ORD-00243"/>
    <n v="45627"/>
    <n v="3654.42"/>
    <s v="R002"/>
    <x v="5"/>
    <s v="SMB"/>
    <n v="54"/>
    <x v="0"/>
  </r>
  <r>
    <s v="ORD-00244"/>
    <n v="45576"/>
    <n v="23443.200000000001"/>
    <s v="R010"/>
    <x v="4"/>
    <s v="Retail"/>
    <n v="22"/>
    <x v="1"/>
  </r>
  <r>
    <s v="ORD-00245"/>
    <n v="45317"/>
    <n v="2796.6"/>
    <s v="R013"/>
    <x v="0"/>
    <s v="Corporate"/>
    <n v="42"/>
    <x v="1"/>
  </r>
  <r>
    <s v="ORD-00246"/>
    <n v="45650"/>
    <n v="3425.76"/>
    <s v="R007"/>
    <x v="3"/>
    <s v="SMB"/>
    <n v="48"/>
    <x v="0"/>
  </r>
  <r>
    <s v="ORD-00247"/>
    <n v="45585"/>
    <n v="2848.2"/>
    <s v="R013"/>
    <x v="1"/>
    <s v="Retail"/>
    <n v="39"/>
    <x v="1"/>
  </r>
  <r>
    <s v="ORD-00248"/>
    <n v="45545"/>
    <n v="16998.8"/>
    <s v="R027"/>
    <x v="4"/>
    <s v="Corporate"/>
    <n v="26"/>
    <x v="2"/>
  </r>
  <r>
    <s v="ORD-00249"/>
    <n v="45395"/>
    <n v="9939.6"/>
    <s v="R009"/>
    <x v="0"/>
    <s v="SMB"/>
    <n v="55"/>
    <x v="1"/>
  </r>
  <r>
    <s v="ORD-00250"/>
    <n v="45636"/>
    <n v="34175.79"/>
    <s v="R022"/>
    <x v="2"/>
    <s v="Retail"/>
    <n v="61"/>
    <x v="3"/>
  </r>
  <r>
    <s v="ORD-00251"/>
    <n v="45612"/>
    <n v="4231.2"/>
    <s v="R010"/>
    <x v="0"/>
    <s v="Retail"/>
    <n v="34"/>
    <x v="1"/>
  </r>
  <r>
    <s v="ORD-00252"/>
    <n v="45495"/>
    <n v="1478.28"/>
    <s v="R005"/>
    <x v="2"/>
    <s v="Retail"/>
    <n v="52"/>
    <x v="0"/>
  </r>
  <r>
    <s v="ORD-00253"/>
    <n v="45337"/>
    <n v="13186.8"/>
    <s v="R012"/>
    <x v="2"/>
    <s v="Corporate"/>
    <n v="40"/>
    <x v="1"/>
  </r>
  <r>
    <s v="ORD-00254"/>
    <n v="45333"/>
    <n v="9894.6"/>
    <s v="R017"/>
    <x v="5"/>
    <s v="SMB"/>
    <n v="42"/>
    <x v="3"/>
  </r>
  <r>
    <s v="ORD-00255"/>
    <n v="45511"/>
    <n v="16348.5"/>
    <s v="R010"/>
    <x v="2"/>
    <s v="Retail"/>
    <n v="49"/>
    <x v="1"/>
  </r>
  <r>
    <s v="ORD-00256"/>
    <n v="45595"/>
    <n v="679.68"/>
    <s v="R004"/>
    <x v="1"/>
    <s v="Retail"/>
    <n v="44"/>
    <x v="0"/>
  </r>
  <r>
    <s v="ORD-00257"/>
    <n v="45321"/>
    <n v="31880.1"/>
    <s v="R022"/>
    <x v="4"/>
    <s v="Retail"/>
    <n v="53"/>
    <x v="3"/>
  </r>
  <r>
    <s v="ORD-00258"/>
    <n v="45511"/>
    <n v="21941.22"/>
    <s v="R024"/>
    <x v="4"/>
    <s v="SMB"/>
    <n v="65"/>
    <x v="2"/>
  </r>
  <r>
    <s v="ORD-00259"/>
    <n v="45575"/>
    <n v="5196.96"/>
    <s v="R014"/>
    <x v="3"/>
    <s v="SMB"/>
    <n v="26"/>
    <x v="1"/>
  </r>
  <r>
    <s v="ORD-00260"/>
    <n v="45649"/>
    <n v="22356"/>
    <s v="R010"/>
    <x v="0"/>
    <s v="SMB"/>
    <n v="40"/>
    <x v="1"/>
  </r>
  <r>
    <s v="ORD-00261"/>
    <n v="45371"/>
    <n v="8639.68"/>
    <s v="R023"/>
    <x v="4"/>
    <s v="Corporate"/>
    <n v="22"/>
    <x v="3"/>
  </r>
  <r>
    <s v="ORD-00262"/>
    <n v="45522"/>
    <n v="9062.4"/>
    <s v="R009"/>
    <x v="1"/>
    <s v="Corporate"/>
    <n v="46"/>
    <x v="1"/>
  </r>
  <r>
    <s v="ORD-00263"/>
    <n v="45513"/>
    <n v="19578"/>
    <s v="R003"/>
    <x v="4"/>
    <s v="Corporate"/>
    <n v="31"/>
    <x v="0"/>
  </r>
  <r>
    <s v="ORD-00264"/>
    <n v="45513"/>
    <n v="11339.58"/>
    <s v="R004"/>
    <x v="2"/>
    <s v="Retail"/>
    <n v="40"/>
    <x v="0"/>
  </r>
  <r>
    <s v="ORD-00265"/>
    <n v="45465"/>
    <n v="30173.040000000001"/>
    <s v="R023"/>
    <x v="3"/>
    <s v="Corporate"/>
    <n v="22"/>
    <x v="3"/>
  </r>
  <r>
    <s v="ORD-00266"/>
    <n v="45407"/>
    <n v="1884.78"/>
    <s v="R018"/>
    <x v="3"/>
    <s v="Retail"/>
    <n v="49"/>
    <x v="3"/>
  </r>
  <r>
    <s v="ORD-00267"/>
    <n v="45405"/>
    <n v="2693.9"/>
    <s v="R023"/>
    <x v="0"/>
    <s v="SMB"/>
    <n v="38"/>
    <x v="3"/>
  </r>
  <r>
    <s v="ORD-00268"/>
    <n v="45332"/>
    <n v="24423.75"/>
    <s v="R029"/>
    <x v="3"/>
    <s v="Retail"/>
    <n v="26"/>
    <x v="2"/>
  </r>
  <r>
    <s v="ORD-00269"/>
    <n v="45299"/>
    <n v="6073.92"/>
    <s v="R011"/>
    <x v="5"/>
    <s v="SMB"/>
    <n v="54"/>
    <x v="1"/>
  </r>
  <r>
    <s v="ORD-00270"/>
    <n v="45386"/>
    <n v="25188.799999999999"/>
    <s v="R014"/>
    <x v="0"/>
    <s v="Corporate"/>
    <n v="30"/>
    <x v="1"/>
  </r>
  <r>
    <s v="ORD-00271"/>
    <n v="45472"/>
    <n v="19993.32"/>
    <s v="R005"/>
    <x v="0"/>
    <s v="Retail"/>
    <n v="49"/>
    <x v="0"/>
  </r>
  <r>
    <s v="ORD-00272"/>
    <n v="45428"/>
    <n v="6339.06"/>
    <s v="R007"/>
    <x v="4"/>
    <s v="SMB"/>
    <n v="43"/>
    <x v="0"/>
  </r>
  <r>
    <s v="ORD-00273"/>
    <n v="45430"/>
    <n v="1797.84"/>
    <s v="R030"/>
    <x v="3"/>
    <s v="Retail"/>
    <n v="43"/>
    <x v="2"/>
  </r>
  <r>
    <s v="ORD-00274"/>
    <n v="45418"/>
    <n v="11692.8"/>
    <s v="R013"/>
    <x v="2"/>
    <s v="Corporate"/>
    <n v="24"/>
    <x v="1"/>
  </r>
  <r>
    <s v="ORD-00275"/>
    <n v="45360"/>
    <n v="9377.68"/>
    <s v="R016"/>
    <x v="3"/>
    <s v="SMB"/>
    <n v="38"/>
    <x v="1"/>
  </r>
  <r>
    <s v="ORD-00276"/>
    <n v="45296"/>
    <n v="9692.5499999999993"/>
    <s v="R005"/>
    <x v="4"/>
    <s v="Retail"/>
    <n v="46"/>
    <x v="0"/>
  </r>
  <r>
    <s v="ORD-00277"/>
    <n v="45460"/>
    <n v="874.2"/>
    <s v="R020"/>
    <x v="0"/>
    <s v="SMB"/>
    <n v="27"/>
    <x v="3"/>
  </r>
  <r>
    <s v="ORD-00278"/>
    <n v="45638"/>
    <n v="10039.5"/>
    <s v="R013"/>
    <x v="0"/>
    <s v="Retail"/>
    <n v="59"/>
    <x v="1"/>
  </r>
  <r>
    <s v="ORD-00279"/>
    <n v="45408"/>
    <n v="34164.9"/>
    <s v="R006"/>
    <x v="5"/>
    <s v="SMB"/>
    <n v="55"/>
    <x v="0"/>
  </r>
  <r>
    <s v="ORD-00280"/>
    <n v="45541"/>
    <n v="33158.160000000003"/>
    <s v="R003"/>
    <x v="4"/>
    <s v="Retail"/>
    <n v="55"/>
    <x v="0"/>
  </r>
  <r>
    <s v="ORD-00281"/>
    <n v="45633"/>
    <n v="5856"/>
    <s v="R029"/>
    <x v="4"/>
    <s v="Corporate"/>
    <n v="40"/>
    <x v="2"/>
  </r>
  <r>
    <s v="ORD-00282"/>
    <n v="45338"/>
    <n v="22014.9"/>
    <s v="R023"/>
    <x v="3"/>
    <s v="Retail"/>
    <n v="32"/>
    <x v="3"/>
  </r>
  <r>
    <s v="ORD-00283"/>
    <n v="45529"/>
    <n v="1217.7"/>
    <s v="R001"/>
    <x v="5"/>
    <s v="Retail"/>
    <n v="23"/>
    <x v="0"/>
  </r>
  <r>
    <s v="ORD-00284"/>
    <n v="45460"/>
    <n v="2101.4"/>
    <s v="R003"/>
    <x v="4"/>
    <s v="Retail"/>
    <n v="50"/>
    <x v="0"/>
  </r>
  <r>
    <s v="ORD-00285"/>
    <n v="45375"/>
    <n v="11960.52"/>
    <s v="R003"/>
    <x v="2"/>
    <s v="Corporate"/>
    <n v="59"/>
    <x v="0"/>
  </r>
  <r>
    <s v="ORD-00286"/>
    <n v="45310"/>
    <n v="19726.2"/>
    <s v="R001"/>
    <x v="4"/>
    <s v="SMB"/>
    <n v="55"/>
    <x v="0"/>
  </r>
  <r>
    <s v="ORD-00287"/>
    <n v="45314"/>
    <n v="7012.44"/>
    <s v="R025"/>
    <x v="5"/>
    <s v="Retail"/>
    <n v="27"/>
    <x v="2"/>
  </r>
  <r>
    <s v="ORD-00288"/>
    <n v="45459"/>
    <n v="1944.72"/>
    <s v="R005"/>
    <x v="3"/>
    <s v="Corporate"/>
    <n v="33"/>
    <x v="0"/>
  </r>
  <r>
    <s v="ORD-00289"/>
    <n v="45312"/>
    <n v="35732.32"/>
    <s v="R006"/>
    <x v="4"/>
    <s v="Retail"/>
    <n v="53"/>
    <x v="0"/>
  </r>
  <r>
    <s v="ORD-00290"/>
    <n v="45500"/>
    <n v="12744.8"/>
    <s v="R030"/>
    <x v="0"/>
    <s v="Retail"/>
    <n v="37"/>
    <x v="2"/>
  </r>
  <r>
    <s v="ORD-00291"/>
    <n v="45389"/>
    <n v="9009.2000000000007"/>
    <s v="R030"/>
    <x v="1"/>
    <s v="Retail"/>
    <n v="34"/>
    <x v="2"/>
  </r>
  <r>
    <s v="ORD-00292"/>
    <n v="45619"/>
    <n v="53743.360000000001"/>
    <s v="R006"/>
    <x v="1"/>
    <s v="Corporate"/>
    <n v="41"/>
    <x v="0"/>
  </r>
  <r>
    <s v="ORD-00335"/>
    <n v="45617"/>
    <n v="21323.68"/>
    <s v="R015"/>
    <x v="0"/>
    <s v="Retail"/>
    <n v="46"/>
    <x v="1"/>
  </r>
  <r>
    <s v="ORD-00294"/>
    <n v="45640"/>
    <n v="5124"/>
    <s v="R008"/>
    <x v="2"/>
    <s v="Retail"/>
    <n v="49"/>
    <x v="0"/>
  </r>
  <r>
    <s v="ORD-00295"/>
    <n v="45401"/>
    <n v="2161.04"/>
    <s v="R005"/>
    <x v="2"/>
    <s v="Retail"/>
    <n v="25"/>
    <x v="0"/>
  </r>
  <r>
    <s v="ORD-00296"/>
    <n v="45405"/>
    <n v="26308.799999999999"/>
    <s v="R025"/>
    <x v="1"/>
    <s v="Retail"/>
    <n v="53"/>
    <x v="2"/>
  </r>
  <r>
    <s v="ORD-01770"/>
    <n v="45537"/>
    <n v="3083.08"/>
    <s v="R012"/>
    <x v="0"/>
    <s v="SMB"/>
    <n v="65"/>
    <x v="1"/>
  </r>
  <r>
    <s v="ORD-00298"/>
    <n v="45475"/>
    <n v="7007.68"/>
    <s v="R009"/>
    <x v="4"/>
    <s v="Retail"/>
    <n v="31"/>
    <x v="1"/>
  </r>
  <r>
    <s v="ORD-00299"/>
    <n v="45624"/>
    <n v="6219.78"/>
    <s v="R030"/>
    <x v="0"/>
    <s v="Retail"/>
    <n v="40"/>
    <x v="2"/>
  </r>
  <r>
    <s v="ORD-00300"/>
    <n v="45635"/>
    <n v="929.88"/>
    <s v="R004"/>
    <x v="3"/>
    <s v="SMB"/>
    <n v="61"/>
    <x v="0"/>
  </r>
  <r>
    <s v="ORD-00301"/>
    <n v="45395"/>
    <n v="10060.68"/>
    <s v="R016"/>
    <x v="3"/>
    <s v="Retail"/>
    <n v="35"/>
    <x v="1"/>
  </r>
  <r>
    <s v="ORD-00302"/>
    <n v="45415"/>
    <n v="17939.88"/>
    <s v="R020"/>
    <x v="1"/>
    <s v="Retail"/>
    <n v="34"/>
    <x v="3"/>
  </r>
  <r>
    <s v="ORD-00303"/>
    <n v="45653"/>
    <n v="2821.88"/>
    <s v="R016"/>
    <x v="0"/>
    <s v="SMB"/>
    <n v="35"/>
    <x v="1"/>
  </r>
  <r>
    <s v="ORD-00881"/>
    <n v="45564"/>
    <n v="21618.400000000001"/>
    <s v="R010"/>
    <x v="5"/>
    <s v="SMB"/>
    <n v="43"/>
    <x v="1"/>
  </r>
  <r>
    <s v="ORD-00305"/>
    <n v="45633"/>
    <n v="30213"/>
    <s v="R009"/>
    <x v="3"/>
    <s v="Retail"/>
    <n v="43"/>
    <x v="1"/>
  </r>
  <r>
    <s v="ORD-00306"/>
    <n v="45309"/>
    <n v="21513.8"/>
    <s v="R004"/>
    <x v="3"/>
    <s v="Retail"/>
    <n v="26"/>
    <x v="0"/>
  </r>
  <r>
    <s v="ORD-00307"/>
    <n v="45403"/>
    <n v="19929.87"/>
    <s v="R013"/>
    <x v="5"/>
    <s v="Retail"/>
    <n v="54"/>
    <x v="1"/>
  </r>
  <r>
    <s v="ORD-00308"/>
    <n v="45554"/>
    <n v="12196.1"/>
    <s v="R010"/>
    <x v="4"/>
    <s v="SMB"/>
    <n v="29"/>
    <x v="1"/>
  </r>
  <r>
    <s v="ORD-00309"/>
    <n v="45529"/>
    <n v="16261.56"/>
    <s v="R025"/>
    <x v="2"/>
    <s v="Retail"/>
    <n v="41"/>
    <x v="2"/>
  </r>
  <r>
    <s v="ORD-00310"/>
    <n v="45300"/>
    <n v="13123.8"/>
    <s v="R028"/>
    <x v="2"/>
    <s v="Retail"/>
    <n v="35"/>
    <x v="2"/>
  </r>
  <r>
    <s v="ORD-00311"/>
    <n v="45368"/>
    <n v="8697.92"/>
    <s v="R006"/>
    <x v="5"/>
    <s v="SMB"/>
    <n v="65"/>
    <x v="0"/>
  </r>
  <r>
    <s v="ORD-00312"/>
    <n v="45374"/>
    <n v="3996.72"/>
    <s v="R022"/>
    <x v="5"/>
    <s v="Retail"/>
    <n v="28"/>
    <x v="3"/>
  </r>
  <r>
    <s v="ORD-00313"/>
    <n v="45592"/>
    <n v="14564.32"/>
    <s v="R015"/>
    <x v="2"/>
    <s v="Corporate"/>
    <n v="52"/>
    <x v="1"/>
  </r>
  <r>
    <s v="ORD-00314"/>
    <n v="45508"/>
    <n v="18748.8"/>
    <s v="R010"/>
    <x v="0"/>
    <s v="Retail"/>
    <n v="53"/>
    <x v="1"/>
  </r>
  <r>
    <s v="ORD-00315"/>
    <n v="45481"/>
    <n v="20487.68"/>
    <s v="R014"/>
    <x v="5"/>
    <s v="Retail"/>
    <n v="60"/>
    <x v="1"/>
  </r>
  <r>
    <s v="ORD-00316"/>
    <n v="45517"/>
    <n v="15307.6"/>
    <s v="R019"/>
    <x v="5"/>
    <s v="Retail"/>
    <n v="28"/>
    <x v="3"/>
  </r>
  <r>
    <s v="ORD-00317"/>
    <n v="45632"/>
    <n v="20151.32"/>
    <s v="R001"/>
    <x v="0"/>
    <s v="Retail"/>
    <n v="59"/>
    <x v="0"/>
  </r>
  <r>
    <s v="ORD-00318"/>
    <n v="45592"/>
    <n v="5278.26"/>
    <s v="R013"/>
    <x v="1"/>
    <s v="Retail"/>
    <n v="41"/>
    <x v="1"/>
  </r>
  <r>
    <s v="ORD-00319"/>
    <n v="45450"/>
    <n v="15083.92"/>
    <s v="R020"/>
    <x v="3"/>
    <s v="Retail"/>
    <n v="65"/>
    <x v="3"/>
  </r>
  <r>
    <s v="ORD-00320"/>
    <n v="45343"/>
    <n v="18440.52"/>
    <s v="R029"/>
    <x v="2"/>
    <s v="Retail"/>
    <n v="53"/>
    <x v="2"/>
  </r>
  <r>
    <s v="ORD-00321"/>
    <n v="45509"/>
    <n v="2768.3"/>
    <s v="R001"/>
    <x v="0"/>
    <s v="SMB"/>
    <n v="46"/>
    <x v="0"/>
  </r>
  <r>
    <s v="ORD-00322"/>
    <n v="45513"/>
    <n v="10242.120000000001"/>
    <s v="R003"/>
    <x v="0"/>
    <s v="Corporate"/>
    <n v="43"/>
    <x v="0"/>
  </r>
  <r>
    <s v="ORD-00323"/>
    <n v="45500"/>
    <n v="4176"/>
    <s v="R012"/>
    <x v="1"/>
    <s v="Corporate"/>
    <n v="52"/>
    <x v="1"/>
  </r>
  <r>
    <s v="ORD-00324"/>
    <n v="45407"/>
    <n v="46095.48"/>
    <s v="R006"/>
    <x v="1"/>
    <s v="Retail"/>
    <n v="53"/>
    <x v="0"/>
  </r>
  <r>
    <s v="ORD-00325"/>
    <n v="45385"/>
    <n v="16557.66"/>
    <s v="R025"/>
    <x v="2"/>
    <s v="Retail"/>
    <n v="33"/>
    <x v="2"/>
  </r>
  <r>
    <s v="ORD-00326"/>
    <n v="45542"/>
    <n v="19721.759999999998"/>
    <s v="R028"/>
    <x v="0"/>
    <s v="Corporate"/>
    <n v="55"/>
    <x v="2"/>
  </r>
  <r>
    <s v="ORD-00327"/>
    <n v="45422"/>
    <n v="4292.4799999999996"/>
    <s v="R004"/>
    <x v="5"/>
    <s v="Corporate"/>
    <n v="43"/>
    <x v="0"/>
  </r>
  <r>
    <s v="ORD-00328"/>
    <n v="45343"/>
    <n v="3488.28"/>
    <s v="R018"/>
    <x v="0"/>
    <s v="Retail"/>
    <n v="26"/>
    <x v="3"/>
  </r>
  <r>
    <s v="ORD-00329"/>
    <n v="45646"/>
    <n v="25032.78"/>
    <s v="R024"/>
    <x v="5"/>
    <s v="Corporate"/>
    <n v="51"/>
    <x v="2"/>
  </r>
  <r>
    <s v="ORD-00330"/>
    <n v="45645"/>
    <n v="27275.759999999998"/>
    <s v="R029"/>
    <x v="4"/>
    <s v="Retail"/>
    <n v="24"/>
    <x v="2"/>
  </r>
  <r>
    <s v="ORD-00331"/>
    <n v="45528"/>
    <n v="17822.7"/>
    <s v="R030"/>
    <x v="5"/>
    <s v="SMB"/>
    <n v="30"/>
    <x v="2"/>
  </r>
  <r>
    <s v="ORD-00332"/>
    <n v="45655"/>
    <n v="44936.1"/>
    <s v="R008"/>
    <x v="5"/>
    <s v="Retail"/>
    <n v="24"/>
    <x v="0"/>
  </r>
  <r>
    <s v="ORD-00333"/>
    <n v="45518"/>
    <n v="5811.96"/>
    <s v="R008"/>
    <x v="2"/>
    <s v="SMB"/>
    <n v="53"/>
    <x v="0"/>
  </r>
  <r>
    <s v="ORD-00334"/>
    <n v="45339"/>
    <n v="44995.86"/>
    <s v="R007"/>
    <x v="4"/>
    <s v="SMB"/>
    <n v="35"/>
    <x v="0"/>
  </r>
  <r>
    <s v="ORD-00335"/>
    <n v="45319"/>
    <n v="10392.06"/>
    <s v="R020"/>
    <x v="2"/>
    <s v="Retail"/>
    <n v="48"/>
    <x v="3"/>
  </r>
  <r>
    <s v="ORD-00336"/>
    <n v="45618"/>
    <n v="9412.5"/>
    <s v="R024"/>
    <x v="0"/>
    <s v="SMB"/>
    <n v="39"/>
    <x v="2"/>
  </r>
  <r>
    <s v="ORD-00337"/>
    <n v="45335"/>
    <n v="17821.439999999999"/>
    <s v="R019"/>
    <x v="2"/>
    <s v="Retail"/>
    <n v="40"/>
    <x v="3"/>
  </r>
  <r>
    <s v="ORD-00338"/>
    <n v="45420"/>
    <n v="3398.25"/>
    <s v="R008"/>
    <x v="0"/>
    <s v="SMB"/>
    <n v="26"/>
    <x v="0"/>
  </r>
  <r>
    <s v="ORD-00339"/>
    <n v="45295"/>
    <n v="15565.2"/>
    <s v="R002"/>
    <x v="4"/>
    <s v="Corporate"/>
    <n v="57"/>
    <x v="0"/>
  </r>
  <r>
    <s v="ORD-00340"/>
    <n v="45590"/>
    <n v="13399.62"/>
    <s v="R029"/>
    <x v="4"/>
    <s v="Retail"/>
    <n v="27"/>
    <x v="2"/>
  </r>
  <r>
    <s v="ORD-00341"/>
    <n v="45341"/>
    <n v="8202.06"/>
    <s v="R027"/>
    <x v="2"/>
    <s v="Retail"/>
    <n v="56"/>
    <x v="2"/>
  </r>
  <r>
    <s v="ORD-00342"/>
    <n v="45600"/>
    <n v="1430.16"/>
    <s v="R015"/>
    <x v="1"/>
    <s v="Retail"/>
    <n v="35"/>
    <x v="1"/>
  </r>
  <r>
    <s v="ORD-00343"/>
    <n v="45506"/>
    <n v="1060.56"/>
    <s v="R015"/>
    <x v="3"/>
    <s v="SMB"/>
    <n v="48"/>
    <x v="1"/>
  </r>
  <r>
    <s v="ORD-00344"/>
    <n v="45414"/>
    <n v="21969.599999999999"/>
    <s v="R010"/>
    <x v="1"/>
    <s v="Retail"/>
    <n v="22"/>
    <x v="1"/>
  </r>
  <r>
    <s v="ORD-00593"/>
    <n v="45553"/>
    <n v="44749.120000000003"/>
    <s v="R015"/>
    <x v="1"/>
    <s v="Retail"/>
    <n v="42"/>
    <x v="1"/>
  </r>
  <r>
    <s v="ORD-00346"/>
    <n v="45434"/>
    <n v="2793.56"/>
    <s v="R003"/>
    <x v="5"/>
    <s v="Retail"/>
    <n v="54"/>
    <x v="0"/>
  </r>
  <r>
    <s v="ORD-00347"/>
    <n v="45446"/>
    <n v="8110.08"/>
    <s v="R015"/>
    <x v="4"/>
    <s v="Corporate"/>
    <n v="47"/>
    <x v="1"/>
  </r>
  <r>
    <s v="ORD-00348"/>
    <n v="45626"/>
    <n v="22916.76"/>
    <s v="R024"/>
    <x v="1"/>
    <s v="Retail"/>
    <n v="36"/>
    <x v="2"/>
  </r>
  <r>
    <s v="ORD-00349"/>
    <n v="45459"/>
    <n v="3416.49"/>
    <s v="R027"/>
    <x v="4"/>
    <s v="SMB"/>
    <n v="38"/>
    <x v="2"/>
  </r>
  <r>
    <s v="ORD-00350"/>
    <n v="45520"/>
    <n v="686.72"/>
    <s v="R028"/>
    <x v="3"/>
    <s v="SMB"/>
    <n v="29"/>
    <x v="2"/>
  </r>
  <r>
    <s v="ORD-00351"/>
    <n v="45314"/>
    <n v="2449.7600000000002"/>
    <s v="R017"/>
    <x v="0"/>
    <s v="Retail"/>
    <n v="39"/>
    <x v="3"/>
  </r>
  <r>
    <s v="ORD-00352"/>
    <n v="45480"/>
    <n v="20762.560000000001"/>
    <s v="R022"/>
    <x v="0"/>
    <s v="Retail"/>
    <n v="64"/>
    <x v="3"/>
  </r>
  <r>
    <s v="ORD-00353"/>
    <n v="45520"/>
    <n v="7144.5"/>
    <s v="R029"/>
    <x v="5"/>
    <s v="SMB"/>
    <n v="52"/>
    <x v="2"/>
  </r>
  <r>
    <s v="ORD-00354"/>
    <n v="45360"/>
    <n v="6168.96"/>
    <s v="R024"/>
    <x v="5"/>
    <s v="Retail"/>
    <n v="60"/>
    <x v="2"/>
  </r>
  <r>
    <s v="ORD-00355"/>
    <n v="45486"/>
    <n v="11294.64"/>
    <s v="R021"/>
    <x v="2"/>
    <s v="SMB"/>
    <n v="64"/>
    <x v="3"/>
  </r>
  <r>
    <s v="ORD-00356"/>
    <n v="45544"/>
    <n v="5695.8"/>
    <s v="R014"/>
    <x v="5"/>
    <s v="SMB"/>
    <n v="52"/>
    <x v="1"/>
  </r>
  <r>
    <s v="ORD-00357"/>
    <n v="45580"/>
    <n v="17093.64"/>
    <s v="R012"/>
    <x v="0"/>
    <s v="Retail"/>
    <n v="38"/>
    <x v="1"/>
  </r>
  <r>
    <s v="ORD-00358"/>
    <n v="45312"/>
    <n v="18682.099999999999"/>
    <s v="R030"/>
    <x v="2"/>
    <s v="SMB"/>
    <n v="59"/>
    <x v="2"/>
  </r>
  <r>
    <s v="ORD-00359"/>
    <n v="45447"/>
    <n v="12376.98"/>
    <s v="R013"/>
    <x v="5"/>
    <s v="Retail"/>
    <n v="32"/>
    <x v="1"/>
  </r>
  <r>
    <s v="ORD-00360"/>
    <n v="45607"/>
    <n v="22419.54"/>
    <s v="R021"/>
    <x v="1"/>
    <s v="Retail"/>
    <n v="26"/>
    <x v="3"/>
  </r>
  <r>
    <s v="ORD-00361"/>
    <n v="45379"/>
    <n v="10486.45"/>
    <s v="R016"/>
    <x v="2"/>
    <s v="SMB"/>
    <n v="46"/>
    <x v="1"/>
  </r>
  <r>
    <s v="ORD-00362"/>
    <n v="45591"/>
    <n v="1023.58"/>
    <s v="R029"/>
    <x v="4"/>
    <s v="SMB"/>
    <n v="53"/>
    <x v="2"/>
  </r>
  <r>
    <s v="ORD-00363"/>
    <n v="45561"/>
    <n v="7061.46"/>
    <s v="R006"/>
    <x v="4"/>
    <s v="Corporate"/>
    <n v="43"/>
    <x v="0"/>
  </r>
  <r>
    <s v="ORD-00364"/>
    <n v="45308"/>
    <n v="30153"/>
    <s v="R016"/>
    <x v="0"/>
    <s v="Retail"/>
    <n v="29"/>
    <x v="1"/>
  </r>
  <r>
    <s v="ORD-00365"/>
    <n v="45563"/>
    <n v="8362.64"/>
    <s v="R021"/>
    <x v="2"/>
    <s v="Retail"/>
    <n v="36"/>
    <x v="3"/>
  </r>
  <r>
    <s v="ORD-00366"/>
    <n v="45476"/>
    <n v="6350.34"/>
    <s v="R014"/>
    <x v="3"/>
    <s v="Retail"/>
    <n v="52"/>
    <x v="1"/>
  </r>
  <r>
    <s v="ORD-00367"/>
    <n v="45364"/>
    <n v="10114.719999999999"/>
    <s v="R017"/>
    <x v="5"/>
    <s v="SMB"/>
    <n v="26"/>
    <x v="3"/>
  </r>
  <r>
    <s v="ORD-00368"/>
    <n v="45371"/>
    <n v="22440.6"/>
    <s v="R028"/>
    <x v="4"/>
    <s v="Retail"/>
    <n v="49"/>
    <x v="2"/>
  </r>
  <r>
    <s v="ORD-00369"/>
    <n v="45623"/>
    <n v="361.76"/>
    <s v="R007"/>
    <x v="1"/>
    <s v="Retail"/>
    <n v="26"/>
    <x v="0"/>
  </r>
  <r>
    <s v="ORD-00370"/>
    <n v="45441"/>
    <n v="16003.44"/>
    <s v="R014"/>
    <x v="0"/>
    <s v="Corporate"/>
    <n v="42"/>
    <x v="1"/>
  </r>
  <r>
    <s v="ORD-00371"/>
    <n v="45442"/>
    <n v="12022.5"/>
    <s v="R006"/>
    <x v="5"/>
    <s v="Retail"/>
    <n v="35"/>
    <x v="0"/>
  </r>
  <r>
    <s v="ORD-00372"/>
    <n v="45567"/>
    <n v="10630.62"/>
    <s v="R015"/>
    <x v="5"/>
    <s v="Retail"/>
    <n v="64"/>
    <x v="1"/>
  </r>
  <r>
    <s v="ORD-00373"/>
    <n v="45653"/>
    <n v="9906"/>
    <s v="R025"/>
    <x v="3"/>
    <s v="SMB"/>
    <n v="28"/>
    <x v="2"/>
  </r>
  <r>
    <s v="ORD-00374"/>
    <n v="45331"/>
    <n v="7670.56"/>
    <s v="R016"/>
    <x v="0"/>
    <s v="Retail"/>
    <n v="57"/>
    <x v="1"/>
  </r>
  <r>
    <s v="ORD-00375"/>
    <n v="45332"/>
    <n v="9503.5"/>
    <s v="R011"/>
    <x v="5"/>
    <s v="SMB"/>
    <n v="28"/>
    <x v="1"/>
  </r>
  <r>
    <s v="ORD-00376"/>
    <n v="45340"/>
    <n v="3410.32"/>
    <s v="R006"/>
    <x v="1"/>
    <s v="Retail"/>
    <n v="28"/>
    <x v="0"/>
  </r>
  <r>
    <s v="ORD-00377"/>
    <n v="45564"/>
    <n v="38923.199999999997"/>
    <s v="R009"/>
    <x v="5"/>
    <s v="SMB"/>
    <n v="36"/>
    <x v="1"/>
  </r>
  <r>
    <s v="ORD-00378"/>
    <n v="45296"/>
    <n v="36377.25"/>
    <s v="R010"/>
    <x v="4"/>
    <s v="SMB"/>
    <n v="59"/>
    <x v="1"/>
  </r>
  <r>
    <s v="ORD-00379"/>
    <n v="45364"/>
    <n v="18574.5"/>
    <s v="R028"/>
    <x v="3"/>
    <s v="Retail"/>
    <n v="27"/>
    <x v="2"/>
  </r>
  <r>
    <s v="ORD-00380"/>
    <n v="45560"/>
    <n v="36738.559999999998"/>
    <s v="R003"/>
    <x v="3"/>
    <s v="SMB"/>
    <n v="29"/>
    <x v="0"/>
  </r>
  <r>
    <s v="ORD-00381"/>
    <n v="45378"/>
    <n v="2103.92"/>
    <s v="R014"/>
    <x v="2"/>
    <s v="SMB"/>
    <n v="40"/>
    <x v="1"/>
  </r>
  <r>
    <s v="ORD-00382"/>
    <n v="45590"/>
    <n v="8895.0400000000009"/>
    <s v="R027"/>
    <x v="5"/>
    <s v="SMB"/>
    <n v="55"/>
    <x v="2"/>
  </r>
  <r>
    <s v="ORD-00383"/>
    <n v="45591"/>
    <n v="2122.4499999999998"/>
    <s v="R024"/>
    <x v="2"/>
    <s v="Retail"/>
    <n v="31"/>
    <x v="2"/>
  </r>
  <r>
    <s v="ORD-00384"/>
    <n v="45503"/>
    <n v="11026.08"/>
    <s v="R028"/>
    <x v="0"/>
    <s v="SMB"/>
    <n v="60"/>
    <x v="2"/>
  </r>
  <r>
    <s v="ORD-00385"/>
    <n v="45608"/>
    <n v="10637.28"/>
    <s v="R019"/>
    <x v="0"/>
    <s v="SMB"/>
    <n v="57"/>
    <x v="3"/>
  </r>
  <r>
    <s v="ORD-00386"/>
    <n v="45422"/>
    <n v="8543.92"/>
    <s v="R006"/>
    <x v="4"/>
    <s v="Retail"/>
    <n v="50"/>
    <x v="0"/>
  </r>
  <r>
    <s v="ORD-00387"/>
    <n v="45386"/>
    <n v="10967.8"/>
    <s v="R013"/>
    <x v="4"/>
    <s v="Retail"/>
    <n v="50"/>
    <x v="1"/>
  </r>
  <r>
    <s v="ORD-00388"/>
    <n v="45584"/>
    <n v="15246.4"/>
    <s v="R014"/>
    <x v="4"/>
    <s v="SMB"/>
    <n v="35"/>
    <x v="1"/>
  </r>
  <r>
    <s v="ORD-00389"/>
    <n v="45440"/>
    <n v="27462"/>
    <s v="R020"/>
    <x v="0"/>
    <s v="Retail"/>
    <n v="49"/>
    <x v="3"/>
  </r>
  <r>
    <s v="ORD-00390"/>
    <n v="45440"/>
    <n v="6266.82"/>
    <s v="R019"/>
    <x v="1"/>
    <s v="Retail"/>
    <n v="26"/>
    <x v="3"/>
  </r>
  <r>
    <s v="ORD-00391"/>
    <n v="45358"/>
    <n v="32428"/>
    <s v="R006"/>
    <x v="5"/>
    <s v="Retail"/>
    <n v="22"/>
    <x v="0"/>
  </r>
  <r>
    <s v="ORD-00392"/>
    <n v="45387"/>
    <n v="10726.1"/>
    <s v="R026"/>
    <x v="5"/>
    <s v="Retail"/>
    <n v="63"/>
    <x v="2"/>
  </r>
  <r>
    <s v="ORD-00393"/>
    <n v="45655"/>
    <n v="28236"/>
    <s v="R026"/>
    <x v="0"/>
    <s v="Unknown"/>
    <s v=""/>
    <x v="2"/>
  </r>
  <r>
    <s v="ORD-00394"/>
    <n v="45629"/>
    <n v="690.9"/>
    <s v="R026"/>
    <x v="1"/>
    <s v="SMB"/>
    <n v="29"/>
    <x v="2"/>
  </r>
  <r>
    <s v="ORD-00395"/>
    <n v="45323"/>
    <n v="21630.6"/>
    <s v="R010"/>
    <x v="2"/>
    <s v="SMB"/>
    <n v="39"/>
    <x v="1"/>
  </r>
  <r>
    <s v="ORD-00396"/>
    <n v="45432"/>
    <n v="68081.399999999994"/>
    <s v="R017"/>
    <x v="1"/>
    <s v="Corporate"/>
    <n v="57"/>
    <x v="3"/>
  </r>
  <r>
    <s v="ORD-00397"/>
    <n v="45397"/>
    <n v="13208.72"/>
    <s v="R005"/>
    <x v="5"/>
    <s v="Corporate"/>
    <n v="40"/>
    <x v="0"/>
  </r>
  <r>
    <s v="ORD-00398"/>
    <n v="45573"/>
    <n v="25539.119999999999"/>
    <s v="R024"/>
    <x v="0"/>
    <s v="Retail"/>
    <n v="61"/>
    <x v="2"/>
  </r>
  <r>
    <s v="ORD-00399"/>
    <n v="45307"/>
    <n v="22738.080000000002"/>
    <s v="R028"/>
    <x v="3"/>
    <s v="Retail"/>
    <n v="36"/>
    <x v="2"/>
  </r>
  <r>
    <s v="ORD-00400"/>
    <n v="45620"/>
    <n v="13032.72"/>
    <s v="R012"/>
    <x v="2"/>
    <s v="Retail"/>
    <n v="64"/>
    <x v="1"/>
  </r>
  <r>
    <s v="ORD-00401"/>
    <n v="45462"/>
    <n v="5636.4"/>
    <s v="R012"/>
    <x v="4"/>
    <s v="Unknown"/>
    <s v=""/>
    <x v="1"/>
  </r>
  <r>
    <s v="ORD-00402"/>
    <n v="45622"/>
    <n v="22326"/>
    <s v="R028"/>
    <x v="5"/>
    <s v="Retail"/>
    <n v="41"/>
    <x v="2"/>
  </r>
  <r>
    <s v="ORD-00403"/>
    <n v="45596"/>
    <n v="20512.8"/>
    <s v="R022"/>
    <x v="2"/>
    <s v="SMB"/>
    <n v="64"/>
    <x v="3"/>
  </r>
  <r>
    <s v="ORD-00404"/>
    <n v="45506"/>
    <n v="6828.4"/>
    <s v="R028"/>
    <x v="4"/>
    <s v="SMB"/>
    <n v="65"/>
    <x v="2"/>
  </r>
  <r>
    <s v="ORD-00405"/>
    <n v="45349"/>
    <n v="21522.06"/>
    <s v="R018"/>
    <x v="4"/>
    <s v="Corporate"/>
    <n v="55"/>
    <x v="3"/>
  </r>
  <r>
    <s v="ORD-00406"/>
    <n v="45407"/>
    <n v="23140.26"/>
    <s v="R022"/>
    <x v="1"/>
    <s v="Retail"/>
    <n v="36"/>
    <x v="3"/>
  </r>
  <r>
    <s v="ORD-00407"/>
    <n v="45591"/>
    <n v="6533.1"/>
    <s v="R007"/>
    <x v="4"/>
    <s v="Retail"/>
    <n v="35"/>
    <x v="0"/>
  </r>
  <r>
    <s v="ORD-00408"/>
    <n v="45584"/>
    <n v="2138.34"/>
    <s v="R026"/>
    <x v="2"/>
    <s v="Corporate"/>
    <n v="31"/>
    <x v="2"/>
  </r>
  <r>
    <s v="ORD-00409"/>
    <n v="45581"/>
    <n v="1289.6400000000001"/>
    <s v="R002"/>
    <x v="3"/>
    <s v="SMB"/>
    <n v="65"/>
    <x v="0"/>
  </r>
  <r>
    <s v="ORD-00410"/>
    <n v="45441"/>
    <n v="2983.04"/>
    <s v="R014"/>
    <x v="0"/>
    <s v="Corporate"/>
    <n v="38"/>
    <x v="1"/>
  </r>
  <r>
    <s v="ORD-00411"/>
    <n v="45408"/>
    <n v="2574"/>
    <s v="R013"/>
    <x v="4"/>
    <s v="Retail"/>
    <n v="36"/>
    <x v="1"/>
  </r>
  <r>
    <s v="ORD-00412"/>
    <n v="45515"/>
    <n v="14991.72"/>
    <s v="R014"/>
    <x v="3"/>
    <s v="Retail"/>
    <n v="32"/>
    <x v="1"/>
  </r>
  <r>
    <s v="ORD-00413"/>
    <n v="45412"/>
    <n v="9860.76"/>
    <s v="R018"/>
    <x v="0"/>
    <s v="Retail"/>
    <n v="62"/>
    <x v="3"/>
  </r>
  <r>
    <s v="ORD-00414"/>
    <n v="45448"/>
    <n v="14198.4"/>
    <s v="R004"/>
    <x v="0"/>
    <s v="SMB"/>
    <n v="29"/>
    <x v="0"/>
  </r>
  <r>
    <s v="ORD-00415"/>
    <n v="45644"/>
    <n v="16027.2"/>
    <s v="R008"/>
    <x v="1"/>
    <s v="Retail"/>
    <n v="45"/>
    <x v="0"/>
  </r>
  <r>
    <s v="ORD-00416"/>
    <n v="45407"/>
    <n v="7014.15"/>
    <s v="R030"/>
    <x v="3"/>
    <s v="Retail"/>
    <n v="52"/>
    <x v="2"/>
  </r>
  <r>
    <s v="ORD-00417"/>
    <n v="45581"/>
    <n v="4663.0200000000004"/>
    <s v="R028"/>
    <x v="3"/>
    <s v="Retail"/>
    <n v="26"/>
    <x v="2"/>
  </r>
  <r>
    <s v="ORD-00418"/>
    <n v="45366"/>
    <n v="9412.5"/>
    <s v="R030"/>
    <x v="0"/>
    <s v="Retail"/>
    <n v="44"/>
    <x v="2"/>
  </r>
  <r>
    <s v="ORD-00419"/>
    <n v="45577"/>
    <n v="14689"/>
    <s v="R010"/>
    <x v="4"/>
    <s v="Retail"/>
    <n v="43"/>
    <x v="1"/>
  </r>
  <r>
    <s v="ORD-00420"/>
    <n v="45333"/>
    <n v="30879.09"/>
    <s v="R001"/>
    <x v="2"/>
    <s v="Retail"/>
    <n v="44"/>
    <x v="0"/>
  </r>
  <r>
    <s v="ORD-00421"/>
    <n v="45418"/>
    <n v="30140.1"/>
    <s v="R004"/>
    <x v="3"/>
    <s v="Retail"/>
    <n v="24"/>
    <x v="0"/>
  </r>
  <r>
    <s v="ORD-00422"/>
    <n v="45615"/>
    <n v="8762.76"/>
    <s v="R022"/>
    <x v="1"/>
    <s v="Retail"/>
    <n v="52"/>
    <x v="3"/>
  </r>
  <r>
    <s v="ORD-00423"/>
    <n v="45631"/>
    <n v="19588.32"/>
    <s v="R008"/>
    <x v="2"/>
    <s v="Retail"/>
    <n v="37"/>
    <x v="0"/>
  </r>
  <r>
    <s v="ORD-00424"/>
    <n v="45524"/>
    <n v="18485.099999999999"/>
    <s v="R016"/>
    <x v="5"/>
    <s v="Retail"/>
    <n v="22"/>
    <x v="1"/>
  </r>
  <r>
    <s v="ORD-00425"/>
    <n v="45379"/>
    <n v="31176.2"/>
    <s v="R011"/>
    <x v="2"/>
    <s v="Retail"/>
    <n v="37"/>
    <x v="1"/>
  </r>
  <r>
    <s v="ORD-00426"/>
    <n v="45454"/>
    <n v="27246.240000000002"/>
    <s v="R025"/>
    <x v="4"/>
    <s v="Corporate"/>
    <n v="41"/>
    <x v="2"/>
  </r>
  <r>
    <s v="ORD-00427"/>
    <n v="45562"/>
    <n v="54270.8"/>
    <s v="R005"/>
    <x v="1"/>
    <s v="Corporate"/>
    <n v="57"/>
    <x v="0"/>
  </r>
  <r>
    <s v="ORD-00428"/>
    <n v="45489"/>
    <n v="11241.45"/>
    <s v="R014"/>
    <x v="5"/>
    <s v="SMB"/>
    <n v="60"/>
    <x v="1"/>
  </r>
  <r>
    <s v="ORD-00429"/>
    <n v="45624"/>
    <n v="10696.4"/>
    <s v="R014"/>
    <x v="4"/>
    <s v="Corporate"/>
    <n v="41"/>
    <x v="1"/>
  </r>
  <r>
    <s v="ORD-00430"/>
    <n v="45480"/>
    <n v="15980.16"/>
    <s v="R010"/>
    <x v="2"/>
    <s v="Corporate"/>
    <n v="31"/>
    <x v="1"/>
  </r>
  <r>
    <s v="ORD-00431"/>
    <n v="45420"/>
    <n v="2763.9"/>
    <s v="R005"/>
    <x v="3"/>
    <s v="Retail"/>
    <n v="52"/>
    <x v="0"/>
  </r>
  <r>
    <s v="ORD-00432"/>
    <n v="45322"/>
    <n v="1170.4000000000001"/>
    <s v="R010"/>
    <x v="5"/>
    <s v="Corporate"/>
    <n v="52"/>
    <x v="1"/>
  </r>
  <r>
    <s v="ORD-00433"/>
    <n v="45382"/>
    <n v="21598.2"/>
    <s v="R025"/>
    <x v="4"/>
    <s v="SMB"/>
    <n v="24"/>
    <x v="2"/>
  </r>
  <r>
    <s v="ORD-00434"/>
    <n v="45497"/>
    <n v="19337.04"/>
    <s v="R015"/>
    <x v="0"/>
    <s v="SMB"/>
    <n v="26"/>
    <x v="1"/>
  </r>
  <r>
    <s v="ORD-00435"/>
    <n v="45510"/>
    <n v="29293.68"/>
    <s v="R003"/>
    <x v="4"/>
    <s v="Corporate"/>
    <n v="31"/>
    <x v="0"/>
  </r>
  <r>
    <s v="ORD-00436"/>
    <n v="45522"/>
    <n v="22783.8"/>
    <s v="R014"/>
    <x v="3"/>
    <s v="Retail"/>
    <n v="55"/>
    <x v="1"/>
  </r>
  <r>
    <s v="ORD-00437"/>
    <n v="45381"/>
    <n v="9316.23"/>
    <s v="R025"/>
    <x v="2"/>
    <s v="SMB"/>
    <n v="42"/>
    <x v="2"/>
  </r>
  <r>
    <s v="ORD-00438"/>
    <n v="45511"/>
    <n v="2013.76"/>
    <s v="R013"/>
    <x v="0"/>
    <s v="Corporate"/>
    <n v="56"/>
    <x v="1"/>
  </r>
  <r>
    <s v="ORD-00439"/>
    <n v="45628"/>
    <n v="23047.200000000001"/>
    <s v="R017"/>
    <x v="4"/>
    <s v="SMB"/>
    <n v="59"/>
    <x v="3"/>
  </r>
  <r>
    <s v="ORD-00440"/>
    <n v="45326"/>
    <n v="5779.4"/>
    <s v="R030"/>
    <x v="2"/>
    <s v="SMB"/>
    <n v="43"/>
    <x v="2"/>
  </r>
  <r>
    <s v="ORD-00441"/>
    <n v="45561"/>
    <n v="6027.68"/>
    <s v="R007"/>
    <x v="1"/>
    <s v="Corporate"/>
    <n v="41"/>
    <x v="0"/>
  </r>
  <r>
    <s v="ORD-00442"/>
    <n v="45629"/>
    <n v="24596"/>
    <s v="R005"/>
    <x v="3"/>
    <s v="Corporate"/>
    <n v="29"/>
    <x v="0"/>
  </r>
  <r>
    <s v="ORD-00443"/>
    <n v="45460"/>
    <n v="8078.07"/>
    <s v="R009"/>
    <x v="4"/>
    <s v="Corporate"/>
    <n v="48"/>
    <x v="1"/>
  </r>
  <r>
    <s v="ORD-00444"/>
    <n v="45597"/>
    <n v="23103"/>
    <s v="R018"/>
    <x v="5"/>
    <s v="SMB"/>
    <n v="44"/>
    <x v="3"/>
  </r>
  <r>
    <s v="ORD-00445"/>
    <n v="45324"/>
    <n v="4181.5200000000004"/>
    <s v="R002"/>
    <x v="4"/>
    <s v="Unknown"/>
    <s v=""/>
    <x v="0"/>
  </r>
  <r>
    <s v="ORD-00446"/>
    <n v="45490"/>
    <n v="28452.9"/>
    <s v="R019"/>
    <x v="4"/>
    <s v="Retail"/>
    <n v="31"/>
    <x v="3"/>
  </r>
  <r>
    <s v="ORD-00447"/>
    <n v="45330"/>
    <n v="9634.6"/>
    <s v="R010"/>
    <x v="5"/>
    <s v="Corporate"/>
    <n v="47"/>
    <x v="1"/>
  </r>
  <r>
    <s v="ORD-00448"/>
    <n v="45336"/>
    <n v="2145.1999999999998"/>
    <s v="R021"/>
    <x v="0"/>
    <s v="Corporate"/>
    <n v="46"/>
    <x v="3"/>
  </r>
  <r>
    <s v="ORD-00449"/>
    <n v="45649"/>
    <n v="39979.9"/>
    <s v="R015"/>
    <x v="1"/>
    <s v="SMB"/>
    <n v="38"/>
    <x v="1"/>
  </r>
  <r>
    <s v="ORD-00450"/>
    <n v="45586"/>
    <n v="1254"/>
    <s v="R023"/>
    <x v="3"/>
    <s v="Retail"/>
    <n v="47"/>
    <x v="3"/>
  </r>
  <r>
    <s v="ORD-00451"/>
    <n v="45647"/>
    <n v="9090"/>
    <s v="R007"/>
    <x v="1"/>
    <s v="Corporate"/>
    <n v="62"/>
    <x v="0"/>
  </r>
  <r>
    <s v="ORD-00452"/>
    <n v="45496"/>
    <n v="6258.57"/>
    <s v="R001"/>
    <x v="5"/>
    <s v="Retail"/>
    <n v="57"/>
    <x v="0"/>
  </r>
  <r>
    <s v="ORD-00453"/>
    <n v="45369"/>
    <n v="23504.85"/>
    <s v="R001"/>
    <x v="5"/>
    <s v="Retail"/>
    <n v="24"/>
    <x v="0"/>
  </r>
  <r>
    <s v="ORD-00454"/>
    <n v="45389"/>
    <n v="28610.400000000001"/>
    <s v="R003"/>
    <x v="0"/>
    <s v="Retail"/>
    <n v="38"/>
    <x v="0"/>
  </r>
  <r>
    <s v="ORD-00455"/>
    <n v="45336"/>
    <n v="10448.200000000001"/>
    <s v="R015"/>
    <x v="2"/>
    <s v="Corporate"/>
    <n v="62"/>
    <x v="1"/>
  </r>
  <r>
    <s v="ORD-00456"/>
    <n v="45505"/>
    <n v="37978.199999999997"/>
    <s v="R017"/>
    <x v="1"/>
    <s v="Retail"/>
    <n v="38"/>
    <x v="3"/>
  </r>
  <r>
    <s v="ORD-00457"/>
    <n v="45375"/>
    <n v="4484.7"/>
    <s v="R021"/>
    <x v="5"/>
    <s v="Corporate"/>
    <n v="62"/>
    <x v="3"/>
  </r>
  <r>
    <s v="ORD-00458"/>
    <n v="45383"/>
    <n v="14578.2"/>
    <s v="R022"/>
    <x v="4"/>
    <s v="Retail"/>
    <n v="22"/>
    <x v="3"/>
  </r>
  <r>
    <s v="ORD-00135"/>
    <n v="45474"/>
    <n v="16005.92"/>
    <s v="R002"/>
    <x v="3"/>
    <s v="SMB"/>
    <n v="28"/>
    <x v="0"/>
  </r>
  <r>
    <s v="ORD-00460"/>
    <n v="45361"/>
    <n v="30785.58"/>
    <s v="R021"/>
    <x v="3"/>
    <s v="Retail"/>
    <n v="53"/>
    <x v="3"/>
  </r>
  <r>
    <s v="ORD-00461"/>
    <n v="45550"/>
    <n v="1323"/>
    <s v="R014"/>
    <x v="4"/>
    <s v="Corporate"/>
    <n v="44"/>
    <x v="1"/>
  </r>
  <r>
    <s v="ORD-00462"/>
    <n v="45485"/>
    <n v="8880.2999999999993"/>
    <s v="R020"/>
    <x v="0"/>
    <s v="Retail"/>
    <n v="22"/>
    <x v="3"/>
  </r>
  <r>
    <s v="ORD-00463"/>
    <n v="45523"/>
    <n v="4645.76"/>
    <s v="R028"/>
    <x v="0"/>
    <s v="Corporate"/>
    <n v="30"/>
    <x v="2"/>
  </r>
  <r>
    <s v="ORD-00464"/>
    <n v="45626"/>
    <n v="13518.12"/>
    <s v="R017"/>
    <x v="4"/>
    <s v="Retail"/>
    <n v="31"/>
    <x v="3"/>
  </r>
  <r>
    <s v="ORD-00465"/>
    <n v="45302"/>
    <n v="21969.599999999999"/>
    <s v="R005"/>
    <x v="1"/>
    <s v="Retail"/>
    <n v="53"/>
    <x v="0"/>
  </r>
  <r>
    <s v="ORD-00466"/>
    <n v="45427"/>
    <n v="10040.959999999999"/>
    <s v="R016"/>
    <x v="1"/>
    <s v="Corporate"/>
    <n v="52"/>
    <x v="1"/>
  </r>
  <r>
    <s v="ORD-00467"/>
    <n v="45315"/>
    <n v="11122.38"/>
    <s v="R013"/>
    <x v="4"/>
    <s v="Corporate"/>
    <n v="30"/>
    <x v="1"/>
  </r>
  <r>
    <s v="ORD-00468"/>
    <n v="45328"/>
    <n v="18772.900000000001"/>
    <s v="R005"/>
    <x v="2"/>
    <s v="SMB"/>
    <n v="60"/>
    <x v="0"/>
  </r>
  <r>
    <s v="ORD-00469"/>
    <n v="45394"/>
    <n v="4040.14"/>
    <s v="R025"/>
    <x v="4"/>
    <s v="Retail"/>
    <n v="46"/>
    <x v="2"/>
  </r>
  <r>
    <s v="ORD-00470"/>
    <n v="45414"/>
    <n v="5132.2"/>
    <s v="R015"/>
    <x v="5"/>
    <s v="Corporate"/>
    <n v="57"/>
    <x v="1"/>
  </r>
  <r>
    <s v="ORD-00471"/>
    <n v="45393"/>
    <n v="16129.82"/>
    <s v="R006"/>
    <x v="5"/>
    <s v="Retail"/>
    <n v="32"/>
    <x v="0"/>
  </r>
  <r>
    <s v="ORD-00472"/>
    <n v="45535"/>
    <n v="17076.64"/>
    <s v="R020"/>
    <x v="0"/>
    <s v="SMB"/>
    <n v="61"/>
    <x v="3"/>
  </r>
  <r>
    <s v="ORD-00473"/>
    <n v="45541"/>
    <n v="669.28"/>
    <s v="R020"/>
    <x v="1"/>
    <s v="Retail"/>
    <n v="35"/>
    <x v="3"/>
  </r>
  <r>
    <s v="ORD-00474"/>
    <n v="45454"/>
    <n v="4894.5"/>
    <s v="R021"/>
    <x v="3"/>
    <s v="Retail"/>
    <n v="37"/>
    <x v="3"/>
  </r>
  <r>
    <s v="ORD-00475"/>
    <n v="45631"/>
    <n v="1914.96"/>
    <s v="R023"/>
    <x v="1"/>
    <s v="SMB"/>
    <n v="54"/>
    <x v="3"/>
  </r>
  <r>
    <s v="ORD-00476"/>
    <n v="45588"/>
    <n v="2486.6999999999998"/>
    <s v="R001"/>
    <x v="4"/>
    <s v="SMB"/>
    <n v="43"/>
    <x v="0"/>
  </r>
  <r>
    <s v="ORD-00477"/>
    <n v="45469"/>
    <n v="37587"/>
    <s v="R006"/>
    <x v="5"/>
    <s v="Corporate"/>
    <n v="52"/>
    <x v="0"/>
  </r>
  <r>
    <s v="ORD-00478"/>
    <n v="45552"/>
    <n v="3065.25"/>
    <s v="R028"/>
    <x v="5"/>
    <s v="Retail"/>
    <n v="31"/>
    <x v="2"/>
  </r>
  <r>
    <s v="ORD-01195"/>
    <n v="45554"/>
    <n v="4829.5"/>
    <s v="R022"/>
    <x v="3"/>
    <s v="Retail"/>
    <n v="55"/>
    <x v="3"/>
  </r>
  <r>
    <s v="ORD-00480"/>
    <n v="45352"/>
    <n v="32208"/>
    <s v="R008"/>
    <x v="2"/>
    <s v="Retail"/>
    <n v="38"/>
    <x v="0"/>
  </r>
  <r>
    <s v="ORD-00481"/>
    <n v="45521"/>
    <n v="1812"/>
    <s v="R009"/>
    <x v="1"/>
    <s v="Retail"/>
    <n v="51"/>
    <x v="1"/>
  </r>
  <r>
    <s v="ORD-00482"/>
    <n v="45496"/>
    <n v="889.44"/>
    <s v="R010"/>
    <x v="3"/>
    <s v="Corporate"/>
    <n v="31"/>
    <x v="1"/>
  </r>
  <r>
    <s v="ORD-00483"/>
    <n v="45404"/>
    <n v="19073.88"/>
    <s v="R015"/>
    <x v="1"/>
    <s v="Retail"/>
    <n v="22"/>
    <x v="1"/>
  </r>
  <r>
    <s v="ORD-00484"/>
    <n v="45330"/>
    <n v="8160.6"/>
    <s v="R019"/>
    <x v="5"/>
    <s v="SMB"/>
    <n v="49"/>
    <x v="3"/>
  </r>
  <r>
    <s v="ORD-00485"/>
    <n v="45323"/>
    <n v="3129.84"/>
    <s v="R030"/>
    <x v="3"/>
    <s v="Corporate"/>
    <n v="57"/>
    <x v="2"/>
  </r>
  <r>
    <s v="ORD-00486"/>
    <n v="45519"/>
    <n v="17655.66"/>
    <s v="R022"/>
    <x v="2"/>
    <s v="SMB"/>
    <n v="57"/>
    <x v="3"/>
  </r>
  <r>
    <s v="ORD-00487"/>
    <n v="45514"/>
    <n v="5782.7"/>
    <s v="R026"/>
    <x v="5"/>
    <s v="Retail"/>
    <n v="22"/>
    <x v="2"/>
  </r>
  <r>
    <s v="ORD-00488"/>
    <n v="45497"/>
    <n v="11608.56"/>
    <s v="R028"/>
    <x v="2"/>
    <s v="SMB"/>
    <n v="28"/>
    <x v="2"/>
  </r>
  <r>
    <s v="ORD-00489"/>
    <n v="45639"/>
    <n v="24232.880000000001"/>
    <s v="R022"/>
    <x v="4"/>
    <s v="Retail"/>
    <n v="28"/>
    <x v="3"/>
  </r>
  <r>
    <s v="ORD-00490"/>
    <n v="45562"/>
    <n v="3194.7"/>
    <s v="R021"/>
    <x v="0"/>
    <s v="Retail"/>
    <n v="37"/>
    <x v="3"/>
  </r>
  <r>
    <s v="ORD-00491"/>
    <n v="45308"/>
    <n v="9056.64"/>
    <s v="R005"/>
    <x v="0"/>
    <s v="Corporate"/>
    <n v="36"/>
    <x v="0"/>
  </r>
  <r>
    <s v="ORD-00492"/>
    <n v="45428"/>
    <n v="11581.08"/>
    <s v="R030"/>
    <x v="4"/>
    <s v="Corporate"/>
    <n v="29"/>
    <x v="2"/>
  </r>
  <r>
    <s v="ORD-00493"/>
    <n v="45472"/>
    <n v="7430.4"/>
    <s v="R025"/>
    <x v="1"/>
    <s v="Retail"/>
    <n v="59"/>
    <x v="2"/>
  </r>
  <r>
    <s v="ORD-00494"/>
    <n v="45406"/>
    <n v="29187"/>
    <s v="R016"/>
    <x v="5"/>
    <s v="Corporate"/>
    <n v="52"/>
    <x v="1"/>
  </r>
  <r>
    <s v="ORD-00495"/>
    <n v="45457"/>
    <n v="20167"/>
    <s v="R012"/>
    <x v="5"/>
    <s v="Retail"/>
    <n v="59"/>
    <x v="1"/>
  </r>
  <r>
    <s v="ORD-00496"/>
    <n v="45298"/>
    <n v="5178.24"/>
    <s v="R004"/>
    <x v="5"/>
    <s v="Retail"/>
    <n v="35"/>
    <x v="0"/>
  </r>
  <r>
    <s v="ORD-00497"/>
    <n v="45337"/>
    <n v="1640.1"/>
    <s v="R016"/>
    <x v="4"/>
    <s v="SMB"/>
    <n v="27"/>
    <x v="1"/>
  </r>
  <r>
    <s v="ORD-00498"/>
    <n v="45389"/>
    <n v="4436.32"/>
    <s v="R019"/>
    <x v="2"/>
    <s v="Retail"/>
    <n v="38"/>
    <x v="3"/>
  </r>
  <r>
    <s v="ORD-00499"/>
    <n v="45298"/>
    <n v="4080"/>
    <s v="R024"/>
    <x v="1"/>
    <s v="Retail"/>
    <n v="29"/>
    <x v="2"/>
  </r>
  <r>
    <s v="ORD-00500"/>
    <n v="45577"/>
    <n v="28690.2"/>
    <s v="R012"/>
    <x v="1"/>
    <s v="SMB"/>
    <n v="55"/>
    <x v="1"/>
  </r>
  <r>
    <s v="ORD-00501"/>
    <n v="45355"/>
    <n v="5285.28"/>
    <s v="R020"/>
    <x v="5"/>
    <s v="Retail"/>
    <n v="51"/>
    <x v="3"/>
  </r>
  <r>
    <s v="ORD-00502"/>
    <n v="45463"/>
    <n v="19879.2"/>
    <s v="R005"/>
    <x v="0"/>
    <s v="Retail"/>
    <n v="52"/>
    <x v="0"/>
  </r>
  <r>
    <s v="ORD-00503"/>
    <n v="45374"/>
    <n v="26637.66"/>
    <s v="R014"/>
    <x v="2"/>
    <s v="Retail"/>
    <n v="44"/>
    <x v="1"/>
  </r>
  <r>
    <s v="ORD-00504"/>
    <n v="45638"/>
    <n v="7766.4"/>
    <s v="R025"/>
    <x v="1"/>
    <s v="SMB"/>
    <n v="28"/>
    <x v="2"/>
  </r>
  <r>
    <s v="ORD-00505"/>
    <n v="45525"/>
    <n v="35448.32"/>
    <s v="R022"/>
    <x v="5"/>
    <s v="Corporate"/>
    <n v="46"/>
    <x v="3"/>
  </r>
  <r>
    <s v="ORD-00506"/>
    <n v="45586"/>
    <n v="40805.1"/>
    <s v="R019"/>
    <x v="5"/>
    <s v="Retail"/>
    <n v="44"/>
    <x v="3"/>
  </r>
  <r>
    <s v="ORD-00507"/>
    <n v="45637"/>
    <n v="999.6"/>
    <s v="R028"/>
    <x v="4"/>
    <s v="SMB"/>
    <n v="38"/>
    <x v="2"/>
  </r>
  <r>
    <s v="ORD-00508"/>
    <n v="45443"/>
    <n v="14388.96"/>
    <s v="R014"/>
    <x v="0"/>
    <s v="Retail"/>
    <n v="26"/>
    <x v="1"/>
  </r>
  <r>
    <s v="ORD-00509"/>
    <n v="45569"/>
    <n v="12721.5"/>
    <s v="R023"/>
    <x v="5"/>
    <s v="Retail"/>
    <n v="36"/>
    <x v="3"/>
  </r>
  <r>
    <s v="ORD-00510"/>
    <n v="45319"/>
    <n v="5894.07"/>
    <s v="R012"/>
    <x v="2"/>
    <s v="Corporate"/>
    <n v="54"/>
    <x v="1"/>
  </r>
  <r>
    <s v="ORD-00511"/>
    <n v="45406"/>
    <n v="21576"/>
    <s v="R005"/>
    <x v="0"/>
    <s v="Retail"/>
    <n v="54"/>
    <x v="0"/>
  </r>
  <r>
    <s v="ORD-00512"/>
    <n v="45629"/>
    <n v="52926.9"/>
    <s v="R023"/>
    <x v="4"/>
    <s v="Corporate"/>
    <n v="46"/>
    <x v="3"/>
  </r>
  <r>
    <s v="ORD-00513"/>
    <n v="45612"/>
    <n v="30915.72"/>
    <s v="R012"/>
    <x v="2"/>
    <s v="Retail"/>
    <n v="65"/>
    <x v="1"/>
  </r>
  <r>
    <s v="ORD-00514"/>
    <n v="45613"/>
    <n v="12199.2"/>
    <s v="R001"/>
    <x v="0"/>
    <s v="Retail"/>
    <n v="32"/>
    <x v="0"/>
  </r>
  <r>
    <s v="ORD-00515"/>
    <n v="45484"/>
    <n v="12200.76"/>
    <s v="R029"/>
    <x v="1"/>
    <s v="Corporate"/>
    <n v="43"/>
    <x v="2"/>
  </r>
  <r>
    <s v="ORD-00516"/>
    <n v="45656"/>
    <n v="14805.8"/>
    <s v="R012"/>
    <x v="0"/>
    <s v="Retail"/>
    <n v="35"/>
    <x v="1"/>
  </r>
  <r>
    <s v="ORD-00517"/>
    <n v="45432"/>
    <n v="4420.3500000000004"/>
    <s v="R018"/>
    <x v="5"/>
    <s v="SMB"/>
    <n v="46"/>
    <x v="3"/>
  </r>
  <r>
    <s v="ORD-00518"/>
    <n v="45495"/>
    <n v="1246.4000000000001"/>
    <s v="R029"/>
    <x v="1"/>
    <s v="Retail"/>
    <n v="25"/>
    <x v="2"/>
  </r>
  <r>
    <s v="ORD-00519"/>
    <n v="45443"/>
    <n v="14026.25"/>
    <s v="R029"/>
    <x v="5"/>
    <s v="Retail"/>
    <n v="49"/>
    <x v="2"/>
  </r>
  <r>
    <s v="ORD-00520"/>
    <n v="45638"/>
    <n v="7835.1"/>
    <s v="R017"/>
    <x v="4"/>
    <s v="SMB"/>
    <n v="52"/>
    <x v="3"/>
  </r>
  <r>
    <s v="ORD-00521"/>
    <n v="45476"/>
    <n v="15862.08"/>
    <s v="R015"/>
    <x v="4"/>
    <s v="SMB"/>
    <n v="65"/>
    <x v="1"/>
  </r>
  <r>
    <s v="ORD-00522"/>
    <n v="45566"/>
    <n v="14508.48"/>
    <s v="R006"/>
    <x v="3"/>
    <s v="Retail"/>
    <n v="38"/>
    <x v="0"/>
  </r>
  <r>
    <s v="ORD-00523"/>
    <n v="45392"/>
    <n v="1293.52"/>
    <s v="R002"/>
    <x v="3"/>
    <s v="SMB"/>
    <n v="49"/>
    <x v="0"/>
  </r>
  <r>
    <s v="ORD-00524"/>
    <n v="45561"/>
    <n v="4077.72"/>
    <s v="R013"/>
    <x v="1"/>
    <s v="Retail"/>
    <n v="31"/>
    <x v="1"/>
  </r>
  <r>
    <s v="ORD-00525"/>
    <n v="45634"/>
    <n v="19194.68"/>
    <s v="R027"/>
    <x v="1"/>
    <s v="SMB"/>
    <n v="27"/>
    <x v="2"/>
  </r>
  <r>
    <s v="ORD-00526"/>
    <n v="45311"/>
    <n v="35295"/>
    <s v="R007"/>
    <x v="0"/>
    <s v="SMB"/>
    <n v="31"/>
    <x v="0"/>
  </r>
  <r>
    <s v="ORD-00527"/>
    <n v="45380"/>
    <n v="2147.2800000000002"/>
    <s v="R030"/>
    <x v="2"/>
    <s v="Retail"/>
    <n v="47"/>
    <x v="2"/>
  </r>
  <r>
    <s v="ORD-00528"/>
    <n v="45549"/>
    <n v="22073.1"/>
    <s v="R001"/>
    <x v="5"/>
    <s v="Retail"/>
    <n v="40"/>
    <x v="0"/>
  </r>
  <r>
    <s v="ORD-00529"/>
    <n v="45418"/>
    <n v="19632.240000000002"/>
    <s v="R028"/>
    <x v="2"/>
    <s v="SMB"/>
    <n v="29"/>
    <x v="2"/>
  </r>
  <r>
    <s v="ORD-00530"/>
    <n v="45532"/>
    <n v="35271.599999999999"/>
    <s v="R028"/>
    <x v="4"/>
    <s v="Corporate"/>
    <n v="55"/>
    <x v="2"/>
  </r>
  <r>
    <s v="ORD-00531"/>
    <n v="45542"/>
    <n v="7568.96"/>
    <s v="R009"/>
    <x v="3"/>
    <s v="Retail"/>
    <n v="44"/>
    <x v="1"/>
  </r>
  <r>
    <s v="ORD-00532"/>
    <n v="45320"/>
    <n v="20561.599999999999"/>
    <s v="R018"/>
    <x v="0"/>
    <s v="Retail"/>
    <n v="29"/>
    <x v="3"/>
  </r>
  <r>
    <s v="ORD-00533"/>
    <n v="45548"/>
    <n v="25415.040000000001"/>
    <s v="R010"/>
    <x v="5"/>
    <s v="Retail"/>
    <n v="35"/>
    <x v="1"/>
  </r>
  <r>
    <s v="ORD-00534"/>
    <n v="45434"/>
    <n v="848.82"/>
    <s v="R028"/>
    <x v="1"/>
    <s v="Corporate"/>
    <n v="29"/>
    <x v="2"/>
  </r>
  <r>
    <s v="ORD-00535"/>
    <n v="45539"/>
    <n v="12517.14"/>
    <s v="R022"/>
    <x v="5"/>
    <s v="Retail"/>
    <n v="52"/>
    <x v="3"/>
  </r>
  <r>
    <s v="ORD-00536"/>
    <n v="45468"/>
    <n v="6947.22"/>
    <s v="R010"/>
    <x v="2"/>
    <s v="Corporate"/>
    <n v="37"/>
    <x v="1"/>
  </r>
  <r>
    <s v="ORD-00537"/>
    <n v="45485"/>
    <n v="17114.580000000002"/>
    <s v="R008"/>
    <x v="2"/>
    <s v="Retail"/>
    <n v="56"/>
    <x v="0"/>
  </r>
  <r>
    <s v="ORD-00538"/>
    <n v="45303"/>
    <n v="38432.639999999999"/>
    <s v="R014"/>
    <x v="1"/>
    <s v="Corporate"/>
    <n v="41"/>
    <x v="1"/>
  </r>
  <r>
    <s v="ORD-00539"/>
    <n v="45605"/>
    <n v="1149.72"/>
    <s v="R008"/>
    <x v="4"/>
    <s v="SMB"/>
    <n v="36"/>
    <x v="0"/>
  </r>
  <r>
    <s v="ORD-00540"/>
    <n v="45421"/>
    <n v="20520"/>
    <s v="R027"/>
    <x v="1"/>
    <s v="Retail"/>
    <n v="47"/>
    <x v="2"/>
  </r>
  <r>
    <s v="ORD-00541"/>
    <n v="45493"/>
    <n v="3602.34"/>
    <s v="R001"/>
    <x v="2"/>
    <s v="Corporate"/>
    <n v="52"/>
    <x v="0"/>
  </r>
  <r>
    <s v="ORD-00542"/>
    <n v="45592"/>
    <n v="1140.8"/>
    <s v="R019"/>
    <x v="0"/>
    <s v="Corporate"/>
    <n v="62"/>
    <x v="3"/>
  </r>
  <r>
    <s v="ORD-00543"/>
    <n v="45379"/>
    <n v="467.97"/>
    <s v="R007"/>
    <x v="1"/>
    <s v="Retail"/>
    <n v="43"/>
    <x v="0"/>
  </r>
  <r>
    <s v="ORD-00544"/>
    <n v="45332"/>
    <n v="6117.8"/>
    <s v="R019"/>
    <x v="0"/>
    <s v="Retail"/>
    <n v="61"/>
    <x v="3"/>
  </r>
  <r>
    <s v="ORD-00545"/>
    <n v="45610"/>
    <n v="10467.6"/>
    <s v="R018"/>
    <x v="1"/>
    <s v="Corporate"/>
    <n v="56"/>
    <x v="3"/>
  </r>
  <r>
    <s v="ORD-00546"/>
    <n v="45638"/>
    <n v="11635.2"/>
    <s v="R023"/>
    <x v="1"/>
    <s v="Retail"/>
    <n v="55"/>
    <x v="3"/>
  </r>
  <r>
    <s v="ORD-00547"/>
    <n v="45546"/>
    <n v="29657.040000000001"/>
    <s v="R009"/>
    <x v="3"/>
    <s v="SMB"/>
    <n v="42"/>
    <x v="1"/>
  </r>
  <r>
    <s v="ORD-00548"/>
    <n v="45436"/>
    <n v="38303.199999999997"/>
    <s v="R015"/>
    <x v="3"/>
    <s v="Corporate"/>
    <n v="32"/>
    <x v="1"/>
  </r>
  <r>
    <s v="ORD-00549"/>
    <n v="45532"/>
    <n v="5604.48"/>
    <s v="R008"/>
    <x v="1"/>
    <s v="SMB"/>
    <n v="65"/>
    <x v="0"/>
  </r>
  <r>
    <s v="ORD-00550"/>
    <n v="45568"/>
    <n v="10628.64"/>
    <s v="R028"/>
    <x v="2"/>
    <s v="Corporate"/>
    <n v="55"/>
    <x v="2"/>
  </r>
  <r>
    <s v="ORD-00551"/>
    <n v="45572"/>
    <n v="11674.08"/>
    <s v="R009"/>
    <x v="4"/>
    <s v="Corporate"/>
    <n v="47"/>
    <x v="1"/>
  </r>
  <r>
    <s v="ORD-00552"/>
    <n v="45562"/>
    <n v="5687.64"/>
    <s v="R009"/>
    <x v="4"/>
    <s v="SMB"/>
    <n v="64"/>
    <x v="1"/>
  </r>
  <r>
    <s v="ORD-00553"/>
    <n v="45345"/>
    <n v="297.89999999999998"/>
    <s v="R013"/>
    <x v="4"/>
    <s v="Retail"/>
    <n v="27"/>
    <x v="1"/>
  </r>
  <r>
    <s v="ORD-00554"/>
    <n v="45370"/>
    <n v="1454.4"/>
    <s v="R020"/>
    <x v="1"/>
    <s v="Retail"/>
    <n v="65"/>
    <x v="3"/>
  </r>
  <r>
    <s v="ORD-00555"/>
    <n v="45407"/>
    <n v="12896"/>
    <s v="R011"/>
    <x v="4"/>
    <s v="SMB"/>
    <n v="45"/>
    <x v="1"/>
  </r>
  <r>
    <s v="ORD-00556"/>
    <n v="45337"/>
    <n v="18592.259999999998"/>
    <s v="R026"/>
    <x v="1"/>
    <s v="Retail"/>
    <n v="37"/>
    <x v="2"/>
  </r>
  <r>
    <s v="ORD-00557"/>
    <n v="45571"/>
    <n v="331.89"/>
    <s v="R011"/>
    <x v="3"/>
    <s v="SMB"/>
    <n v="44"/>
    <x v="1"/>
  </r>
  <r>
    <s v="ORD-00558"/>
    <n v="45357"/>
    <n v="5337.36"/>
    <s v="R029"/>
    <x v="2"/>
    <s v="Retail"/>
    <n v="39"/>
    <x v="2"/>
  </r>
  <r>
    <s v="ORD-00559"/>
    <n v="45432"/>
    <n v="4141.8999999999996"/>
    <s v="R022"/>
    <x v="2"/>
    <s v="SMB"/>
    <n v="49"/>
    <x v="3"/>
  </r>
  <r>
    <s v="ORD-00560"/>
    <n v="45604"/>
    <n v="6367.35"/>
    <s v="R002"/>
    <x v="2"/>
    <s v="Retail"/>
    <n v="31"/>
    <x v="0"/>
  </r>
  <r>
    <s v="ORD-00561"/>
    <n v="45467"/>
    <n v="12859"/>
    <s v="R029"/>
    <x v="5"/>
    <s v="SMB"/>
    <n v="46"/>
    <x v="2"/>
  </r>
  <r>
    <s v="ORD-00562"/>
    <n v="45649"/>
    <n v="8854.08"/>
    <s v="R017"/>
    <x v="2"/>
    <s v="Retail"/>
    <n v="36"/>
    <x v="3"/>
  </r>
  <r>
    <s v="ORD-00563"/>
    <n v="45332"/>
    <n v="4801.05"/>
    <s v="R030"/>
    <x v="2"/>
    <s v="Retail"/>
    <n v="23"/>
    <x v="2"/>
  </r>
  <r>
    <s v="ORD-00564"/>
    <n v="45418"/>
    <n v="23870.080000000002"/>
    <s v="R015"/>
    <x v="5"/>
    <s v="Corporate"/>
    <n v="41"/>
    <x v="1"/>
  </r>
  <r>
    <s v="ORD-00565"/>
    <n v="45490"/>
    <n v="11366.88"/>
    <s v="R018"/>
    <x v="2"/>
    <s v="Retail"/>
    <n v="62"/>
    <x v="3"/>
  </r>
  <r>
    <s v="ORD-00566"/>
    <n v="45470"/>
    <n v="5899"/>
    <s v="R028"/>
    <x v="1"/>
    <s v="SMB"/>
    <n v="49"/>
    <x v="2"/>
  </r>
  <r>
    <s v="ORD-00567"/>
    <n v="45654"/>
    <n v="2351.44"/>
    <s v="R010"/>
    <x v="4"/>
    <s v="Retail"/>
    <n v="35"/>
    <x v="1"/>
  </r>
  <r>
    <s v="ORD-00568"/>
    <n v="45548"/>
    <n v="3429.92"/>
    <s v="R013"/>
    <x v="2"/>
    <s v="Retail"/>
    <n v="35"/>
    <x v="1"/>
  </r>
  <r>
    <s v="ORD-00569"/>
    <n v="45632"/>
    <n v="11456.69"/>
    <s v="R002"/>
    <x v="2"/>
    <s v="Retail"/>
    <n v="61"/>
    <x v="0"/>
  </r>
  <r>
    <s v="ORD-00570"/>
    <n v="45304"/>
    <n v="6973.04"/>
    <s v="R016"/>
    <x v="1"/>
    <s v="Retail"/>
    <n v="53"/>
    <x v="1"/>
  </r>
  <r>
    <s v="ORD-00571"/>
    <n v="45330"/>
    <n v="16126.88"/>
    <s v="R001"/>
    <x v="2"/>
    <s v="Corporate"/>
    <n v="37"/>
    <x v="0"/>
  </r>
  <r>
    <s v="ORD-00572"/>
    <n v="45633"/>
    <n v="4601.3"/>
    <s v="R018"/>
    <x v="1"/>
    <s v="SMB"/>
    <n v="36"/>
    <x v="3"/>
  </r>
  <r>
    <s v="ORD-00573"/>
    <n v="45480"/>
    <n v="23026.5"/>
    <s v="R025"/>
    <x v="5"/>
    <s v="SMB"/>
    <n v="34"/>
    <x v="2"/>
  </r>
  <r>
    <s v="ORD-00574"/>
    <n v="45402"/>
    <n v="7110.72"/>
    <s v="R026"/>
    <x v="5"/>
    <s v="Retail"/>
    <n v="32"/>
    <x v="2"/>
  </r>
  <r>
    <s v="ORD-00575"/>
    <n v="45478"/>
    <n v="7969.06"/>
    <s v="R007"/>
    <x v="2"/>
    <s v="SMB"/>
    <n v="40"/>
    <x v="0"/>
  </r>
  <r>
    <s v="ORD-00576"/>
    <n v="45358"/>
    <n v="15572.75"/>
    <s v="R021"/>
    <x v="3"/>
    <s v="SMB"/>
    <n v="47"/>
    <x v="3"/>
  </r>
  <r>
    <s v="ORD-00577"/>
    <n v="45589"/>
    <n v="2562.56"/>
    <s v="R022"/>
    <x v="1"/>
    <s v="Corporate"/>
    <n v="46"/>
    <x v="3"/>
  </r>
  <r>
    <s v="ORD-00578"/>
    <n v="45507"/>
    <n v="14152"/>
    <s v="R018"/>
    <x v="5"/>
    <s v="SMB"/>
    <n v="39"/>
    <x v="3"/>
  </r>
  <r>
    <s v="ORD-00579"/>
    <n v="45470"/>
    <n v="6353.73"/>
    <s v="R022"/>
    <x v="2"/>
    <s v="Retail"/>
    <n v="32"/>
    <x v="3"/>
  </r>
  <r>
    <s v="ORD-00580"/>
    <n v="45589"/>
    <n v="39138.400000000001"/>
    <s v="R007"/>
    <x v="2"/>
    <s v="Retail"/>
    <n v="65"/>
    <x v="0"/>
  </r>
  <r>
    <s v="ORD-00581"/>
    <n v="45433"/>
    <n v="15037.44"/>
    <s v="R004"/>
    <x v="4"/>
    <s v="Retail"/>
    <n v="53"/>
    <x v="0"/>
  </r>
  <r>
    <s v="ORD-00582"/>
    <n v="45477"/>
    <n v="17478.78"/>
    <s v="R012"/>
    <x v="3"/>
    <s v="Retail"/>
    <n v="59"/>
    <x v="1"/>
  </r>
  <r>
    <s v="ORD-00583"/>
    <n v="45443"/>
    <n v="33866.82"/>
    <s v="R006"/>
    <x v="4"/>
    <s v="Retail"/>
    <n v="59"/>
    <x v="0"/>
  </r>
  <r>
    <s v="ORD-00584"/>
    <n v="45322"/>
    <n v="2646.15"/>
    <s v="R027"/>
    <x v="0"/>
    <s v="Retail"/>
    <n v="33"/>
    <x v="2"/>
  </r>
  <r>
    <s v="ORD-00585"/>
    <n v="45544"/>
    <n v="15595.2"/>
    <s v="R017"/>
    <x v="5"/>
    <s v="Corporate"/>
    <n v="55"/>
    <x v="3"/>
  </r>
  <r>
    <s v="ORD-00586"/>
    <n v="45609"/>
    <n v="14412.72"/>
    <s v="R002"/>
    <x v="3"/>
    <s v="Retail"/>
    <n v="42"/>
    <x v="0"/>
  </r>
  <r>
    <s v="ORD-00587"/>
    <n v="45491"/>
    <n v="26041.4"/>
    <s v="R022"/>
    <x v="4"/>
    <s v="Retail"/>
    <n v="41"/>
    <x v="3"/>
  </r>
  <r>
    <s v="ORD-00588"/>
    <n v="45373"/>
    <n v="12824.63"/>
    <s v="R021"/>
    <x v="2"/>
    <s v="SMB"/>
    <n v="40"/>
    <x v="3"/>
  </r>
  <r>
    <s v="ORD-00589"/>
    <n v="45607"/>
    <n v="19799.64"/>
    <s v="R013"/>
    <x v="1"/>
    <s v="SMB"/>
    <n v="44"/>
    <x v="1"/>
  </r>
  <r>
    <s v="ORD-00590"/>
    <n v="45412"/>
    <n v="16052.76"/>
    <s v="R029"/>
    <x v="3"/>
    <s v="Retail"/>
    <n v="31"/>
    <x v="2"/>
  </r>
  <r>
    <s v="ORD-00591"/>
    <n v="45351"/>
    <n v="18697.14"/>
    <s v="R013"/>
    <x v="4"/>
    <s v="SMB"/>
    <n v="39"/>
    <x v="1"/>
  </r>
  <r>
    <s v="ORD-00592"/>
    <n v="45572"/>
    <n v="57463.199999999997"/>
    <s v="R028"/>
    <x v="1"/>
    <s v="Retail"/>
    <n v="59"/>
    <x v="2"/>
  </r>
  <r>
    <s v="ORD-00593"/>
    <n v="45402"/>
    <n v="2995.38"/>
    <s v="R006"/>
    <x v="4"/>
    <s v="Corporate"/>
    <n v="47"/>
    <x v="0"/>
  </r>
  <r>
    <s v="ORD-00594"/>
    <n v="45503"/>
    <n v="2351.13"/>
    <s v="R008"/>
    <x v="3"/>
    <s v="Retail"/>
    <n v="41"/>
    <x v="0"/>
  </r>
  <r>
    <s v="ORD-00595"/>
    <n v="45524"/>
    <n v="4908.8"/>
    <s v="R001"/>
    <x v="4"/>
    <s v="Retail"/>
    <n v="61"/>
    <x v="0"/>
  </r>
  <r>
    <s v="ORD-00596"/>
    <n v="45425"/>
    <n v="3006.72"/>
    <s v="R020"/>
    <x v="1"/>
    <s v="SMB"/>
    <n v="59"/>
    <x v="3"/>
  </r>
  <r>
    <s v="ORD-00597"/>
    <n v="45533"/>
    <n v="1720.5"/>
    <s v="R026"/>
    <x v="3"/>
    <s v="Retail"/>
    <n v="54"/>
    <x v="2"/>
  </r>
  <r>
    <s v="ORD-00598"/>
    <n v="45649"/>
    <n v="19354.8"/>
    <s v="R006"/>
    <x v="3"/>
    <s v="SMB"/>
    <n v="34"/>
    <x v="0"/>
  </r>
  <r>
    <s v="ORD-00599"/>
    <n v="45375"/>
    <n v="7230.3"/>
    <s v="R003"/>
    <x v="5"/>
    <s v="Retail"/>
    <n v="62"/>
    <x v="0"/>
  </r>
  <r>
    <s v="ORD-00600"/>
    <n v="45342"/>
    <n v="15826.44"/>
    <s v="R015"/>
    <x v="2"/>
    <s v="Retail"/>
    <n v="37"/>
    <x v="1"/>
  </r>
  <r>
    <s v="ORD-00601"/>
    <n v="45441"/>
    <n v="1848.96"/>
    <s v="R015"/>
    <x v="1"/>
    <s v="Retail"/>
    <n v="52"/>
    <x v="1"/>
  </r>
  <r>
    <s v="ORD-00602"/>
    <n v="45410"/>
    <n v="8408.4"/>
    <s v="R027"/>
    <x v="4"/>
    <s v="SMB"/>
    <n v="53"/>
    <x v="2"/>
  </r>
  <r>
    <s v="ORD-00603"/>
    <n v="45588"/>
    <n v="27910.5"/>
    <s v="R006"/>
    <x v="5"/>
    <s v="Retail"/>
    <n v="29"/>
    <x v="0"/>
  </r>
  <r>
    <s v="ORD-00604"/>
    <n v="45412"/>
    <n v="8110.56"/>
    <s v="R026"/>
    <x v="4"/>
    <s v="SMB"/>
    <n v="30"/>
    <x v="2"/>
  </r>
  <r>
    <s v="ORD-00605"/>
    <n v="45439"/>
    <n v="20642.04"/>
    <s v="R020"/>
    <x v="2"/>
    <s v="Retail"/>
    <n v="47"/>
    <x v="3"/>
  </r>
  <r>
    <s v="ORD-00606"/>
    <n v="45593"/>
    <n v="17728.2"/>
    <s v="R017"/>
    <x v="5"/>
    <s v="SMB"/>
    <n v="54"/>
    <x v="3"/>
  </r>
  <r>
    <s v="ORD-00607"/>
    <n v="45570"/>
    <n v="26560.799999999999"/>
    <s v="R013"/>
    <x v="5"/>
    <s v="SMB"/>
    <n v="34"/>
    <x v="1"/>
  </r>
  <r>
    <s v="ORD-00608"/>
    <n v="45474"/>
    <n v="11689.92"/>
    <s v="R027"/>
    <x v="4"/>
    <s v="Retail"/>
    <n v="49"/>
    <x v="2"/>
  </r>
  <r>
    <s v="ORD-00609"/>
    <n v="45524"/>
    <n v="2938.98"/>
    <s v="R016"/>
    <x v="2"/>
    <s v="Retail"/>
    <n v="39"/>
    <x v="1"/>
  </r>
  <r>
    <s v="ORD-00610"/>
    <n v="45468"/>
    <n v="1448.55"/>
    <s v="R027"/>
    <x v="3"/>
    <s v="Retail"/>
    <n v="44"/>
    <x v="2"/>
  </r>
  <r>
    <s v="ORD-00611"/>
    <n v="45336"/>
    <n v="2783.8"/>
    <s v="R025"/>
    <x v="0"/>
    <s v="SMB"/>
    <n v="28"/>
    <x v="2"/>
  </r>
  <r>
    <s v="ORD-00612"/>
    <n v="45392"/>
    <n v="3669.76"/>
    <s v="R018"/>
    <x v="1"/>
    <s v="Retail"/>
    <n v="65"/>
    <x v="3"/>
  </r>
  <r>
    <s v="ORD-00613"/>
    <n v="45610"/>
    <n v="5441.04"/>
    <s v="R005"/>
    <x v="5"/>
    <s v="Retail"/>
    <n v="40"/>
    <x v="0"/>
  </r>
  <r>
    <s v="ORD-00614"/>
    <n v="45297"/>
    <n v="2734.08"/>
    <s v="R024"/>
    <x v="1"/>
    <s v="SMB"/>
    <n v="53"/>
    <x v="2"/>
  </r>
  <r>
    <s v="ORD-00615"/>
    <n v="45558"/>
    <n v="16122.3"/>
    <s v="R010"/>
    <x v="2"/>
    <s v="Retail"/>
    <n v="65"/>
    <x v="1"/>
  </r>
  <r>
    <s v="ORD-00616"/>
    <n v="45487"/>
    <n v="15636.6"/>
    <s v="R019"/>
    <x v="4"/>
    <s v="SMB"/>
    <n v="65"/>
    <x v="3"/>
  </r>
  <r>
    <s v="ORD-00617"/>
    <n v="45307"/>
    <n v="13994.82"/>
    <s v="R017"/>
    <x v="3"/>
    <s v="Retail"/>
    <n v="36"/>
    <x v="3"/>
  </r>
  <r>
    <s v="ORD-00618"/>
    <n v="45328"/>
    <n v="16907.52"/>
    <s v="R024"/>
    <x v="0"/>
    <s v="SMB"/>
    <n v="44"/>
    <x v="2"/>
  </r>
  <r>
    <s v="ORD-00619"/>
    <n v="45627"/>
    <n v="6704.46"/>
    <s v="R008"/>
    <x v="4"/>
    <s v="Retail"/>
    <n v="56"/>
    <x v="0"/>
  </r>
  <r>
    <s v="ORD-00620"/>
    <n v="45574"/>
    <n v="10068"/>
    <s v="R001"/>
    <x v="1"/>
    <s v="Retail"/>
    <n v="36"/>
    <x v="0"/>
  </r>
  <r>
    <s v="ORD-00621"/>
    <n v="45592"/>
    <n v="6583"/>
    <s v="R002"/>
    <x v="2"/>
    <s v="SMB"/>
    <n v="53"/>
    <x v="0"/>
  </r>
  <r>
    <s v="ORD-00622"/>
    <n v="45509"/>
    <n v="846.81"/>
    <s v="R012"/>
    <x v="2"/>
    <s v="Corporate"/>
    <n v="46"/>
    <x v="1"/>
  </r>
  <r>
    <s v="ORD-00623"/>
    <n v="45307"/>
    <n v="29078.6"/>
    <s v="R018"/>
    <x v="1"/>
    <s v="SMB"/>
    <n v="43"/>
    <x v="3"/>
  </r>
  <r>
    <s v="ORD-00624"/>
    <n v="45586"/>
    <n v="23568.240000000002"/>
    <s v="R009"/>
    <x v="1"/>
    <s v="Retail"/>
    <n v="53"/>
    <x v="1"/>
  </r>
  <r>
    <s v="ORD-00625"/>
    <n v="45587"/>
    <n v="992.83"/>
    <s v="R006"/>
    <x v="1"/>
    <s v="Retail"/>
    <n v="25"/>
    <x v="0"/>
  </r>
  <r>
    <s v="ORD-00626"/>
    <n v="45609"/>
    <n v="20387.16"/>
    <s v="R007"/>
    <x v="4"/>
    <s v="Retail"/>
    <n v="35"/>
    <x v="0"/>
  </r>
  <r>
    <s v="ORD-00627"/>
    <n v="45316"/>
    <n v="33782.400000000001"/>
    <s v="R011"/>
    <x v="5"/>
    <s v="SMB"/>
    <n v="48"/>
    <x v="1"/>
  </r>
  <r>
    <s v="ORD-00628"/>
    <n v="45451"/>
    <n v="5473.12"/>
    <s v="R008"/>
    <x v="0"/>
    <s v="Retail"/>
    <n v="65"/>
    <x v="0"/>
  </r>
  <r>
    <s v="ORD-00629"/>
    <n v="45554"/>
    <n v="13083.2"/>
    <s v="R011"/>
    <x v="2"/>
    <s v="SMB"/>
    <n v="47"/>
    <x v="1"/>
  </r>
  <r>
    <s v="ORD-00630"/>
    <n v="45567"/>
    <n v="15130"/>
    <s v="R026"/>
    <x v="0"/>
    <s v="SMB"/>
    <n v="53"/>
    <x v="2"/>
  </r>
  <r>
    <s v="ORD-00631"/>
    <n v="45633"/>
    <n v="5220.3999999999996"/>
    <s v="R010"/>
    <x v="0"/>
    <s v="Retail"/>
    <n v="27"/>
    <x v="1"/>
  </r>
  <r>
    <s v="ORD-00632"/>
    <n v="45588"/>
    <n v="8122.68"/>
    <s v="R002"/>
    <x v="2"/>
    <s v="Retail"/>
    <n v="65"/>
    <x v="0"/>
  </r>
  <r>
    <s v="ORD-00633"/>
    <n v="45634"/>
    <n v="7181.1"/>
    <s v="R005"/>
    <x v="1"/>
    <s v="SMB"/>
    <n v="50"/>
    <x v="0"/>
  </r>
  <r>
    <s v="ORD-00634"/>
    <n v="45352"/>
    <n v="3286.92"/>
    <s v="R002"/>
    <x v="0"/>
    <s v="SMB"/>
    <n v="40"/>
    <x v="0"/>
  </r>
  <r>
    <s v="ORD-00635"/>
    <n v="45489"/>
    <n v="697"/>
    <s v="R010"/>
    <x v="0"/>
    <s v="SMB"/>
    <n v="52"/>
    <x v="1"/>
  </r>
  <r>
    <s v="ORD-00636"/>
    <n v="45342"/>
    <n v="12084.8"/>
    <s v="R011"/>
    <x v="0"/>
    <s v="Retail"/>
    <n v="49"/>
    <x v="1"/>
  </r>
  <r>
    <s v="ORD-00637"/>
    <n v="45425"/>
    <n v="12411.7"/>
    <s v="R002"/>
    <x v="2"/>
    <s v="Corporate"/>
    <n v="42"/>
    <x v="0"/>
  </r>
  <r>
    <s v="ORD-00638"/>
    <n v="45598"/>
    <n v="643.5"/>
    <s v="R008"/>
    <x v="3"/>
    <s v="Retail"/>
    <n v="36"/>
    <x v="0"/>
  </r>
  <r>
    <s v="ORD-00639"/>
    <n v="45353"/>
    <n v="21590.73"/>
    <s v="R020"/>
    <x v="4"/>
    <s v="Retail"/>
    <n v="35"/>
    <x v="3"/>
  </r>
  <r>
    <s v="ORD-00640"/>
    <n v="45542"/>
    <n v="3651.9"/>
    <s v="R016"/>
    <x v="3"/>
    <s v="Retail"/>
    <n v="24"/>
    <x v="1"/>
  </r>
  <r>
    <s v="ORD-00641"/>
    <n v="45365"/>
    <n v="3569.32"/>
    <s v="R018"/>
    <x v="0"/>
    <s v="SMB"/>
    <n v="40"/>
    <x v="3"/>
  </r>
  <r>
    <s v="ORD-00642"/>
    <n v="45574"/>
    <n v="21226.799999999999"/>
    <s v="R005"/>
    <x v="4"/>
    <s v="Retail"/>
    <n v="55"/>
    <x v="0"/>
  </r>
  <r>
    <s v="ORD-00643"/>
    <n v="45614"/>
    <n v="25840.5"/>
    <s v="R015"/>
    <x v="1"/>
    <s v="Corporate"/>
    <n v="55"/>
    <x v="1"/>
  </r>
  <r>
    <s v="ORD-00644"/>
    <n v="45629"/>
    <n v="11875.5"/>
    <s v="R013"/>
    <x v="2"/>
    <s v="Corporate"/>
    <n v="31"/>
    <x v="1"/>
  </r>
  <r>
    <s v="ORD-00645"/>
    <n v="45294"/>
    <n v="2689.92"/>
    <s v="R021"/>
    <x v="1"/>
    <s v="Corporate"/>
    <n v="55"/>
    <x v="3"/>
  </r>
  <r>
    <s v="ORD-00646"/>
    <n v="45418"/>
    <n v="8841.84"/>
    <s v="R008"/>
    <x v="4"/>
    <s v="SMB"/>
    <n v="43"/>
    <x v="0"/>
  </r>
  <r>
    <s v="ORD-00647"/>
    <n v="45369"/>
    <n v="11345.46"/>
    <s v="R018"/>
    <x v="2"/>
    <s v="SMB"/>
    <n v="65"/>
    <x v="3"/>
  </r>
  <r>
    <s v="ORD-00648"/>
    <n v="45549"/>
    <n v="14836.5"/>
    <s v="R025"/>
    <x v="2"/>
    <s v="SMB"/>
    <n v="28"/>
    <x v="2"/>
  </r>
  <r>
    <s v="ORD-00649"/>
    <n v="45505"/>
    <n v="5359.2"/>
    <s v="R019"/>
    <x v="3"/>
    <s v="Retail"/>
    <n v="55"/>
    <x v="3"/>
  </r>
  <r>
    <s v="ORD-00650"/>
    <n v="45413"/>
    <n v="31667.7"/>
    <s v="R024"/>
    <x v="3"/>
    <s v="Corporate"/>
    <n v="40"/>
    <x v="2"/>
  </r>
  <r>
    <s v="ORD-00651"/>
    <n v="45559"/>
    <n v="19463.64"/>
    <s v="R021"/>
    <x v="2"/>
    <s v="SMB"/>
    <n v="27"/>
    <x v="3"/>
  </r>
  <r>
    <s v="ORD-00652"/>
    <n v="45525"/>
    <n v="3736.42"/>
    <s v="R003"/>
    <x v="2"/>
    <s v="SMB"/>
    <n v="36"/>
    <x v="0"/>
  </r>
  <r>
    <s v="ORD-00653"/>
    <n v="45610"/>
    <n v="22523.13"/>
    <s v="R028"/>
    <x v="4"/>
    <s v="SMB"/>
    <n v="48"/>
    <x v="2"/>
  </r>
  <r>
    <s v="ORD-00654"/>
    <n v="45521"/>
    <n v="11602.5"/>
    <s v="R004"/>
    <x v="2"/>
    <s v="Retail"/>
    <n v="52"/>
    <x v="0"/>
  </r>
  <r>
    <s v="ORD-00655"/>
    <n v="45381"/>
    <n v="1762.56"/>
    <s v="R026"/>
    <x v="1"/>
    <s v="SMB"/>
    <n v="43"/>
    <x v="2"/>
  </r>
  <r>
    <s v="ORD-00656"/>
    <n v="45401"/>
    <n v="24358.32"/>
    <s v="R026"/>
    <x v="1"/>
    <s v="Corporate"/>
    <n v="22"/>
    <x v="2"/>
  </r>
  <r>
    <s v="ORD-00657"/>
    <n v="45581"/>
    <n v="9322.7999999999993"/>
    <s v="R014"/>
    <x v="5"/>
    <s v="Corporate"/>
    <n v="44"/>
    <x v="1"/>
  </r>
  <r>
    <s v="ORD-00658"/>
    <n v="45414"/>
    <n v="8273.2800000000007"/>
    <s v="R021"/>
    <x v="0"/>
    <s v="SMB"/>
    <n v="26"/>
    <x v="3"/>
  </r>
  <r>
    <s v="ORD-00659"/>
    <n v="45443"/>
    <n v="9234"/>
    <s v="R018"/>
    <x v="3"/>
    <s v="Corporate"/>
    <n v="46"/>
    <x v="3"/>
  </r>
  <r>
    <s v="ORD-00660"/>
    <n v="45377"/>
    <n v="14378"/>
    <s v="R029"/>
    <x v="4"/>
    <s v="Retail"/>
    <n v="40"/>
    <x v="2"/>
  </r>
  <r>
    <s v="ORD-00661"/>
    <n v="45622"/>
    <n v="16980.599999999999"/>
    <s v="R015"/>
    <x v="4"/>
    <s v="Retail"/>
    <n v="36"/>
    <x v="1"/>
  </r>
  <r>
    <s v="ORD-00662"/>
    <n v="45403"/>
    <n v="5392.32"/>
    <s v="R023"/>
    <x v="0"/>
    <s v="SMB"/>
    <n v="50"/>
    <x v="3"/>
  </r>
  <r>
    <s v="ORD-00663"/>
    <n v="45532"/>
    <n v="2367.36"/>
    <s v="R009"/>
    <x v="1"/>
    <s v="Retail"/>
    <n v="49"/>
    <x v="1"/>
  </r>
  <r>
    <s v="ORD-00664"/>
    <n v="45301"/>
    <n v="3024.56"/>
    <s v="R023"/>
    <x v="5"/>
    <s v="Corporate"/>
    <n v="55"/>
    <x v="3"/>
  </r>
  <r>
    <s v="ORD-00665"/>
    <n v="45622"/>
    <n v="33693.699999999997"/>
    <s v="R030"/>
    <x v="1"/>
    <s v="SMB"/>
    <n v="44"/>
    <x v="2"/>
  </r>
  <r>
    <s v="ORD-00666"/>
    <n v="45531"/>
    <n v="5482.4"/>
    <s v="R013"/>
    <x v="5"/>
    <s v="SMB"/>
    <n v="53"/>
    <x v="1"/>
  </r>
  <r>
    <s v="ORD-00667"/>
    <n v="45326"/>
    <n v="23543.759999999998"/>
    <s v="R012"/>
    <x v="3"/>
    <s v="Retail"/>
    <n v="53"/>
    <x v="1"/>
  </r>
  <r>
    <s v="ORD-00668"/>
    <n v="45635"/>
    <n v="19088.16"/>
    <s v="R023"/>
    <x v="2"/>
    <s v="Retail"/>
    <n v="34"/>
    <x v="3"/>
  </r>
  <r>
    <s v="ORD-00669"/>
    <n v="45431"/>
    <n v="9730.4699999999993"/>
    <s v="R020"/>
    <x v="4"/>
    <s v="Corporate"/>
    <n v="51"/>
    <x v="3"/>
  </r>
  <r>
    <s v="ORD-00670"/>
    <n v="45393"/>
    <n v="11400.48"/>
    <s v="R023"/>
    <x v="2"/>
    <s v="SMB"/>
    <n v="28"/>
    <x v="3"/>
  </r>
  <r>
    <s v="ORD-00671"/>
    <n v="45295"/>
    <n v="23718.400000000001"/>
    <s v="R008"/>
    <x v="0"/>
    <s v="Retail"/>
    <n v="52"/>
    <x v="0"/>
  </r>
  <r>
    <s v="ORD-00672"/>
    <n v="45371"/>
    <n v="18678.849999999999"/>
    <s v="R017"/>
    <x v="4"/>
    <s v="Retail"/>
    <n v="49"/>
    <x v="3"/>
  </r>
  <r>
    <s v="ORD-00673"/>
    <n v="45601"/>
    <n v="1982.76"/>
    <s v="R011"/>
    <x v="0"/>
    <s v="SMB"/>
    <n v="39"/>
    <x v="1"/>
  </r>
  <r>
    <s v="ORD-00674"/>
    <n v="45471"/>
    <n v="3910.34"/>
    <s v="R010"/>
    <x v="0"/>
    <s v="Retail"/>
    <n v="37"/>
    <x v="1"/>
  </r>
  <r>
    <s v="ORD-00675"/>
    <n v="45318"/>
    <n v="14967.44"/>
    <s v="R027"/>
    <x v="5"/>
    <s v="Retail"/>
    <n v="31"/>
    <x v="2"/>
  </r>
  <r>
    <s v="ORD-00676"/>
    <n v="45364"/>
    <n v="2374.56"/>
    <s v="R025"/>
    <x v="2"/>
    <s v="Corporate"/>
    <n v="41"/>
    <x v="2"/>
  </r>
  <r>
    <s v="ORD-00677"/>
    <n v="45419"/>
    <n v="674.14"/>
    <s v="R014"/>
    <x v="3"/>
    <s v="Retail"/>
    <n v="47"/>
    <x v="1"/>
  </r>
  <r>
    <s v="ORD-00678"/>
    <n v="45632"/>
    <n v="1345.63"/>
    <s v="R007"/>
    <x v="4"/>
    <s v="SMB"/>
    <n v="26"/>
    <x v="0"/>
  </r>
  <r>
    <s v="ORD-00679"/>
    <n v="45494"/>
    <n v="3403.2"/>
    <s v="R030"/>
    <x v="1"/>
    <s v="Retail"/>
    <n v="37"/>
    <x v="2"/>
  </r>
  <r>
    <s v="ORD-00680"/>
    <n v="45337"/>
    <n v="12097.8"/>
    <s v="R011"/>
    <x v="4"/>
    <s v="SMB"/>
    <n v="53"/>
    <x v="1"/>
  </r>
  <r>
    <s v="ORD-00681"/>
    <n v="45510"/>
    <n v="16167.68"/>
    <s v="R007"/>
    <x v="0"/>
    <s v="SMB"/>
    <n v="48"/>
    <x v="0"/>
  </r>
  <r>
    <s v="ORD-00682"/>
    <n v="45572"/>
    <n v="30938.52"/>
    <s v="R027"/>
    <x v="1"/>
    <s v="Retail"/>
    <n v="24"/>
    <x v="2"/>
  </r>
  <r>
    <s v="ORD-00683"/>
    <n v="45472"/>
    <n v="7634.58"/>
    <s v="R007"/>
    <x v="0"/>
    <s v="Corporate"/>
    <n v="42"/>
    <x v="0"/>
  </r>
  <r>
    <s v="ORD-00684"/>
    <n v="45615"/>
    <n v="15966.72"/>
    <s v="R025"/>
    <x v="4"/>
    <s v="SMB"/>
    <n v="53"/>
    <x v="2"/>
  </r>
  <r>
    <s v="ORD-00685"/>
    <n v="45349"/>
    <n v="14246.55"/>
    <s v="R006"/>
    <x v="3"/>
    <s v="Retail"/>
    <n v="56"/>
    <x v="0"/>
  </r>
  <r>
    <s v="ORD-00686"/>
    <n v="45413"/>
    <n v="13822.68"/>
    <s v="R017"/>
    <x v="3"/>
    <s v="SMB"/>
    <n v="39"/>
    <x v="3"/>
  </r>
  <r>
    <s v="ORD-00687"/>
    <n v="45515"/>
    <n v="6924.96"/>
    <s v="R030"/>
    <x v="5"/>
    <s v="SMB"/>
    <n v="28"/>
    <x v="2"/>
  </r>
  <r>
    <s v="ORD-00688"/>
    <n v="45463"/>
    <n v="17539.2"/>
    <s v="R011"/>
    <x v="3"/>
    <s v="Retail"/>
    <n v="22"/>
    <x v="1"/>
  </r>
  <r>
    <s v="ORD-00689"/>
    <n v="45607"/>
    <n v="11997.7"/>
    <s v="R012"/>
    <x v="4"/>
    <s v="SMB"/>
    <n v="61"/>
    <x v="1"/>
  </r>
  <r>
    <s v="ORD-00690"/>
    <n v="45357"/>
    <n v="2921.94"/>
    <s v="R009"/>
    <x v="2"/>
    <s v="SMB"/>
    <n v="54"/>
    <x v="1"/>
  </r>
  <r>
    <s v="ORD-00691"/>
    <n v="45443"/>
    <n v="27365.599999999999"/>
    <s v="R021"/>
    <x v="0"/>
    <s v="Retail"/>
    <n v="50"/>
    <x v="3"/>
  </r>
  <r>
    <s v="ORD-00692"/>
    <n v="45422"/>
    <n v="2648.36"/>
    <s v="R003"/>
    <x v="4"/>
    <s v="Retail"/>
    <n v="65"/>
    <x v="0"/>
  </r>
  <r>
    <s v="ORD-00693"/>
    <n v="45640"/>
    <n v="15231.2"/>
    <s v="R006"/>
    <x v="0"/>
    <s v="SMB"/>
    <n v="64"/>
    <x v="0"/>
  </r>
  <r>
    <s v="ORD-00694"/>
    <n v="45521"/>
    <n v="3288.44"/>
    <s v="R004"/>
    <x v="5"/>
    <s v="Retail"/>
    <n v="36"/>
    <x v="0"/>
  </r>
  <r>
    <s v="ORD-00695"/>
    <n v="45366"/>
    <n v="14127.75"/>
    <s v="R015"/>
    <x v="0"/>
    <s v="Retail"/>
    <n v="36"/>
    <x v="1"/>
  </r>
  <r>
    <s v="ORD-00696"/>
    <n v="45439"/>
    <n v="2894.28"/>
    <s v="R001"/>
    <x v="0"/>
    <s v="Retail"/>
    <n v="51"/>
    <x v="0"/>
  </r>
  <r>
    <s v="ORD-00697"/>
    <n v="45426"/>
    <n v="17604"/>
    <s v="R009"/>
    <x v="1"/>
    <s v="Corporate"/>
    <n v="46"/>
    <x v="1"/>
  </r>
  <r>
    <s v="ORD-00698"/>
    <n v="45415"/>
    <n v="32426.73"/>
    <s v="R023"/>
    <x v="4"/>
    <s v="Retail"/>
    <n v="60"/>
    <x v="3"/>
  </r>
  <r>
    <s v="ORD-00699"/>
    <n v="45620"/>
    <n v="16158.9"/>
    <s v="R022"/>
    <x v="2"/>
    <s v="Retail"/>
    <n v="53"/>
    <x v="3"/>
  </r>
  <r>
    <s v="ORD-00700"/>
    <n v="45346"/>
    <n v="3564"/>
    <s v="R030"/>
    <x v="3"/>
    <s v="Corporate"/>
    <n v="24"/>
    <x v="2"/>
  </r>
  <r>
    <s v="ORD-01185"/>
    <n v="45297"/>
    <n v="16374.96"/>
    <s v="R006"/>
    <x v="1"/>
    <s v="Retail"/>
    <n v="52"/>
    <x v="0"/>
  </r>
  <r>
    <s v="ORD-00702"/>
    <n v="45521"/>
    <n v="16725.12"/>
    <s v="R022"/>
    <x v="0"/>
    <s v="SMB"/>
    <n v="54"/>
    <x v="3"/>
  </r>
  <r>
    <s v="ORD-00703"/>
    <n v="45409"/>
    <n v="10089.9"/>
    <s v="R014"/>
    <x v="1"/>
    <s v="SMB"/>
    <n v="54"/>
    <x v="1"/>
  </r>
  <r>
    <s v="ORD-00704"/>
    <n v="45406"/>
    <n v="1394.49"/>
    <s v="R015"/>
    <x v="1"/>
    <s v="Retail"/>
    <n v="63"/>
    <x v="1"/>
  </r>
  <r>
    <s v="ORD-00705"/>
    <n v="45474"/>
    <n v="7527.32"/>
    <s v="R019"/>
    <x v="2"/>
    <s v="Retail"/>
    <n v="24"/>
    <x v="3"/>
  </r>
  <r>
    <s v="ORD-00706"/>
    <n v="45588"/>
    <n v="16016.28"/>
    <s v="R010"/>
    <x v="2"/>
    <s v="Retail"/>
    <n v="53"/>
    <x v="1"/>
  </r>
  <r>
    <s v="ORD-00707"/>
    <n v="45530"/>
    <n v="19333.8"/>
    <s v="R008"/>
    <x v="1"/>
    <s v="Retail"/>
    <n v="41"/>
    <x v="0"/>
  </r>
  <r>
    <s v="ORD-00708"/>
    <n v="45630"/>
    <n v="27171.84"/>
    <s v="R007"/>
    <x v="2"/>
    <s v="Retail"/>
    <n v="22"/>
    <x v="0"/>
  </r>
  <r>
    <s v="ORD-00709"/>
    <n v="45551"/>
    <n v="3694.16"/>
    <s v="R030"/>
    <x v="4"/>
    <s v="Retail"/>
    <n v="39"/>
    <x v="2"/>
  </r>
  <r>
    <s v="ORD-00710"/>
    <n v="45610"/>
    <n v="10722.62"/>
    <s v="R007"/>
    <x v="1"/>
    <s v="SMB"/>
    <n v="28"/>
    <x v="0"/>
  </r>
  <r>
    <s v="ORD-00711"/>
    <n v="45322"/>
    <n v="7592.2"/>
    <s v="R009"/>
    <x v="3"/>
    <s v="Retail"/>
    <n v="22"/>
    <x v="1"/>
  </r>
  <r>
    <s v="ORD-00712"/>
    <n v="45363"/>
    <n v="5941.4"/>
    <s v="R012"/>
    <x v="4"/>
    <s v="Retail"/>
    <n v="26"/>
    <x v="1"/>
  </r>
  <r>
    <s v="ORD-00713"/>
    <n v="45600"/>
    <n v="8607.76"/>
    <s v="R006"/>
    <x v="4"/>
    <s v="Corporate"/>
    <n v="55"/>
    <x v="0"/>
  </r>
  <r>
    <s v="ORD-00714"/>
    <n v="45351"/>
    <n v="9133.08"/>
    <s v="R016"/>
    <x v="2"/>
    <s v="SMB"/>
    <n v="42"/>
    <x v="1"/>
  </r>
  <r>
    <s v="ORD-00715"/>
    <n v="45461"/>
    <n v="9571.2000000000007"/>
    <s v="R014"/>
    <x v="5"/>
    <s v="Retail"/>
    <n v="31"/>
    <x v="1"/>
  </r>
  <r>
    <s v="ORD-00716"/>
    <n v="45431"/>
    <n v="5229.46"/>
    <s v="R029"/>
    <x v="3"/>
    <s v="Corporate"/>
    <n v="49"/>
    <x v="2"/>
  </r>
  <r>
    <s v="ORD-00717"/>
    <n v="45592"/>
    <n v="8475.84"/>
    <s v="R004"/>
    <x v="1"/>
    <s v="SMB"/>
    <n v="62"/>
    <x v="0"/>
  </r>
  <r>
    <s v="ORD-00718"/>
    <n v="45454"/>
    <n v="5319.9"/>
    <s v="R004"/>
    <x v="0"/>
    <s v="Retail"/>
    <n v="38"/>
    <x v="0"/>
  </r>
  <r>
    <s v="ORD-00719"/>
    <n v="45616"/>
    <n v="13714.35"/>
    <s v="R010"/>
    <x v="1"/>
    <s v="Corporate"/>
    <n v="41"/>
    <x v="1"/>
  </r>
  <r>
    <s v="ORD-00720"/>
    <n v="45448"/>
    <n v="21868.799999999999"/>
    <s v="R019"/>
    <x v="5"/>
    <s v="SMB"/>
    <n v="65"/>
    <x v="3"/>
  </r>
  <r>
    <s v="ORD-00721"/>
    <n v="45611"/>
    <n v="11247.2"/>
    <s v="R008"/>
    <x v="0"/>
    <s v="Retail"/>
    <n v="53"/>
    <x v="0"/>
  </r>
  <r>
    <s v="ORD-00722"/>
    <n v="45403"/>
    <n v="20847.36"/>
    <s v="R017"/>
    <x v="2"/>
    <s v="Retail"/>
    <n v="27"/>
    <x v="3"/>
  </r>
  <r>
    <s v="ORD-00723"/>
    <n v="45530"/>
    <n v="1369.8"/>
    <s v="R013"/>
    <x v="4"/>
    <s v="SMB"/>
    <n v="59"/>
    <x v="1"/>
  </r>
  <r>
    <s v="ORD-00724"/>
    <n v="45548"/>
    <n v="6705.12"/>
    <s v="R026"/>
    <x v="5"/>
    <s v="Corporate"/>
    <n v="52"/>
    <x v="2"/>
  </r>
  <r>
    <s v="ORD-00725"/>
    <n v="45403"/>
    <n v="26029.919999999998"/>
    <s v="R014"/>
    <x v="5"/>
    <s v="Corporate"/>
    <n v="52"/>
    <x v="1"/>
  </r>
  <r>
    <s v="ORD-00726"/>
    <n v="45562"/>
    <n v="1209"/>
    <s v="R007"/>
    <x v="4"/>
    <s v="Retail"/>
    <n v="36"/>
    <x v="0"/>
  </r>
  <r>
    <s v="ORD-00727"/>
    <n v="45635"/>
    <n v="5705.7"/>
    <s v="R030"/>
    <x v="4"/>
    <s v="SMB"/>
    <n v="25"/>
    <x v="2"/>
  </r>
  <r>
    <s v="ORD-00728"/>
    <n v="45434"/>
    <n v="6844.11"/>
    <s v="R024"/>
    <x v="3"/>
    <s v="Retail"/>
    <n v="52"/>
    <x v="2"/>
  </r>
  <r>
    <s v="ORD-00729"/>
    <n v="45350"/>
    <n v="11312.73"/>
    <s v="R012"/>
    <x v="4"/>
    <s v="Corporate"/>
    <n v="29"/>
    <x v="1"/>
  </r>
  <r>
    <s v="ORD-00730"/>
    <n v="45344"/>
    <n v="9662.4"/>
    <s v="R005"/>
    <x v="4"/>
    <s v="Retail"/>
    <n v="37"/>
    <x v="0"/>
  </r>
  <r>
    <s v="ORD-00731"/>
    <n v="45498"/>
    <n v="17952"/>
    <s v="R001"/>
    <x v="0"/>
    <s v="Corporate"/>
    <n v="52"/>
    <x v="0"/>
  </r>
  <r>
    <s v="ORD-00732"/>
    <n v="45520"/>
    <n v="31580.639999999999"/>
    <s v="R016"/>
    <x v="0"/>
    <s v="Corporate"/>
    <n v="52"/>
    <x v="1"/>
  </r>
  <r>
    <s v="ORD-00733"/>
    <n v="45554"/>
    <n v="32515.84"/>
    <s v="R021"/>
    <x v="5"/>
    <s v="Unknown"/>
    <s v=""/>
    <x v="3"/>
  </r>
  <r>
    <s v="ORD-00734"/>
    <n v="45584"/>
    <n v="29959.93"/>
    <s v="R015"/>
    <x v="4"/>
    <s v="Corporate"/>
    <n v="41"/>
    <x v="1"/>
  </r>
  <r>
    <s v="ORD-00735"/>
    <n v="45593"/>
    <n v="22220.2"/>
    <s v="R024"/>
    <x v="3"/>
    <s v="Retail"/>
    <n v="61"/>
    <x v="2"/>
  </r>
  <r>
    <s v="ORD-00736"/>
    <n v="45302"/>
    <n v="36984.870000000003"/>
    <s v="R030"/>
    <x v="4"/>
    <s v="Retail"/>
    <n v="36"/>
    <x v="2"/>
  </r>
  <r>
    <s v="ORD-00737"/>
    <n v="45440"/>
    <n v="28576"/>
    <s v="R018"/>
    <x v="5"/>
    <s v="Retail"/>
    <n v="49"/>
    <x v="3"/>
  </r>
  <r>
    <s v="ORD-00738"/>
    <n v="45299"/>
    <n v="24078.6"/>
    <s v="R017"/>
    <x v="0"/>
    <s v="Corporate"/>
    <n v="51"/>
    <x v="3"/>
  </r>
  <r>
    <s v="ORD-00739"/>
    <n v="45336"/>
    <n v="2497.7399999999998"/>
    <s v="R013"/>
    <x v="4"/>
    <s v="Corporate"/>
    <n v="35"/>
    <x v="1"/>
  </r>
  <r>
    <s v="ORD-00740"/>
    <n v="45300"/>
    <n v="21574"/>
    <s v="R015"/>
    <x v="5"/>
    <s v="SMB"/>
    <n v="29"/>
    <x v="1"/>
  </r>
  <r>
    <s v="ORD-00741"/>
    <n v="45648"/>
    <n v="14014.4"/>
    <s v="R019"/>
    <x v="3"/>
    <s v="SMB"/>
    <n v="44"/>
    <x v="3"/>
  </r>
  <r>
    <s v="ORD-00742"/>
    <n v="45293"/>
    <n v="15375.36"/>
    <s v="R014"/>
    <x v="1"/>
    <s v="Corporate"/>
    <n v="40"/>
    <x v="1"/>
  </r>
  <r>
    <s v="ORD-00743"/>
    <n v="45644"/>
    <n v="20964.3"/>
    <s v="R013"/>
    <x v="5"/>
    <s v="Retail"/>
    <n v="36"/>
    <x v="1"/>
  </r>
  <r>
    <s v="ORD-00744"/>
    <n v="45589"/>
    <n v="9712.9500000000007"/>
    <s v="R028"/>
    <x v="2"/>
    <s v="Retail"/>
    <n v="28"/>
    <x v="2"/>
  </r>
  <r>
    <s v="ORD-00745"/>
    <n v="45329"/>
    <n v="2791.05"/>
    <s v="R013"/>
    <x v="5"/>
    <s v="Corporate"/>
    <n v="37"/>
    <x v="1"/>
  </r>
  <r>
    <s v="ORD-00746"/>
    <n v="45587"/>
    <n v="24786"/>
    <s v="R028"/>
    <x v="5"/>
    <s v="Retail"/>
    <n v="38"/>
    <x v="2"/>
  </r>
  <r>
    <s v="ORD-00747"/>
    <n v="45423"/>
    <n v="34700.400000000001"/>
    <s v="R003"/>
    <x v="5"/>
    <s v="Retail"/>
    <n v="29"/>
    <x v="0"/>
  </r>
  <r>
    <s v="ORD-00748"/>
    <n v="45568"/>
    <n v="4763.88"/>
    <s v="R006"/>
    <x v="3"/>
    <s v="Retail"/>
    <n v="41"/>
    <x v="0"/>
  </r>
  <r>
    <s v="ORD-00749"/>
    <n v="45549"/>
    <n v="8901.09"/>
    <s v="R006"/>
    <x v="2"/>
    <s v="Retail"/>
    <n v="44"/>
    <x v="0"/>
  </r>
  <r>
    <s v="ORD-00750"/>
    <n v="45504"/>
    <n v="3559.18"/>
    <s v="R007"/>
    <x v="0"/>
    <s v="SMB"/>
    <n v="22"/>
    <x v="0"/>
  </r>
  <r>
    <s v="ORD-00751"/>
    <n v="45449"/>
    <n v="10257"/>
    <s v="R030"/>
    <x v="3"/>
    <s v="SMB"/>
    <n v="29"/>
    <x v="2"/>
  </r>
  <r>
    <s v="ORD-00752"/>
    <n v="45600"/>
    <n v="1024.53"/>
    <s v="R005"/>
    <x v="3"/>
    <s v="Corporate"/>
    <n v="26"/>
    <x v="0"/>
  </r>
  <r>
    <s v="ORD-00753"/>
    <n v="45479"/>
    <n v="7913"/>
    <s v="R006"/>
    <x v="0"/>
    <s v="Corporate"/>
    <n v="29"/>
    <x v="0"/>
  </r>
  <r>
    <s v="ORD-00754"/>
    <n v="45531"/>
    <n v="12405.36"/>
    <s v="R029"/>
    <x v="2"/>
    <s v="Retail"/>
    <n v="55"/>
    <x v="2"/>
  </r>
  <r>
    <s v="ORD-00755"/>
    <n v="45356"/>
    <n v="1913.52"/>
    <s v="R011"/>
    <x v="2"/>
    <s v="Retail"/>
    <n v="29"/>
    <x v="1"/>
  </r>
  <r>
    <s v="ORD-00756"/>
    <n v="45553"/>
    <n v="16058.25"/>
    <s v="R030"/>
    <x v="3"/>
    <s v="Retail"/>
    <n v="65"/>
    <x v="2"/>
  </r>
  <r>
    <s v="ORD-00757"/>
    <n v="45492"/>
    <n v="8375.64"/>
    <s v="R027"/>
    <x v="0"/>
    <s v="Retail"/>
    <n v="49"/>
    <x v="2"/>
  </r>
  <r>
    <s v="ORD-00758"/>
    <n v="45388"/>
    <n v="8759"/>
    <s v="R018"/>
    <x v="3"/>
    <s v="Corporate"/>
    <n v="24"/>
    <x v="3"/>
  </r>
  <r>
    <s v="ORD-00759"/>
    <n v="45369"/>
    <n v="17280"/>
    <s v="R001"/>
    <x v="1"/>
    <s v="Retail"/>
    <n v="59"/>
    <x v="0"/>
  </r>
  <r>
    <s v="ORD-00760"/>
    <n v="45597"/>
    <n v="17892.349999999999"/>
    <s v="R002"/>
    <x v="5"/>
    <s v="Retail"/>
    <n v="30"/>
    <x v="0"/>
  </r>
  <r>
    <s v="ORD-00761"/>
    <n v="45611"/>
    <n v="13205.92"/>
    <s v="R012"/>
    <x v="0"/>
    <s v="Retail"/>
    <n v="27"/>
    <x v="1"/>
  </r>
  <r>
    <s v="ORD-00762"/>
    <n v="45579"/>
    <n v="28468.44"/>
    <s v="R028"/>
    <x v="0"/>
    <s v="Retail"/>
    <n v="42"/>
    <x v="2"/>
  </r>
  <r>
    <s v="ORD-00763"/>
    <n v="45634"/>
    <n v="3564.68"/>
    <s v="R014"/>
    <x v="3"/>
    <s v="Retail"/>
    <n v="50"/>
    <x v="1"/>
  </r>
  <r>
    <s v="ORD-00764"/>
    <n v="45471"/>
    <n v="11692"/>
    <s v="R002"/>
    <x v="0"/>
    <s v="Retail"/>
    <n v="29"/>
    <x v="0"/>
  </r>
  <r>
    <s v="ORD-00765"/>
    <n v="45327"/>
    <n v="37321.9"/>
    <s v="R029"/>
    <x v="2"/>
    <s v="SMB"/>
    <n v="26"/>
    <x v="2"/>
  </r>
  <r>
    <s v="ORD-00766"/>
    <n v="45343"/>
    <n v="29719.200000000001"/>
    <s v="R024"/>
    <x v="2"/>
    <s v="Retail"/>
    <n v="40"/>
    <x v="2"/>
  </r>
  <r>
    <s v="ORD-00767"/>
    <n v="45334"/>
    <n v="7011.84"/>
    <s v="R018"/>
    <x v="1"/>
    <s v="Retail"/>
    <n v="56"/>
    <x v="3"/>
  </r>
  <r>
    <s v="ORD-00768"/>
    <n v="45306"/>
    <n v="4076.92"/>
    <s v="R027"/>
    <x v="2"/>
    <s v="SMB"/>
    <n v="35"/>
    <x v="2"/>
  </r>
  <r>
    <s v="ORD-00769"/>
    <n v="45296"/>
    <n v="3201.66"/>
    <s v="R007"/>
    <x v="2"/>
    <s v="Retail"/>
    <n v="29"/>
    <x v="0"/>
  </r>
  <r>
    <s v="ORD-00770"/>
    <n v="45489"/>
    <n v="22350.400000000001"/>
    <s v="R028"/>
    <x v="5"/>
    <s v="Retail"/>
    <n v="57"/>
    <x v="2"/>
  </r>
  <r>
    <s v="ORD-00771"/>
    <n v="45416"/>
    <n v="13651.25"/>
    <s v="R017"/>
    <x v="5"/>
    <s v="Retail"/>
    <n v="42"/>
    <x v="3"/>
  </r>
  <r>
    <s v="ORD-00772"/>
    <n v="45347"/>
    <n v="16832.060000000001"/>
    <s v="R021"/>
    <x v="0"/>
    <s v="SMB"/>
    <n v="54"/>
    <x v="3"/>
  </r>
  <r>
    <s v="ORD-00773"/>
    <n v="45652"/>
    <n v="2542.8000000000002"/>
    <s v="R018"/>
    <x v="4"/>
    <s v="Retail"/>
    <n v="49"/>
    <x v="3"/>
  </r>
  <r>
    <s v="ORD-00774"/>
    <n v="45467"/>
    <n v="2812.48"/>
    <s v="R003"/>
    <x v="1"/>
    <s v="Retail"/>
    <n v="55"/>
    <x v="0"/>
  </r>
  <r>
    <s v="ORD-00775"/>
    <n v="45558"/>
    <n v="4860"/>
    <s v="R012"/>
    <x v="3"/>
    <s v="Corporate"/>
    <n v="47"/>
    <x v="1"/>
  </r>
  <r>
    <s v="ORD-00776"/>
    <n v="45645"/>
    <n v="1694.78"/>
    <s v="R019"/>
    <x v="1"/>
    <s v="SMB"/>
    <n v="44"/>
    <x v="3"/>
  </r>
  <r>
    <s v="ORD-00777"/>
    <n v="45418"/>
    <n v="18018.72"/>
    <s v="R002"/>
    <x v="4"/>
    <s v="SMB"/>
    <n v="26"/>
    <x v="0"/>
  </r>
  <r>
    <s v="ORD-00778"/>
    <n v="45655"/>
    <n v="4963.3500000000004"/>
    <s v="R027"/>
    <x v="3"/>
    <s v="Retail"/>
    <n v="44"/>
    <x v="2"/>
  </r>
  <r>
    <s v="ORD-00779"/>
    <n v="45540"/>
    <n v="7045.92"/>
    <s v="R027"/>
    <x v="3"/>
    <s v="Retail"/>
    <n v="44"/>
    <x v="2"/>
  </r>
  <r>
    <s v="ORD-00780"/>
    <n v="45609"/>
    <n v="865.46"/>
    <s v="R009"/>
    <x v="3"/>
    <s v="Corporate"/>
    <n v="51"/>
    <x v="1"/>
  </r>
  <r>
    <s v="ORD-00781"/>
    <n v="45528"/>
    <n v="2909.68"/>
    <s v="R011"/>
    <x v="3"/>
    <s v="Retail"/>
    <n v="28"/>
    <x v="1"/>
  </r>
  <r>
    <s v="ORD-00782"/>
    <n v="45625"/>
    <n v="17767.96"/>
    <s v="R018"/>
    <x v="0"/>
    <s v="Retail"/>
    <n v="54"/>
    <x v="3"/>
  </r>
  <r>
    <s v="ORD-00783"/>
    <n v="45444"/>
    <n v="45800.639999999999"/>
    <s v="R016"/>
    <x v="5"/>
    <s v="Retail"/>
    <n v="62"/>
    <x v="1"/>
  </r>
  <r>
    <s v="ORD-00784"/>
    <n v="45505"/>
    <n v="5685.6"/>
    <s v="R015"/>
    <x v="1"/>
    <s v="Corporate"/>
    <n v="32"/>
    <x v="1"/>
  </r>
  <r>
    <s v="ORD-00785"/>
    <n v="45401"/>
    <n v="4780.28"/>
    <s v="R009"/>
    <x v="3"/>
    <s v="Retail"/>
    <n v="51"/>
    <x v="1"/>
  </r>
  <r>
    <s v="ORD-00786"/>
    <n v="45364"/>
    <n v="19947.900000000001"/>
    <s v="R023"/>
    <x v="0"/>
    <s v="SMB"/>
    <n v="28"/>
    <x v="3"/>
  </r>
  <r>
    <s v="ORD-00787"/>
    <n v="45403"/>
    <n v="13674.48"/>
    <s v="R009"/>
    <x v="2"/>
    <s v="Retail"/>
    <n v="39"/>
    <x v="1"/>
  </r>
  <r>
    <s v="ORD-00788"/>
    <n v="45599"/>
    <n v="9337.7999999999993"/>
    <s v="R023"/>
    <x v="0"/>
    <s v="SMB"/>
    <n v="44"/>
    <x v="3"/>
  </r>
  <r>
    <s v="ORD-00789"/>
    <n v="45389"/>
    <n v="19919.099999999999"/>
    <s v="R029"/>
    <x v="5"/>
    <s v="Retail"/>
    <n v="54"/>
    <x v="2"/>
  </r>
  <r>
    <s v="ORD-00790"/>
    <n v="45506"/>
    <n v="10903.2"/>
    <s v="R029"/>
    <x v="5"/>
    <s v="Retail"/>
    <n v="54"/>
    <x v="2"/>
  </r>
  <r>
    <s v="ORD-00791"/>
    <n v="45402"/>
    <n v="5171.58"/>
    <s v="R003"/>
    <x v="3"/>
    <s v="SMB"/>
    <n v="26"/>
    <x v="0"/>
  </r>
  <r>
    <s v="ORD-00792"/>
    <n v="45405"/>
    <n v="2562.84"/>
    <s v="R024"/>
    <x v="3"/>
    <s v="Retail"/>
    <n v="63"/>
    <x v="2"/>
  </r>
  <r>
    <s v="ORD-00793"/>
    <n v="45434"/>
    <n v="35721"/>
    <s v="R018"/>
    <x v="2"/>
    <s v="Unknown"/>
    <s v=""/>
    <x v="3"/>
  </r>
  <r>
    <s v="ORD-00794"/>
    <n v="45558"/>
    <n v="3978.8"/>
    <s v="R030"/>
    <x v="3"/>
    <s v="Retail"/>
    <n v="26"/>
    <x v="2"/>
  </r>
  <r>
    <s v="ORD-00795"/>
    <n v="45582"/>
    <n v="11211.2"/>
    <s v="R019"/>
    <x v="5"/>
    <s v="Corporate"/>
    <n v="41"/>
    <x v="3"/>
  </r>
  <r>
    <s v="ORD-00796"/>
    <n v="45601"/>
    <n v="23253.75"/>
    <s v="R015"/>
    <x v="3"/>
    <s v="Retail"/>
    <n v="56"/>
    <x v="1"/>
  </r>
  <r>
    <s v="ORD-00797"/>
    <n v="45344"/>
    <n v="8497.35"/>
    <s v="R005"/>
    <x v="5"/>
    <s v="SMB"/>
    <n v="53"/>
    <x v="0"/>
  </r>
  <r>
    <s v="ORD-00798"/>
    <n v="45504"/>
    <n v="25281.45"/>
    <s v="R008"/>
    <x v="3"/>
    <s v="Corporate"/>
    <n v="24"/>
    <x v="0"/>
  </r>
  <r>
    <s v="ORD-00799"/>
    <n v="45306"/>
    <n v="961.26"/>
    <s v="R029"/>
    <x v="3"/>
    <s v="Retail"/>
    <n v="40"/>
    <x v="2"/>
  </r>
  <r>
    <s v="ORD-00800"/>
    <n v="45413"/>
    <n v="26228.93"/>
    <s v="R009"/>
    <x v="4"/>
    <s v="SMB"/>
    <n v="53"/>
    <x v="1"/>
  </r>
  <r>
    <s v="ORD-00801"/>
    <n v="45368"/>
    <n v="21058.799999999999"/>
    <s v="R016"/>
    <x v="1"/>
    <s v="Retail"/>
    <n v="49"/>
    <x v="1"/>
  </r>
  <r>
    <s v="ORD-00802"/>
    <n v="45316"/>
    <n v="26109.599999999999"/>
    <s v="R027"/>
    <x v="0"/>
    <s v="Corporate"/>
    <n v="51"/>
    <x v="2"/>
  </r>
  <r>
    <s v="ORD-00803"/>
    <n v="45652"/>
    <n v="4724.16"/>
    <s v="R029"/>
    <x v="5"/>
    <s v="Corporate"/>
    <n v="62"/>
    <x v="2"/>
  </r>
  <r>
    <s v="ORD-00804"/>
    <n v="45597"/>
    <n v="16400.34"/>
    <s v="R011"/>
    <x v="0"/>
    <s v="SMB"/>
    <n v="50"/>
    <x v="1"/>
  </r>
  <r>
    <s v="ORD-00805"/>
    <n v="45392"/>
    <n v="7231.6"/>
    <s v="R012"/>
    <x v="1"/>
    <s v="Retail"/>
    <n v="54"/>
    <x v="1"/>
  </r>
  <r>
    <s v="ORD-00806"/>
    <n v="45401"/>
    <n v="2634.4"/>
    <s v="R023"/>
    <x v="0"/>
    <s v="Retail"/>
    <n v="54"/>
    <x v="3"/>
  </r>
  <r>
    <s v="ORD-00807"/>
    <n v="45397"/>
    <n v="22492.959999999999"/>
    <s v="R006"/>
    <x v="5"/>
    <s v="Corporate"/>
    <n v="43"/>
    <x v="0"/>
  </r>
  <r>
    <s v="ORD-00808"/>
    <n v="45301"/>
    <n v="3736.26"/>
    <s v="R017"/>
    <x v="2"/>
    <s v="Retail"/>
    <n v="26"/>
    <x v="3"/>
  </r>
  <r>
    <s v="ORD-00809"/>
    <n v="45347"/>
    <n v="2670.66"/>
    <s v="R020"/>
    <x v="3"/>
    <s v="Retail"/>
    <n v="29"/>
    <x v="3"/>
  </r>
  <r>
    <s v="ORD-00810"/>
    <n v="45544"/>
    <n v="4877.16"/>
    <s v="R020"/>
    <x v="2"/>
    <s v="SMB"/>
    <n v="28"/>
    <x v="3"/>
  </r>
  <r>
    <s v="ORD-00811"/>
    <n v="45633"/>
    <n v="26384"/>
    <s v="R019"/>
    <x v="0"/>
    <s v="SMB"/>
    <n v="60"/>
    <x v="3"/>
  </r>
  <r>
    <s v="ORD-00812"/>
    <n v="45293"/>
    <n v="11860.8"/>
    <s v="R014"/>
    <x v="1"/>
    <s v="Corporate"/>
    <n v="43"/>
    <x v="1"/>
  </r>
  <r>
    <s v="ORD-00813"/>
    <n v="45564"/>
    <n v="22299.84"/>
    <s v="R012"/>
    <x v="0"/>
    <s v="Retail"/>
    <n v="65"/>
    <x v="1"/>
  </r>
  <r>
    <s v="ORD-00814"/>
    <n v="45385"/>
    <n v="25498.55"/>
    <s v="R015"/>
    <x v="2"/>
    <s v="SMB"/>
    <n v="29"/>
    <x v="1"/>
  </r>
  <r>
    <s v="ORD-01052"/>
    <n v="45299"/>
    <n v="16197.54"/>
    <s v="R008"/>
    <x v="1"/>
    <s v="Retail"/>
    <n v="53"/>
    <x v="0"/>
  </r>
  <r>
    <s v="ORD-00816"/>
    <n v="45651"/>
    <n v="8004"/>
    <s v="R028"/>
    <x v="2"/>
    <s v="SMB"/>
    <n v="48"/>
    <x v="2"/>
  </r>
  <r>
    <s v="ORD-01136"/>
    <n v="45474"/>
    <n v="11094.72"/>
    <s v="R013"/>
    <x v="3"/>
    <s v="Retail"/>
    <n v="29"/>
    <x v="1"/>
  </r>
  <r>
    <s v="ORD-00818"/>
    <n v="45391"/>
    <n v="5270.15"/>
    <s v="R017"/>
    <x v="3"/>
    <s v="Retail"/>
    <n v="39"/>
    <x v="3"/>
  </r>
  <r>
    <s v="ORD-00819"/>
    <n v="45328"/>
    <n v="22134"/>
    <s v="R029"/>
    <x v="2"/>
    <s v="Corporate"/>
    <n v="41"/>
    <x v="2"/>
  </r>
  <r>
    <s v="ORD-00820"/>
    <n v="45490"/>
    <n v="11755.2"/>
    <s v="R026"/>
    <x v="0"/>
    <s v="SMB"/>
    <n v="43"/>
    <x v="2"/>
  </r>
  <r>
    <s v="ORD-00821"/>
    <n v="45362"/>
    <n v="19785.599999999999"/>
    <s v="R029"/>
    <x v="1"/>
    <s v="SMB"/>
    <n v="43"/>
    <x v="2"/>
  </r>
  <r>
    <s v="ORD-00822"/>
    <n v="45449"/>
    <n v="9963.2000000000007"/>
    <s v="R020"/>
    <x v="4"/>
    <s v="Retail"/>
    <n v="38"/>
    <x v="3"/>
  </r>
  <r>
    <s v="ORD-00823"/>
    <n v="45409"/>
    <n v="11338.65"/>
    <s v="R023"/>
    <x v="2"/>
    <s v="Unknown"/>
    <s v=""/>
    <x v="3"/>
  </r>
  <r>
    <s v="ORD-00824"/>
    <n v="45465"/>
    <n v="32703.93"/>
    <s v="R020"/>
    <x v="3"/>
    <s v="Corporate"/>
    <n v="41"/>
    <x v="3"/>
  </r>
  <r>
    <s v="ORD-00825"/>
    <n v="45415"/>
    <n v="16776.45"/>
    <s v="R009"/>
    <x v="4"/>
    <s v="SMB"/>
    <n v="35"/>
    <x v="1"/>
  </r>
  <r>
    <s v="ORD-00826"/>
    <n v="45372"/>
    <n v="1584"/>
    <s v="R024"/>
    <x v="5"/>
    <s v="Retail"/>
    <n v="28"/>
    <x v="2"/>
  </r>
  <r>
    <s v="ORD-00827"/>
    <n v="45405"/>
    <n v="17138.560000000001"/>
    <s v="R001"/>
    <x v="5"/>
    <s v="Retail"/>
    <n v="37"/>
    <x v="0"/>
  </r>
  <r>
    <s v="ORD-00828"/>
    <n v="45419"/>
    <n v="10200"/>
    <s v="R008"/>
    <x v="1"/>
    <s v="SMB"/>
    <n v="27"/>
    <x v="0"/>
  </r>
  <r>
    <s v="ORD-00829"/>
    <n v="45522"/>
    <n v="4441.68"/>
    <s v="R015"/>
    <x v="0"/>
    <s v="SMB"/>
    <n v="54"/>
    <x v="1"/>
  </r>
  <r>
    <s v="ORD-00830"/>
    <n v="45513"/>
    <n v="4527.0200000000004"/>
    <s v="R013"/>
    <x v="3"/>
    <s v="Retail"/>
    <n v="36"/>
    <x v="1"/>
  </r>
  <r>
    <s v="ORD-00831"/>
    <n v="45500"/>
    <n v="23557.1"/>
    <s v="R014"/>
    <x v="3"/>
    <s v="SMB"/>
    <n v="51"/>
    <x v="1"/>
  </r>
  <r>
    <s v="ORD-00832"/>
    <n v="45608"/>
    <n v="5546.46"/>
    <s v="R029"/>
    <x v="2"/>
    <s v="SMB"/>
    <n v="31"/>
    <x v="2"/>
  </r>
  <r>
    <s v="ORD-00833"/>
    <n v="45362"/>
    <n v="10444.719999999999"/>
    <s v="R026"/>
    <x v="4"/>
    <s v="Corporate"/>
    <n v="35"/>
    <x v="2"/>
  </r>
  <r>
    <s v="ORD-00834"/>
    <n v="45348"/>
    <n v="18351.900000000001"/>
    <s v="R011"/>
    <x v="2"/>
    <s v="SMB"/>
    <n v="50"/>
    <x v="1"/>
  </r>
  <r>
    <s v="ORD-00835"/>
    <n v="45532"/>
    <n v="2688.84"/>
    <s v="R023"/>
    <x v="5"/>
    <s v="SMB"/>
    <n v="65"/>
    <x v="3"/>
  </r>
  <r>
    <s v="ORD-00836"/>
    <n v="45492"/>
    <n v="8631.36"/>
    <s v="R020"/>
    <x v="3"/>
    <s v="Retail"/>
    <n v="39"/>
    <x v="3"/>
  </r>
  <r>
    <s v="ORD-00837"/>
    <n v="45368"/>
    <n v="5140.8"/>
    <s v="R007"/>
    <x v="1"/>
    <s v="Retail"/>
    <n v="65"/>
    <x v="0"/>
  </r>
  <r>
    <s v="ORD-00838"/>
    <n v="45448"/>
    <n v="4411.8"/>
    <s v="R018"/>
    <x v="3"/>
    <s v="SMB"/>
    <n v="46"/>
    <x v="3"/>
  </r>
  <r>
    <s v="ORD-00839"/>
    <n v="45610"/>
    <n v="15619.87"/>
    <s v="R027"/>
    <x v="2"/>
    <s v="SMB"/>
    <n v="51"/>
    <x v="2"/>
  </r>
  <r>
    <s v="ORD-00840"/>
    <n v="45438"/>
    <n v="23687.52"/>
    <s v="R026"/>
    <x v="2"/>
    <s v="SMB"/>
    <n v="27"/>
    <x v="2"/>
  </r>
  <r>
    <s v="ORD-00841"/>
    <n v="45477"/>
    <n v="14153.75"/>
    <s v="R003"/>
    <x v="3"/>
    <s v="SMB"/>
    <n v="48"/>
    <x v="0"/>
  </r>
  <r>
    <s v="ORD-00842"/>
    <n v="45328"/>
    <n v="6329.4"/>
    <s v="R012"/>
    <x v="5"/>
    <s v="SMB"/>
    <n v="24"/>
    <x v="1"/>
  </r>
  <r>
    <s v="ORD-00843"/>
    <n v="45624"/>
    <n v="29565.599999999999"/>
    <s v="R003"/>
    <x v="3"/>
    <s v="SMB"/>
    <n v="43"/>
    <x v="0"/>
  </r>
  <r>
    <s v="ORD-00844"/>
    <n v="45614"/>
    <n v="21831.599999999999"/>
    <s v="R027"/>
    <x v="1"/>
    <s v="Retail"/>
    <n v="61"/>
    <x v="2"/>
  </r>
  <r>
    <s v="ORD-00845"/>
    <n v="45429"/>
    <n v="15115.2"/>
    <s v="R018"/>
    <x v="5"/>
    <s v="Retail"/>
    <n v="41"/>
    <x v="3"/>
  </r>
  <r>
    <s v="ORD-00846"/>
    <n v="45451"/>
    <n v="21171.8"/>
    <s v="R027"/>
    <x v="2"/>
    <s v="Retail"/>
    <n v="31"/>
    <x v="2"/>
  </r>
  <r>
    <s v="ORD-00847"/>
    <n v="45444"/>
    <n v="48458.400000000001"/>
    <s v="R006"/>
    <x v="5"/>
    <s v="Retail"/>
    <n v="43"/>
    <x v="0"/>
  </r>
  <r>
    <s v="ORD-00848"/>
    <n v="45369"/>
    <n v="14394.38"/>
    <s v="R004"/>
    <x v="1"/>
    <s v="Retail"/>
    <n v="49"/>
    <x v="0"/>
  </r>
  <r>
    <s v="ORD-00849"/>
    <n v="45581"/>
    <n v="2086.4699999999998"/>
    <s v="R005"/>
    <x v="2"/>
    <s v="Retail"/>
    <n v="65"/>
    <x v="0"/>
  </r>
  <r>
    <s v="ORD-00850"/>
    <n v="45494"/>
    <n v="1927.23"/>
    <s v="R008"/>
    <x v="2"/>
    <s v="Corporate"/>
    <n v="29"/>
    <x v="0"/>
  </r>
  <r>
    <s v="ORD-00851"/>
    <n v="45324"/>
    <n v="15753"/>
    <s v="R015"/>
    <x v="0"/>
    <s v="SMB"/>
    <n v="62"/>
    <x v="1"/>
  </r>
  <r>
    <s v="ORD-00852"/>
    <n v="45419"/>
    <n v="9218.64"/>
    <s v="R010"/>
    <x v="1"/>
    <s v="Corporate"/>
    <n v="55"/>
    <x v="1"/>
  </r>
  <r>
    <s v="ORD-00853"/>
    <n v="45656"/>
    <n v="3610.88"/>
    <s v="R006"/>
    <x v="0"/>
    <s v="Retail"/>
    <n v="28"/>
    <x v="0"/>
  </r>
  <r>
    <s v="ORD-00854"/>
    <n v="45350"/>
    <n v="4595.28"/>
    <s v="R014"/>
    <x v="0"/>
    <s v="Retail"/>
    <n v="45"/>
    <x v="1"/>
  </r>
  <r>
    <s v="ORD-00855"/>
    <n v="45434"/>
    <n v="44718.7"/>
    <s v="R015"/>
    <x v="4"/>
    <s v="Retail"/>
    <n v="34"/>
    <x v="1"/>
  </r>
  <r>
    <s v="ORD-00856"/>
    <n v="45438"/>
    <n v="6120.3"/>
    <s v="R004"/>
    <x v="5"/>
    <s v="Retail"/>
    <n v="64"/>
    <x v="0"/>
  </r>
  <r>
    <s v="ORD-00857"/>
    <n v="45486"/>
    <n v="5570.88"/>
    <s v="R023"/>
    <x v="5"/>
    <s v="Retail"/>
    <n v="41"/>
    <x v="3"/>
  </r>
  <r>
    <s v="ORD-00858"/>
    <n v="45623"/>
    <n v="13299.75"/>
    <s v="R003"/>
    <x v="0"/>
    <s v="SMB"/>
    <n v="43"/>
    <x v="0"/>
  </r>
  <r>
    <s v="ORD-00859"/>
    <n v="45634"/>
    <n v="6081.7"/>
    <s v="R008"/>
    <x v="4"/>
    <s v="SMB"/>
    <n v="59"/>
    <x v="0"/>
  </r>
  <r>
    <s v="ORD-00860"/>
    <n v="45308"/>
    <n v="18921.5"/>
    <s v="R007"/>
    <x v="4"/>
    <s v="Retail"/>
    <n v="39"/>
    <x v="0"/>
  </r>
  <r>
    <s v="ORD-00861"/>
    <n v="45641"/>
    <n v="8568"/>
    <s v="R028"/>
    <x v="4"/>
    <s v="Retail"/>
    <n v="29"/>
    <x v="2"/>
  </r>
  <r>
    <s v="ORD-00862"/>
    <n v="45396"/>
    <n v="17423.64"/>
    <s v="R026"/>
    <x v="2"/>
    <s v="Retail"/>
    <n v="56"/>
    <x v="2"/>
  </r>
  <r>
    <s v="ORD-00863"/>
    <n v="45302"/>
    <n v="18162.900000000001"/>
    <s v="R029"/>
    <x v="1"/>
    <s v="SMB"/>
    <n v="39"/>
    <x v="2"/>
  </r>
  <r>
    <s v="ORD-00864"/>
    <n v="45626"/>
    <n v="21700.799999999999"/>
    <s v="R008"/>
    <x v="4"/>
    <s v="Retail"/>
    <n v="34"/>
    <x v="0"/>
  </r>
  <r>
    <s v="ORD-00865"/>
    <n v="45352"/>
    <n v="1306.5"/>
    <s v="R024"/>
    <x v="4"/>
    <s v="SMB"/>
    <n v="42"/>
    <x v="2"/>
  </r>
  <r>
    <s v="ORD-00866"/>
    <n v="45588"/>
    <n v="3979.2"/>
    <s v="R013"/>
    <x v="1"/>
    <s v="SMB"/>
    <n v="43"/>
    <x v="1"/>
  </r>
  <r>
    <s v="ORD-00867"/>
    <n v="45583"/>
    <n v="4552.2"/>
    <s v="R026"/>
    <x v="3"/>
    <s v="Retail"/>
    <n v="29"/>
    <x v="2"/>
  </r>
  <r>
    <s v="ORD-00868"/>
    <n v="45528"/>
    <n v="2772.25"/>
    <s v="R003"/>
    <x v="3"/>
    <s v="Retail"/>
    <n v="24"/>
    <x v="0"/>
  </r>
  <r>
    <s v="ORD-00869"/>
    <n v="45400"/>
    <n v="2434.6"/>
    <s v="R021"/>
    <x v="3"/>
    <s v="Corporate"/>
    <n v="42"/>
    <x v="3"/>
  </r>
  <r>
    <s v="ORD-00870"/>
    <n v="45337"/>
    <n v="34510.14"/>
    <s v="R029"/>
    <x v="3"/>
    <s v="Unknown"/>
    <s v=""/>
    <x v="2"/>
  </r>
  <r>
    <s v="ORD-00871"/>
    <n v="45482"/>
    <n v="11624.16"/>
    <s v="R028"/>
    <x v="4"/>
    <s v="Retail"/>
    <n v="38"/>
    <x v="2"/>
  </r>
  <r>
    <s v="ORD-00872"/>
    <n v="45583"/>
    <n v="3645.36"/>
    <s v="R007"/>
    <x v="4"/>
    <s v="Retail"/>
    <n v="52"/>
    <x v="0"/>
  </r>
  <r>
    <s v="ORD-00873"/>
    <n v="45409"/>
    <n v="7602.96"/>
    <s v="R026"/>
    <x v="0"/>
    <s v="Retail"/>
    <n v="64"/>
    <x v="2"/>
  </r>
  <r>
    <s v="ORD-00874"/>
    <n v="45430"/>
    <n v="226.5"/>
    <s v="R008"/>
    <x v="4"/>
    <s v="Retail"/>
    <n v="44"/>
    <x v="0"/>
  </r>
  <r>
    <s v="ORD-00875"/>
    <n v="45654"/>
    <n v="14938.5"/>
    <s v="R029"/>
    <x v="5"/>
    <s v="SMB"/>
    <n v="51"/>
    <x v="2"/>
  </r>
  <r>
    <s v="ORD-00876"/>
    <n v="45397"/>
    <n v="20474.72"/>
    <s v="R027"/>
    <x v="0"/>
    <s v="Retail"/>
    <n v="38"/>
    <x v="2"/>
  </r>
  <r>
    <s v="ORD-00877"/>
    <n v="45505"/>
    <n v="18046.5"/>
    <s v="R010"/>
    <x v="2"/>
    <s v="Retail"/>
    <n v="36"/>
    <x v="1"/>
  </r>
  <r>
    <s v="ORD-00878"/>
    <n v="45386"/>
    <n v="9615.2000000000007"/>
    <s v="R024"/>
    <x v="0"/>
    <s v="Corporate"/>
    <n v="42"/>
    <x v="2"/>
  </r>
  <r>
    <s v="ORD-00879"/>
    <n v="45499"/>
    <n v="33237.54"/>
    <s v="R022"/>
    <x v="2"/>
    <s v="Retail"/>
    <n v="31"/>
    <x v="3"/>
  </r>
  <r>
    <s v="ORD-00880"/>
    <n v="45636"/>
    <n v="32337.9"/>
    <s v="R014"/>
    <x v="2"/>
    <s v="Retail"/>
    <n v="34"/>
    <x v="1"/>
  </r>
  <r>
    <s v="ORD-00881"/>
    <n v="45517"/>
    <n v="26523.599999999999"/>
    <s v="R012"/>
    <x v="2"/>
    <s v="Retail"/>
    <n v="44"/>
    <x v="1"/>
  </r>
  <r>
    <s v="ORD-00882"/>
    <n v="45593"/>
    <n v="8488.7999999999993"/>
    <s v="R021"/>
    <x v="3"/>
    <s v="Retail"/>
    <n v="37"/>
    <x v="3"/>
  </r>
  <r>
    <s v="ORD-00883"/>
    <n v="45497"/>
    <n v="21396.959999999999"/>
    <s v="R023"/>
    <x v="3"/>
    <s v="Corporate"/>
    <n v="42"/>
    <x v="3"/>
  </r>
  <r>
    <s v="ORD-00884"/>
    <n v="45293"/>
    <n v="3503.84"/>
    <s v="R030"/>
    <x v="5"/>
    <s v="Retail"/>
    <n v="56"/>
    <x v="2"/>
  </r>
  <r>
    <s v="ORD-00885"/>
    <n v="45562"/>
    <n v="1638.94"/>
    <s v="R027"/>
    <x v="2"/>
    <s v="SMB"/>
    <n v="36"/>
    <x v="2"/>
  </r>
  <r>
    <s v="ORD-00886"/>
    <n v="45638"/>
    <n v="33228.9"/>
    <s v="R019"/>
    <x v="4"/>
    <s v="SMB"/>
    <n v="55"/>
    <x v="3"/>
  </r>
  <r>
    <s v="ORD-00887"/>
    <n v="45408"/>
    <n v="41447.699999999997"/>
    <s v="R003"/>
    <x v="5"/>
    <s v="Retail"/>
    <n v="52"/>
    <x v="0"/>
  </r>
  <r>
    <s v="ORD-00888"/>
    <n v="45498"/>
    <n v="1364.96"/>
    <s v="R005"/>
    <x v="1"/>
    <s v="SMB"/>
    <n v="29"/>
    <x v="0"/>
  </r>
  <r>
    <s v="ORD-00889"/>
    <n v="45649"/>
    <n v="5739.52"/>
    <s v="R026"/>
    <x v="5"/>
    <s v="Retail"/>
    <n v="42"/>
    <x v="2"/>
  </r>
  <r>
    <s v="ORD-00890"/>
    <n v="45484"/>
    <n v="5650.56"/>
    <s v="R020"/>
    <x v="1"/>
    <s v="Retail"/>
    <n v="39"/>
    <x v="3"/>
  </r>
  <r>
    <s v="ORD-00891"/>
    <n v="45316"/>
    <n v="10014.620000000001"/>
    <s v="R004"/>
    <x v="5"/>
    <s v="SMB"/>
    <n v="48"/>
    <x v="0"/>
  </r>
  <r>
    <s v="ORD-00892"/>
    <n v="45328"/>
    <n v="2616"/>
    <s v="R011"/>
    <x v="4"/>
    <s v="Retail"/>
    <n v="54"/>
    <x v="1"/>
  </r>
  <r>
    <s v="ORD-00893"/>
    <n v="45456"/>
    <n v="14347.2"/>
    <s v="R011"/>
    <x v="5"/>
    <s v="SMB"/>
    <n v="48"/>
    <x v="1"/>
  </r>
  <r>
    <s v="ORD-00894"/>
    <n v="45589"/>
    <n v="543.9"/>
    <s v="R003"/>
    <x v="3"/>
    <s v="Retail"/>
    <n v="54"/>
    <x v="0"/>
  </r>
  <r>
    <s v="ORD-00895"/>
    <n v="45593"/>
    <n v="9722.49"/>
    <s v="R002"/>
    <x v="3"/>
    <s v="SMB"/>
    <n v="44"/>
    <x v="0"/>
  </r>
  <r>
    <s v="ORD-00896"/>
    <n v="45539"/>
    <n v="10218"/>
    <s v="R013"/>
    <x v="4"/>
    <s v="Retail"/>
    <n v="35"/>
    <x v="1"/>
  </r>
  <r>
    <s v="ORD-00600"/>
    <n v="45436"/>
    <n v="9235.4"/>
    <s v="R025"/>
    <x v="4"/>
    <s v="Retail"/>
    <n v="48"/>
    <x v="2"/>
  </r>
  <r>
    <s v="ORD-00898"/>
    <n v="45646"/>
    <n v="13570.7"/>
    <s v="R015"/>
    <x v="4"/>
    <s v="Unknown"/>
    <s v=""/>
    <x v="1"/>
  </r>
  <r>
    <s v="ORD-00899"/>
    <n v="45478"/>
    <n v="36356"/>
    <s v="R030"/>
    <x v="5"/>
    <s v="Retail"/>
    <n v="41"/>
    <x v="2"/>
  </r>
  <r>
    <s v="ORD-00900"/>
    <n v="45518"/>
    <n v="28600.32"/>
    <s v="R028"/>
    <x v="5"/>
    <s v="SMB"/>
    <n v="31"/>
    <x v="2"/>
  </r>
  <r>
    <s v="ORD-00901"/>
    <n v="45319"/>
    <n v="7184.58"/>
    <s v="R013"/>
    <x v="5"/>
    <s v="Corporate"/>
    <n v="34"/>
    <x v="1"/>
  </r>
  <r>
    <s v="ORD-00902"/>
    <n v="45445"/>
    <n v="19241.28"/>
    <s v="R013"/>
    <x v="0"/>
    <s v="Corporate"/>
    <n v="59"/>
    <x v="1"/>
  </r>
  <r>
    <s v="ORD-00903"/>
    <n v="45417"/>
    <n v="34129.199999999997"/>
    <s v="R025"/>
    <x v="4"/>
    <s v="SMB"/>
    <n v="55"/>
    <x v="2"/>
  </r>
  <r>
    <s v="ORD-00904"/>
    <n v="45309"/>
    <n v="6583.68"/>
    <s v="R014"/>
    <x v="3"/>
    <s v="SMB"/>
    <n v="47"/>
    <x v="1"/>
  </r>
  <r>
    <s v="ORD-00905"/>
    <n v="45367"/>
    <n v="7194"/>
    <s v="R011"/>
    <x v="3"/>
    <s v="Retail"/>
    <n v="37"/>
    <x v="1"/>
  </r>
  <r>
    <s v="ORD-00906"/>
    <n v="45615"/>
    <n v="22153.88"/>
    <s v="R027"/>
    <x v="0"/>
    <s v="SMB"/>
    <n v="51"/>
    <x v="2"/>
  </r>
  <r>
    <s v="ORD-00907"/>
    <n v="45499"/>
    <n v="945.06"/>
    <s v="R022"/>
    <x v="1"/>
    <s v="SMB"/>
    <n v="54"/>
    <x v="3"/>
  </r>
  <r>
    <s v="ORD-00908"/>
    <n v="45356"/>
    <n v="28249.48"/>
    <s v="R025"/>
    <x v="2"/>
    <s v="Retail"/>
    <n v="24"/>
    <x v="2"/>
  </r>
  <r>
    <s v="ORD-00909"/>
    <n v="45346"/>
    <n v="18089.64"/>
    <s v="R021"/>
    <x v="3"/>
    <s v="Corporate"/>
    <n v="40"/>
    <x v="3"/>
  </r>
  <r>
    <s v="ORD-00910"/>
    <n v="45640"/>
    <n v="11916.96"/>
    <s v="R020"/>
    <x v="2"/>
    <s v="Corporate"/>
    <n v="22"/>
    <x v="3"/>
  </r>
  <r>
    <s v="ORD-00911"/>
    <n v="45633"/>
    <n v="12785.84"/>
    <s v="R004"/>
    <x v="0"/>
    <s v="Retail"/>
    <n v="27"/>
    <x v="0"/>
  </r>
  <r>
    <s v="ORD-00912"/>
    <n v="45430"/>
    <n v="8968.23"/>
    <s v="R030"/>
    <x v="4"/>
    <s v="SMB"/>
    <n v="57"/>
    <x v="2"/>
  </r>
  <r>
    <s v="ORD-00913"/>
    <n v="45355"/>
    <n v="3864.48"/>
    <s v="R028"/>
    <x v="2"/>
    <s v="Corporate"/>
    <n v="42"/>
    <x v="2"/>
  </r>
  <r>
    <s v="ORD-00914"/>
    <n v="45379"/>
    <n v="1893.12"/>
    <s v="R023"/>
    <x v="1"/>
    <s v="Retail"/>
    <n v="29"/>
    <x v="3"/>
  </r>
  <r>
    <s v="ORD-00915"/>
    <n v="45375"/>
    <n v="1671.6"/>
    <s v="R016"/>
    <x v="4"/>
    <s v="Retail"/>
    <n v="54"/>
    <x v="1"/>
  </r>
  <r>
    <s v="ORD-00916"/>
    <n v="45397"/>
    <n v="20342.400000000001"/>
    <s v="R014"/>
    <x v="4"/>
    <s v="Retail"/>
    <n v="46"/>
    <x v="1"/>
  </r>
  <r>
    <s v="ORD-00917"/>
    <n v="45571"/>
    <n v="609.02"/>
    <s v="R008"/>
    <x v="3"/>
    <s v="Retail"/>
    <n v="49"/>
    <x v="0"/>
  </r>
  <r>
    <s v="ORD-00918"/>
    <n v="45455"/>
    <n v="12447.6"/>
    <s v="R026"/>
    <x v="5"/>
    <s v="Corporate"/>
    <n v="55"/>
    <x v="2"/>
  </r>
  <r>
    <s v="ORD-00919"/>
    <n v="45486"/>
    <n v="2336.16"/>
    <s v="R020"/>
    <x v="0"/>
    <s v="SMB"/>
    <n v="29"/>
    <x v="3"/>
  </r>
  <r>
    <s v="ORD-00920"/>
    <n v="45329"/>
    <n v="17439.900000000001"/>
    <s v="R019"/>
    <x v="2"/>
    <s v="Corporate"/>
    <n v="60"/>
    <x v="3"/>
  </r>
  <r>
    <s v="ORD-00921"/>
    <n v="45315"/>
    <n v="10556.7"/>
    <s v="R023"/>
    <x v="5"/>
    <s v="Retail"/>
    <n v="26"/>
    <x v="3"/>
  </r>
  <r>
    <s v="ORD-00922"/>
    <n v="45473"/>
    <n v="973.56"/>
    <s v="R025"/>
    <x v="1"/>
    <s v="Corporate"/>
    <n v="56"/>
    <x v="2"/>
  </r>
  <r>
    <s v="ORD-00923"/>
    <n v="45546"/>
    <n v="10680.35"/>
    <s v="R001"/>
    <x v="2"/>
    <s v="Corporate"/>
    <n v="40"/>
    <x v="0"/>
  </r>
  <r>
    <s v="ORD-00924"/>
    <n v="45625"/>
    <n v="1931.77"/>
    <s v="R011"/>
    <x v="2"/>
    <s v="Retail"/>
    <n v="61"/>
    <x v="1"/>
  </r>
  <r>
    <s v="ORD-00925"/>
    <n v="45579"/>
    <n v="12185.4"/>
    <s v="R018"/>
    <x v="0"/>
    <s v="Retail"/>
    <n v="52"/>
    <x v="3"/>
  </r>
  <r>
    <s v="ORD-00926"/>
    <n v="45323"/>
    <n v="17165.68"/>
    <s v="R028"/>
    <x v="5"/>
    <s v="Retail"/>
    <n v="44"/>
    <x v="2"/>
  </r>
  <r>
    <s v="ORD-00927"/>
    <n v="45613"/>
    <n v="6033.16"/>
    <s v="R016"/>
    <x v="3"/>
    <s v="Retail"/>
    <n v="47"/>
    <x v="1"/>
  </r>
  <r>
    <s v="ORD-00928"/>
    <n v="45362"/>
    <n v="13261.8"/>
    <s v="R014"/>
    <x v="0"/>
    <s v="Retail"/>
    <n v="38"/>
    <x v="1"/>
  </r>
  <r>
    <s v="ORD-00929"/>
    <n v="45347"/>
    <n v="4416"/>
    <s v="R028"/>
    <x v="5"/>
    <s v="Retail"/>
    <n v="44"/>
    <x v="2"/>
  </r>
  <r>
    <s v="ORD-00930"/>
    <n v="45550"/>
    <n v="24538.57"/>
    <s v="R001"/>
    <x v="4"/>
    <s v="Retail"/>
    <n v="52"/>
    <x v="0"/>
  </r>
  <r>
    <s v="ORD-00931"/>
    <n v="45554"/>
    <n v="14607"/>
    <s v="R026"/>
    <x v="1"/>
    <s v="Corporate"/>
    <n v="46"/>
    <x v="2"/>
  </r>
  <r>
    <s v="ORD-00932"/>
    <n v="45428"/>
    <n v="26132.400000000001"/>
    <s v="R007"/>
    <x v="4"/>
    <s v="Corporate"/>
    <n v="37"/>
    <x v="0"/>
  </r>
  <r>
    <s v="ORD-00933"/>
    <n v="45517"/>
    <n v="13267.8"/>
    <s v="R014"/>
    <x v="4"/>
    <s v="SMB"/>
    <n v="54"/>
    <x v="1"/>
  </r>
  <r>
    <s v="ORD-00934"/>
    <n v="45442"/>
    <n v="2752.32"/>
    <s v="R026"/>
    <x v="1"/>
    <s v="Corporate"/>
    <n v="55"/>
    <x v="2"/>
  </r>
  <r>
    <s v="ORD-00935"/>
    <n v="45371"/>
    <n v="1321.17"/>
    <s v="R025"/>
    <x v="1"/>
    <s v="Retail"/>
    <n v="29"/>
    <x v="2"/>
  </r>
  <r>
    <s v="ORD-00936"/>
    <n v="45540"/>
    <n v="9140.0400000000009"/>
    <s v="R004"/>
    <x v="1"/>
    <s v="SMB"/>
    <n v="51"/>
    <x v="0"/>
  </r>
  <r>
    <s v="ORD-00937"/>
    <n v="45392"/>
    <n v="30327.8"/>
    <s v="R019"/>
    <x v="1"/>
    <s v="Retail"/>
    <n v="56"/>
    <x v="3"/>
  </r>
  <r>
    <s v="ORD-00938"/>
    <n v="45386"/>
    <n v="6927.3"/>
    <s v="R030"/>
    <x v="4"/>
    <s v="Retail"/>
    <n v="22"/>
    <x v="2"/>
  </r>
  <r>
    <s v="ORD-00939"/>
    <n v="45516"/>
    <n v="30988.48"/>
    <s v="R014"/>
    <x v="1"/>
    <s v="Corporate"/>
    <n v="41"/>
    <x v="1"/>
  </r>
  <r>
    <s v="ORD-00940"/>
    <n v="45618"/>
    <n v="24371.83"/>
    <s v="R030"/>
    <x v="4"/>
    <s v="Corporate"/>
    <n v="47"/>
    <x v="2"/>
  </r>
  <r>
    <s v="ORD-00941"/>
    <n v="45610"/>
    <n v="34179.5"/>
    <s v="R001"/>
    <x v="1"/>
    <s v="Retail"/>
    <n v="53"/>
    <x v="0"/>
  </r>
  <r>
    <s v="ORD-00942"/>
    <n v="45541"/>
    <n v="21589.119999999999"/>
    <s v="R006"/>
    <x v="0"/>
    <s v="Corporate"/>
    <n v="55"/>
    <x v="0"/>
  </r>
  <r>
    <s v="ORD-00943"/>
    <n v="45497"/>
    <n v="1507.16"/>
    <s v="R024"/>
    <x v="0"/>
    <s v="Corporate"/>
    <n v="43"/>
    <x v="2"/>
  </r>
  <r>
    <s v="ORD-00944"/>
    <n v="45567"/>
    <n v="2534.84"/>
    <s v="R030"/>
    <x v="5"/>
    <s v="SMB"/>
    <n v="34"/>
    <x v="2"/>
  </r>
  <r>
    <s v="ORD-00945"/>
    <n v="45451"/>
    <n v="33978.6"/>
    <s v="R001"/>
    <x v="4"/>
    <s v="Retail"/>
    <n v="29"/>
    <x v="0"/>
  </r>
  <r>
    <s v="ORD-00946"/>
    <n v="45488"/>
    <n v="17744.86"/>
    <s v="R002"/>
    <x v="4"/>
    <s v="Retail"/>
    <n v="50"/>
    <x v="0"/>
  </r>
  <r>
    <s v="ORD-00947"/>
    <n v="45431"/>
    <n v="11523.96"/>
    <s v="R009"/>
    <x v="4"/>
    <s v="SMB"/>
    <n v="51"/>
    <x v="1"/>
  </r>
  <r>
    <s v="ORD-00948"/>
    <n v="45393"/>
    <n v="3954.44"/>
    <s v="R002"/>
    <x v="3"/>
    <s v="SMB"/>
    <n v="52"/>
    <x v="0"/>
  </r>
  <r>
    <s v="ORD-00949"/>
    <n v="45427"/>
    <n v="14068.32"/>
    <s v="R013"/>
    <x v="0"/>
    <s v="Corporate"/>
    <n v="43"/>
    <x v="1"/>
  </r>
  <r>
    <s v="ORD-00950"/>
    <n v="45591"/>
    <n v="19913.599999999999"/>
    <s v="R014"/>
    <x v="3"/>
    <s v="SMB"/>
    <n v="55"/>
    <x v="1"/>
  </r>
  <r>
    <s v="ORD-00951"/>
    <n v="45327"/>
    <n v="20327.400000000001"/>
    <s v="R010"/>
    <x v="5"/>
    <s v="Corporate"/>
    <n v="37"/>
    <x v="1"/>
  </r>
  <r>
    <s v="ORD-00952"/>
    <n v="45575"/>
    <n v="9863.5499999999993"/>
    <s v="R016"/>
    <x v="1"/>
    <s v="Retail"/>
    <n v="39"/>
    <x v="1"/>
  </r>
  <r>
    <s v="ORD-00953"/>
    <n v="45367"/>
    <n v="31191.16"/>
    <s v="R027"/>
    <x v="4"/>
    <s v="Retail"/>
    <n v="26"/>
    <x v="2"/>
  </r>
  <r>
    <s v="ORD-00954"/>
    <n v="45522"/>
    <n v="11522.94"/>
    <s v="R003"/>
    <x v="2"/>
    <s v="Retail"/>
    <n v="52"/>
    <x v="0"/>
  </r>
  <r>
    <s v="ORD-00955"/>
    <n v="45579"/>
    <n v="7888.32"/>
    <s v="R026"/>
    <x v="3"/>
    <s v="Retail"/>
    <n v="41"/>
    <x v="2"/>
  </r>
  <r>
    <s v="ORD-00956"/>
    <n v="45495"/>
    <n v="15185.9"/>
    <s v="R015"/>
    <x v="0"/>
    <s v="SMB"/>
    <n v="44"/>
    <x v="1"/>
  </r>
  <r>
    <s v="ORD-00957"/>
    <n v="45483"/>
    <n v="22801.8"/>
    <s v="R011"/>
    <x v="0"/>
    <s v="Retail"/>
    <n v="36"/>
    <x v="1"/>
  </r>
  <r>
    <s v="ORD-00958"/>
    <n v="45496"/>
    <n v="13300.56"/>
    <s v="R025"/>
    <x v="3"/>
    <s v="Retail"/>
    <n v="41"/>
    <x v="2"/>
  </r>
  <r>
    <s v="ORD-00959"/>
    <n v="45350"/>
    <n v="15328.5"/>
    <s v="R011"/>
    <x v="5"/>
    <s v="SMB"/>
    <n v="51"/>
    <x v="1"/>
  </r>
  <r>
    <s v="ORD-00960"/>
    <n v="45517"/>
    <n v="9096.9599999999991"/>
    <s v="R017"/>
    <x v="2"/>
    <s v="SMB"/>
    <n v="65"/>
    <x v="3"/>
  </r>
  <r>
    <s v="ORD-00961"/>
    <n v="45460"/>
    <n v="15197.16"/>
    <s v="R009"/>
    <x v="4"/>
    <s v="Corporate"/>
    <n v="47"/>
    <x v="1"/>
  </r>
  <r>
    <s v="ORD-00962"/>
    <n v="45509"/>
    <n v="9265.92"/>
    <s v="R010"/>
    <x v="5"/>
    <s v="SMB"/>
    <n v="49"/>
    <x v="1"/>
  </r>
  <r>
    <s v="ORD-00963"/>
    <n v="45602"/>
    <n v="6455.88"/>
    <s v="R004"/>
    <x v="2"/>
    <s v="Retail"/>
    <n v="43"/>
    <x v="0"/>
  </r>
  <r>
    <s v="ORD-00964"/>
    <n v="45441"/>
    <n v="29298.6"/>
    <s v="R004"/>
    <x v="4"/>
    <s v="Corporate"/>
    <n v="47"/>
    <x v="0"/>
  </r>
  <r>
    <s v="ORD-00965"/>
    <n v="45378"/>
    <n v="19971.599999999999"/>
    <s v="R013"/>
    <x v="5"/>
    <s v="Retail"/>
    <n v="26"/>
    <x v="1"/>
  </r>
  <r>
    <s v="ORD-00966"/>
    <n v="45428"/>
    <n v="12487.7"/>
    <s v="R024"/>
    <x v="5"/>
    <s v="Corporate"/>
    <n v="33"/>
    <x v="2"/>
  </r>
  <r>
    <s v="ORD-00967"/>
    <n v="45521"/>
    <n v="7580.16"/>
    <s v="R016"/>
    <x v="1"/>
    <s v="Retail"/>
    <n v="37"/>
    <x v="1"/>
  </r>
  <r>
    <s v="ORD-00968"/>
    <n v="45612"/>
    <n v="18838.080000000002"/>
    <s v="R008"/>
    <x v="0"/>
    <s v="SMB"/>
    <n v="65"/>
    <x v="0"/>
  </r>
  <r>
    <s v="ORD-00969"/>
    <n v="45566"/>
    <n v="728.47"/>
    <s v="R012"/>
    <x v="2"/>
    <s v="Unknown"/>
    <s v=""/>
    <x v="1"/>
  </r>
  <r>
    <s v="ORD-00970"/>
    <n v="45606"/>
    <n v="8615.6"/>
    <s v="R022"/>
    <x v="2"/>
    <s v="SMB"/>
    <n v="53"/>
    <x v="3"/>
  </r>
  <r>
    <s v="ORD-00971"/>
    <n v="45423"/>
    <n v="17593.32"/>
    <s v="R005"/>
    <x v="1"/>
    <s v="Retail"/>
    <n v="60"/>
    <x v="0"/>
  </r>
  <r>
    <s v="ORD-00972"/>
    <n v="45573"/>
    <n v="33248.6"/>
    <s v="R022"/>
    <x v="3"/>
    <s v="Retail"/>
    <n v="28"/>
    <x v="3"/>
  </r>
  <r>
    <s v="ORD-00973"/>
    <n v="45339"/>
    <n v="5734.3"/>
    <s v="R025"/>
    <x v="4"/>
    <s v="Retail"/>
    <n v="39"/>
    <x v="2"/>
  </r>
  <r>
    <s v="ORD-00974"/>
    <n v="45611"/>
    <n v="3820.74"/>
    <s v="R011"/>
    <x v="3"/>
    <s v="SMB"/>
    <n v="38"/>
    <x v="1"/>
  </r>
  <r>
    <s v="ORD-00975"/>
    <n v="45505"/>
    <n v="12705"/>
    <s v="R004"/>
    <x v="5"/>
    <s v="Retail"/>
    <n v="36"/>
    <x v="0"/>
  </r>
  <r>
    <s v="ORD-01662"/>
    <n v="45358"/>
    <n v="16773.900000000001"/>
    <s v="R003"/>
    <x v="2"/>
    <s v="SMB"/>
    <n v="48"/>
    <x v="0"/>
  </r>
  <r>
    <s v="ORD-00977"/>
    <n v="45519"/>
    <n v="3325.44"/>
    <s v="R022"/>
    <x v="1"/>
    <s v="Retail"/>
    <n v="44"/>
    <x v="3"/>
  </r>
  <r>
    <s v="ORD-00978"/>
    <n v="45628"/>
    <n v="26578.799999999999"/>
    <s v="R022"/>
    <x v="5"/>
    <s v="Retail"/>
    <n v="38"/>
    <x v="3"/>
  </r>
  <r>
    <s v="ORD-00979"/>
    <n v="45481"/>
    <n v="11022.9"/>
    <s v="R005"/>
    <x v="3"/>
    <s v="Unknown"/>
    <s v=""/>
    <x v="0"/>
  </r>
  <r>
    <s v="ORD-00980"/>
    <n v="45399"/>
    <n v="17339.7"/>
    <s v="R009"/>
    <x v="0"/>
    <s v="SMB"/>
    <n v="24"/>
    <x v="1"/>
  </r>
  <r>
    <s v="ORD-00981"/>
    <n v="45531"/>
    <n v="22464.54"/>
    <s v="R011"/>
    <x v="2"/>
    <s v="Retail"/>
    <n v="49"/>
    <x v="1"/>
  </r>
  <r>
    <s v="ORD-00947"/>
    <n v="45417"/>
    <n v="9406.08"/>
    <s v="R002"/>
    <x v="2"/>
    <s v="Retail"/>
    <n v="50"/>
    <x v="0"/>
  </r>
  <r>
    <s v="ORD-00983"/>
    <n v="45327"/>
    <n v="5303.76"/>
    <s v="R029"/>
    <x v="5"/>
    <s v="Retail"/>
    <n v="31"/>
    <x v="2"/>
  </r>
  <r>
    <s v="ORD-00984"/>
    <n v="45438"/>
    <n v="6288.78"/>
    <s v="R007"/>
    <x v="3"/>
    <s v="Retail"/>
    <n v="27"/>
    <x v="0"/>
  </r>
  <r>
    <s v="ORD-00985"/>
    <n v="45577"/>
    <n v="14606.68"/>
    <s v="R027"/>
    <x v="3"/>
    <s v="Retail"/>
    <n v="52"/>
    <x v="2"/>
  </r>
  <r>
    <s v="ORD-00986"/>
    <n v="45457"/>
    <n v="2218.3200000000002"/>
    <s v="R013"/>
    <x v="0"/>
    <s v="Retail"/>
    <n v="62"/>
    <x v="1"/>
  </r>
  <r>
    <s v="ORD-00987"/>
    <n v="45544"/>
    <n v="18899.37"/>
    <s v="R022"/>
    <x v="5"/>
    <s v="Retail"/>
    <n v="53"/>
    <x v="3"/>
  </r>
  <r>
    <s v="ORD-00988"/>
    <n v="45632"/>
    <n v="7337.52"/>
    <s v="R013"/>
    <x v="4"/>
    <s v="Corporate"/>
    <n v="48"/>
    <x v="1"/>
  </r>
  <r>
    <s v="ORD-00989"/>
    <n v="45465"/>
    <n v="14297.85"/>
    <s v="R007"/>
    <x v="4"/>
    <s v="Retail"/>
    <n v="55"/>
    <x v="0"/>
  </r>
  <r>
    <s v="ORD-00990"/>
    <n v="45342"/>
    <n v="4938.8999999999996"/>
    <s v="R001"/>
    <x v="1"/>
    <s v="Retail"/>
    <n v="38"/>
    <x v="0"/>
  </r>
  <r>
    <s v="ORD-00991"/>
    <n v="45309"/>
    <n v="19052.8"/>
    <s v="R004"/>
    <x v="5"/>
    <s v="Corporate"/>
    <n v="51"/>
    <x v="0"/>
  </r>
  <r>
    <s v="ORD-00992"/>
    <n v="45493"/>
    <n v="12004.44"/>
    <s v="R019"/>
    <x v="3"/>
    <s v="Corporate"/>
    <n v="52"/>
    <x v="3"/>
  </r>
  <r>
    <s v="ORD-00993"/>
    <n v="45356"/>
    <n v="2085.81"/>
    <s v="R003"/>
    <x v="0"/>
    <s v="Corporate"/>
    <n v="37"/>
    <x v="0"/>
  </r>
  <r>
    <s v="ORD-00994"/>
    <n v="45367"/>
    <n v="2213.66"/>
    <s v="R009"/>
    <x v="5"/>
    <s v="SMB"/>
    <n v="27"/>
    <x v="1"/>
  </r>
  <r>
    <s v="ORD-00995"/>
    <n v="45313"/>
    <n v="1059.06"/>
    <s v="R012"/>
    <x v="1"/>
    <s v="Retail"/>
    <n v="62"/>
    <x v="1"/>
  </r>
  <r>
    <s v="ORD-00996"/>
    <n v="45529"/>
    <n v="10535.7"/>
    <s v="R002"/>
    <x v="3"/>
    <s v="Retail"/>
    <n v="36"/>
    <x v="0"/>
  </r>
  <r>
    <s v="ORD-00997"/>
    <n v="45547"/>
    <n v="29672.5"/>
    <s v="R012"/>
    <x v="3"/>
    <s v="Retail"/>
    <n v="52"/>
    <x v="1"/>
  </r>
  <r>
    <s v="ORD-00998"/>
    <n v="45299"/>
    <n v="12916.89"/>
    <s v="R029"/>
    <x v="3"/>
    <s v="Retail"/>
    <n v="65"/>
    <x v="2"/>
  </r>
  <r>
    <s v="ORD-00999"/>
    <n v="45380"/>
    <n v="2072.98"/>
    <s v="R025"/>
    <x v="2"/>
    <s v="SMB"/>
    <n v="47"/>
    <x v="2"/>
  </r>
  <r>
    <s v="ORD-01000"/>
    <n v="45521"/>
    <n v="28117.5"/>
    <s v="R024"/>
    <x v="0"/>
    <s v="Retail"/>
    <n v="38"/>
    <x v="2"/>
  </r>
  <r>
    <s v="ORD-01001"/>
    <n v="45500"/>
    <n v="23289.200000000001"/>
    <s v="R002"/>
    <x v="0"/>
    <s v="Corporate"/>
    <n v="29"/>
    <x v="0"/>
  </r>
  <r>
    <s v="ORD-01002"/>
    <n v="45531"/>
    <n v="42437.7"/>
    <s v="R026"/>
    <x v="3"/>
    <s v="Retail"/>
    <n v="60"/>
    <x v="2"/>
  </r>
  <r>
    <s v="ORD-01003"/>
    <n v="45563"/>
    <n v="19608.16"/>
    <s v="R006"/>
    <x v="1"/>
    <s v="SMB"/>
    <n v="46"/>
    <x v="0"/>
  </r>
  <r>
    <s v="ORD-01004"/>
    <n v="45416"/>
    <n v="845.76"/>
    <s v="R011"/>
    <x v="5"/>
    <s v="Retail"/>
    <n v="34"/>
    <x v="1"/>
  </r>
  <r>
    <s v="ORD-01005"/>
    <n v="45430"/>
    <n v="2397.6"/>
    <s v="R007"/>
    <x v="3"/>
    <s v="Retail"/>
    <n v="32"/>
    <x v="0"/>
  </r>
  <r>
    <s v="ORD-01006"/>
    <n v="45585"/>
    <n v="24853.4"/>
    <s v="R001"/>
    <x v="1"/>
    <s v="SMB"/>
    <n v="54"/>
    <x v="0"/>
  </r>
  <r>
    <s v="ORD-01007"/>
    <n v="45630"/>
    <n v="8932.56"/>
    <s v="R001"/>
    <x v="0"/>
    <s v="Retail"/>
    <n v="34"/>
    <x v="0"/>
  </r>
  <r>
    <s v="ORD-01008"/>
    <n v="45405"/>
    <n v="7866.24"/>
    <s v="R018"/>
    <x v="0"/>
    <s v="SMB"/>
    <n v="40"/>
    <x v="3"/>
  </r>
  <r>
    <s v="ORD-01009"/>
    <n v="45630"/>
    <n v="7409.28"/>
    <s v="R008"/>
    <x v="2"/>
    <s v="SMB"/>
    <n v="48"/>
    <x v="0"/>
  </r>
  <r>
    <s v="ORD-01010"/>
    <n v="45483"/>
    <n v="5252.1"/>
    <s v="R029"/>
    <x v="4"/>
    <s v="SMB"/>
    <n v="25"/>
    <x v="2"/>
  </r>
  <r>
    <s v="ORD-01011"/>
    <n v="45530"/>
    <n v="17466.240000000002"/>
    <s v="R015"/>
    <x v="4"/>
    <s v="Retail"/>
    <n v="29"/>
    <x v="1"/>
  </r>
  <r>
    <s v="ORD-01012"/>
    <n v="45500"/>
    <n v="698.4"/>
    <s v="R015"/>
    <x v="2"/>
    <s v="SMB"/>
    <n v="44"/>
    <x v="1"/>
  </r>
  <r>
    <s v="ORD-01013"/>
    <n v="45358"/>
    <n v="29213.360000000001"/>
    <s v="R025"/>
    <x v="3"/>
    <s v="Retail"/>
    <n v="44"/>
    <x v="2"/>
  </r>
  <r>
    <s v="ORD-01014"/>
    <n v="45598"/>
    <n v="5058.55"/>
    <s v="R024"/>
    <x v="2"/>
    <s v="Retail"/>
    <n v="31"/>
    <x v="2"/>
  </r>
  <r>
    <s v="ORD-01015"/>
    <n v="45318"/>
    <n v="19299.419999999998"/>
    <s v="R022"/>
    <x v="4"/>
    <s v="SMB"/>
    <n v="28"/>
    <x v="3"/>
  </r>
  <r>
    <s v="ORD-01016"/>
    <n v="45524"/>
    <n v="4679.28"/>
    <s v="R016"/>
    <x v="2"/>
    <s v="Retail"/>
    <n v="26"/>
    <x v="1"/>
  </r>
  <r>
    <s v="ORD-01017"/>
    <n v="45554"/>
    <n v="22226.400000000001"/>
    <s v="R011"/>
    <x v="1"/>
    <s v="SMB"/>
    <n v="50"/>
    <x v="1"/>
  </r>
  <r>
    <s v="ORD-01018"/>
    <n v="45528"/>
    <n v="14198.4"/>
    <s v="R011"/>
    <x v="1"/>
    <s v="Retail"/>
    <n v="28"/>
    <x v="1"/>
  </r>
  <r>
    <s v="ORD-01019"/>
    <n v="45486"/>
    <n v="26227.5"/>
    <s v="R021"/>
    <x v="3"/>
    <s v="SMB"/>
    <n v="38"/>
    <x v="3"/>
  </r>
  <r>
    <s v="ORD-01020"/>
    <n v="45336"/>
    <n v="14760.48"/>
    <s v="R014"/>
    <x v="2"/>
    <s v="Retail"/>
    <n v="44"/>
    <x v="1"/>
  </r>
  <r>
    <s v="ORD-01021"/>
    <n v="45463"/>
    <n v="7893.27"/>
    <s v="R001"/>
    <x v="4"/>
    <s v="SMB"/>
    <n v="64"/>
    <x v="0"/>
  </r>
  <r>
    <s v="ORD-01022"/>
    <n v="45392"/>
    <n v="13592.88"/>
    <s v="R015"/>
    <x v="2"/>
    <s v="Retail"/>
    <n v="26"/>
    <x v="1"/>
  </r>
  <r>
    <s v="ORD-01023"/>
    <n v="45600"/>
    <n v="13770.9"/>
    <s v="R019"/>
    <x v="4"/>
    <s v="Retail"/>
    <n v="61"/>
    <x v="3"/>
  </r>
  <r>
    <s v="ORD-01024"/>
    <n v="45411"/>
    <n v="12544.02"/>
    <s v="R011"/>
    <x v="2"/>
    <s v="SMB"/>
    <n v="29"/>
    <x v="1"/>
  </r>
  <r>
    <s v="ORD-01025"/>
    <n v="45406"/>
    <n v="940.31"/>
    <s v="R013"/>
    <x v="1"/>
    <s v="Corporate"/>
    <n v="52"/>
    <x v="1"/>
  </r>
  <r>
    <s v="ORD-01026"/>
    <n v="45411"/>
    <n v="4570.28"/>
    <s v="R014"/>
    <x v="1"/>
    <s v="SMB"/>
    <n v="40"/>
    <x v="1"/>
  </r>
  <r>
    <s v="ORD-01027"/>
    <n v="45461"/>
    <n v="19679.400000000001"/>
    <s v="R019"/>
    <x v="4"/>
    <s v="Corporate"/>
    <n v="44"/>
    <x v="3"/>
  </r>
  <r>
    <s v="ORD-01028"/>
    <n v="45409"/>
    <n v="3614.3"/>
    <s v="R024"/>
    <x v="1"/>
    <s v="Retail"/>
    <n v="57"/>
    <x v="2"/>
  </r>
  <r>
    <s v="ORD-01029"/>
    <n v="45495"/>
    <n v="5979.6"/>
    <s v="R013"/>
    <x v="3"/>
    <s v="Retail"/>
    <n v="32"/>
    <x v="1"/>
  </r>
  <r>
    <s v="ORD-01030"/>
    <n v="45307"/>
    <n v="4678.7"/>
    <s v="R023"/>
    <x v="4"/>
    <s v="SMB"/>
    <n v="49"/>
    <x v="3"/>
  </r>
  <r>
    <s v="ORD-01031"/>
    <n v="45294"/>
    <n v="23517"/>
    <s v="R011"/>
    <x v="3"/>
    <s v="SMB"/>
    <n v="48"/>
    <x v="1"/>
  </r>
  <r>
    <s v="ORD-01032"/>
    <n v="45542"/>
    <n v="3081.4"/>
    <s v="R018"/>
    <x v="0"/>
    <s v="Retail"/>
    <n v="36"/>
    <x v="3"/>
  </r>
  <r>
    <s v="ORD-01033"/>
    <n v="45453"/>
    <n v="30695.94"/>
    <s v="R006"/>
    <x v="2"/>
    <s v="Retail"/>
    <n v="49"/>
    <x v="0"/>
  </r>
  <r>
    <s v="ORD-01034"/>
    <n v="45351"/>
    <n v="19263.36"/>
    <s v="R007"/>
    <x v="0"/>
    <s v="Retail"/>
    <n v="27"/>
    <x v="0"/>
  </r>
  <r>
    <s v="ORD-01035"/>
    <n v="45422"/>
    <n v="4660.8900000000003"/>
    <s v="R022"/>
    <x v="2"/>
    <s v="Retail"/>
    <n v="36"/>
    <x v="3"/>
  </r>
  <r>
    <s v="ORD-01036"/>
    <n v="45361"/>
    <n v="3083.67"/>
    <s v="R025"/>
    <x v="1"/>
    <s v="Retail"/>
    <n v="61"/>
    <x v="2"/>
  </r>
  <r>
    <s v="ORD-01037"/>
    <n v="45622"/>
    <n v="2100.12"/>
    <s v="R020"/>
    <x v="3"/>
    <s v="Retail"/>
    <n v="38"/>
    <x v="3"/>
  </r>
  <r>
    <s v="ORD-01038"/>
    <n v="45496"/>
    <n v="29673"/>
    <s v="R018"/>
    <x v="1"/>
    <s v="Retail"/>
    <n v="44"/>
    <x v="3"/>
  </r>
  <r>
    <s v="ORD-01039"/>
    <n v="45578"/>
    <n v="26677.360000000001"/>
    <s v="R009"/>
    <x v="1"/>
    <s v="Retail"/>
    <n v="59"/>
    <x v="1"/>
  </r>
  <r>
    <s v="ORD-01040"/>
    <n v="45476"/>
    <n v="8873.67"/>
    <s v="R022"/>
    <x v="3"/>
    <s v="SMB"/>
    <n v="48"/>
    <x v="3"/>
  </r>
  <r>
    <s v="ORD-01041"/>
    <n v="45300"/>
    <n v="38120.32"/>
    <s v="R025"/>
    <x v="3"/>
    <s v="Retail"/>
    <n v="37"/>
    <x v="2"/>
  </r>
  <r>
    <s v="ORD-01042"/>
    <n v="45455"/>
    <n v="25643.4"/>
    <s v="R001"/>
    <x v="1"/>
    <s v="Retail"/>
    <n v="32"/>
    <x v="0"/>
  </r>
  <r>
    <s v="ORD-01043"/>
    <n v="45404"/>
    <n v="11456.64"/>
    <s v="R026"/>
    <x v="0"/>
    <s v="Retail"/>
    <n v="44"/>
    <x v="2"/>
  </r>
  <r>
    <s v="ORD-01044"/>
    <n v="45468"/>
    <n v="944.28"/>
    <s v="R010"/>
    <x v="4"/>
    <s v="SMB"/>
    <n v="44"/>
    <x v="1"/>
  </r>
  <r>
    <s v="ORD-01045"/>
    <n v="45640"/>
    <n v="45237.599999999999"/>
    <s v="R008"/>
    <x v="5"/>
    <s v="Retail"/>
    <n v="31"/>
    <x v="0"/>
  </r>
  <r>
    <s v="ORD-01046"/>
    <n v="45450"/>
    <n v="22336.799999999999"/>
    <s v="R021"/>
    <x v="2"/>
    <s v="Corporate"/>
    <n v="62"/>
    <x v="3"/>
  </r>
  <r>
    <s v="ORD-01047"/>
    <n v="45589"/>
    <n v="6743.44"/>
    <s v="R003"/>
    <x v="2"/>
    <s v="SMB"/>
    <n v="53"/>
    <x v="0"/>
  </r>
  <r>
    <s v="ORD-01048"/>
    <n v="45646"/>
    <n v="14894.04"/>
    <s v="R012"/>
    <x v="2"/>
    <s v="Corporate"/>
    <n v="27"/>
    <x v="1"/>
  </r>
  <r>
    <s v="ORD-01049"/>
    <n v="45488"/>
    <n v="17093.64"/>
    <s v="R016"/>
    <x v="0"/>
    <s v="Corporate"/>
    <n v="25"/>
    <x v="1"/>
  </r>
  <r>
    <s v="ORD-01050"/>
    <n v="45555"/>
    <n v="11208.78"/>
    <s v="R027"/>
    <x v="2"/>
    <s v="Retail"/>
    <n v="59"/>
    <x v="2"/>
  </r>
  <r>
    <s v="ORD-01051"/>
    <n v="45578"/>
    <n v="29824.799999999999"/>
    <s v="R026"/>
    <x v="5"/>
    <s v="Corporate"/>
    <n v="43"/>
    <x v="2"/>
  </r>
  <r>
    <s v="ORD-01052"/>
    <n v="45296"/>
    <n v="7383.9"/>
    <s v="R017"/>
    <x v="5"/>
    <s v="Corporate"/>
    <n v="62"/>
    <x v="3"/>
  </r>
  <r>
    <s v="ORD-01053"/>
    <n v="45564"/>
    <n v="7134.72"/>
    <s v="R002"/>
    <x v="5"/>
    <s v="Corporate"/>
    <n v="42"/>
    <x v="0"/>
  </r>
  <r>
    <s v="ORD-01054"/>
    <n v="45383"/>
    <n v="38120.32"/>
    <s v="R015"/>
    <x v="3"/>
    <s v="Retail"/>
    <n v="61"/>
    <x v="1"/>
  </r>
  <r>
    <s v="ORD-01055"/>
    <n v="45436"/>
    <n v="27068.16"/>
    <s v="R010"/>
    <x v="5"/>
    <s v="Corporate"/>
    <n v="34"/>
    <x v="1"/>
  </r>
  <r>
    <s v="ORD-01056"/>
    <n v="45544"/>
    <n v="5805.8"/>
    <s v="R010"/>
    <x v="5"/>
    <s v="Retail"/>
    <n v="38"/>
    <x v="1"/>
  </r>
  <r>
    <s v="ORD-01057"/>
    <n v="45404"/>
    <n v="3922.84"/>
    <s v="R024"/>
    <x v="1"/>
    <s v="Retail"/>
    <n v="27"/>
    <x v="2"/>
  </r>
  <r>
    <s v="ORD-01058"/>
    <n v="45586"/>
    <n v="4252.8"/>
    <s v="R026"/>
    <x v="5"/>
    <s v="SMB"/>
    <n v="48"/>
    <x v="2"/>
  </r>
  <r>
    <s v="ORD-01059"/>
    <n v="45524"/>
    <n v="1453.76"/>
    <s v="R010"/>
    <x v="5"/>
    <s v="SMB"/>
    <n v="64"/>
    <x v="1"/>
  </r>
  <r>
    <s v="ORD-01060"/>
    <n v="45397"/>
    <n v="29516.85"/>
    <s v="R019"/>
    <x v="5"/>
    <s v="SMB"/>
    <n v="45"/>
    <x v="3"/>
  </r>
  <r>
    <s v="ORD-01061"/>
    <n v="45336"/>
    <n v="23014.95"/>
    <s v="R021"/>
    <x v="1"/>
    <s v="Retail"/>
    <n v="31"/>
    <x v="3"/>
  </r>
  <r>
    <s v="ORD-01062"/>
    <n v="45594"/>
    <n v="7881.6"/>
    <s v="R019"/>
    <x v="1"/>
    <s v="SMB"/>
    <n v="43"/>
    <x v="3"/>
  </r>
  <r>
    <s v="ORD-01063"/>
    <n v="45617"/>
    <n v="3319.68"/>
    <s v="R014"/>
    <x v="0"/>
    <s v="Retail"/>
    <n v="55"/>
    <x v="1"/>
  </r>
  <r>
    <s v="ORD-01064"/>
    <n v="45378"/>
    <n v="1973.53"/>
    <s v="R017"/>
    <x v="2"/>
    <s v="Retail"/>
    <n v="27"/>
    <x v="3"/>
  </r>
  <r>
    <s v="ORD-01065"/>
    <n v="45318"/>
    <n v="6423.06"/>
    <s v="R005"/>
    <x v="3"/>
    <s v="Corporate"/>
    <n v="46"/>
    <x v="0"/>
  </r>
  <r>
    <s v="ORD-01066"/>
    <n v="45542"/>
    <n v="28932.68"/>
    <s v="R010"/>
    <x v="1"/>
    <s v="Corporate"/>
    <n v="48"/>
    <x v="1"/>
  </r>
  <r>
    <s v="ORD-01067"/>
    <n v="45618"/>
    <n v="24210.9"/>
    <s v="R018"/>
    <x v="2"/>
    <s v="Corporate"/>
    <n v="62"/>
    <x v="3"/>
  </r>
  <r>
    <s v="ORD-01068"/>
    <n v="45555"/>
    <n v="30453.66"/>
    <s v="R016"/>
    <x v="3"/>
    <s v="SMB"/>
    <n v="55"/>
    <x v="1"/>
  </r>
  <r>
    <s v="ORD-01069"/>
    <n v="45373"/>
    <n v="13002"/>
    <s v="R025"/>
    <x v="4"/>
    <s v="Retail"/>
    <n v="61"/>
    <x v="2"/>
  </r>
  <r>
    <s v="ORD-01070"/>
    <n v="45515"/>
    <n v="10523.34"/>
    <s v="R010"/>
    <x v="0"/>
    <s v="Retail"/>
    <n v="53"/>
    <x v="1"/>
  </r>
  <r>
    <s v="ORD-01071"/>
    <n v="45530"/>
    <n v="2100.9"/>
    <s v="R018"/>
    <x v="1"/>
    <s v="Retail"/>
    <n v="63"/>
    <x v="3"/>
  </r>
  <r>
    <s v="ORD-01072"/>
    <n v="45463"/>
    <n v="27982.5"/>
    <s v="R009"/>
    <x v="4"/>
    <s v="Retail"/>
    <n v="54"/>
    <x v="1"/>
  </r>
  <r>
    <s v="ORD-01073"/>
    <n v="45292"/>
    <n v="4389.76"/>
    <s v="R014"/>
    <x v="5"/>
    <s v="SMB"/>
    <n v="39"/>
    <x v="1"/>
  </r>
  <r>
    <s v="ORD-01074"/>
    <n v="45347"/>
    <n v="17688"/>
    <s v="R024"/>
    <x v="5"/>
    <s v="SMB"/>
    <n v="40"/>
    <x v="2"/>
  </r>
  <r>
    <s v="ORD-01075"/>
    <n v="45592"/>
    <n v="33312"/>
    <s v="R027"/>
    <x v="1"/>
    <s v="Unknown"/>
    <s v=""/>
    <x v="2"/>
  </r>
  <r>
    <s v="ORD-01076"/>
    <n v="45636"/>
    <n v="333"/>
    <s v="R007"/>
    <x v="3"/>
    <s v="Corporate"/>
    <n v="46"/>
    <x v="0"/>
  </r>
  <r>
    <s v="ORD-01077"/>
    <n v="45432"/>
    <n v="7916.58"/>
    <s v="R020"/>
    <x v="3"/>
    <s v="SMB"/>
    <n v="49"/>
    <x v="3"/>
  </r>
  <r>
    <s v="ORD-01078"/>
    <n v="45479"/>
    <n v="17458.2"/>
    <s v="R009"/>
    <x v="2"/>
    <s v="Retail"/>
    <n v="33"/>
    <x v="1"/>
  </r>
  <r>
    <s v="ORD-01079"/>
    <n v="45563"/>
    <n v="1638"/>
    <s v="R029"/>
    <x v="4"/>
    <s v="Retail"/>
    <n v="50"/>
    <x v="2"/>
  </r>
  <r>
    <s v="ORD-01080"/>
    <n v="45523"/>
    <n v="727.2"/>
    <s v="R012"/>
    <x v="4"/>
    <s v="Retail"/>
    <n v="63"/>
    <x v="1"/>
  </r>
  <r>
    <s v="ORD-01081"/>
    <n v="45537"/>
    <n v="4072.32"/>
    <s v="R014"/>
    <x v="5"/>
    <s v="Retail"/>
    <n v="39"/>
    <x v="1"/>
  </r>
  <r>
    <s v="ORD-01082"/>
    <n v="45383"/>
    <n v="1988.52"/>
    <s v="R025"/>
    <x v="2"/>
    <s v="Retail"/>
    <n v="41"/>
    <x v="2"/>
  </r>
  <r>
    <s v="ORD-01083"/>
    <n v="45541"/>
    <n v="19488"/>
    <s v="R027"/>
    <x v="3"/>
    <s v="Corporate"/>
    <n v="59"/>
    <x v="2"/>
  </r>
  <r>
    <s v="ORD-01084"/>
    <n v="45609"/>
    <n v="7853.76"/>
    <s v="R021"/>
    <x v="3"/>
    <s v="Retail"/>
    <n v="37"/>
    <x v="3"/>
  </r>
  <r>
    <s v="ORD-01085"/>
    <n v="45463"/>
    <n v="10725"/>
    <s v="R025"/>
    <x v="1"/>
    <s v="Retail"/>
    <n v="50"/>
    <x v="2"/>
  </r>
  <r>
    <s v="ORD-01086"/>
    <n v="45588"/>
    <n v="12353.34"/>
    <s v="R012"/>
    <x v="2"/>
    <s v="Corporate"/>
    <n v="46"/>
    <x v="1"/>
  </r>
  <r>
    <s v="ORD-01087"/>
    <n v="45328"/>
    <n v="2306.56"/>
    <s v="R024"/>
    <x v="0"/>
    <s v="Retail"/>
    <n v="49"/>
    <x v="2"/>
  </r>
  <r>
    <s v="ORD-01088"/>
    <n v="45638"/>
    <n v="36803.699999999997"/>
    <s v="R005"/>
    <x v="4"/>
    <s v="Corporate"/>
    <n v="55"/>
    <x v="0"/>
  </r>
  <r>
    <s v="ORD-01089"/>
    <n v="45332"/>
    <n v="21914.400000000001"/>
    <s v="R019"/>
    <x v="0"/>
    <s v="Corporate"/>
    <n v="60"/>
    <x v="3"/>
  </r>
  <r>
    <s v="ORD-01090"/>
    <n v="45406"/>
    <n v="444.62"/>
    <s v="R002"/>
    <x v="1"/>
    <s v="Retail"/>
    <n v="40"/>
    <x v="0"/>
  </r>
  <r>
    <s v="ORD-01091"/>
    <n v="45405"/>
    <n v="18698.7"/>
    <s v="R009"/>
    <x v="4"/>
    <s v="Retail"/>
    <n v="28"/>
    <x v="1"/>
  </r>
  <r>
    <s v="ORD-01092"/>
    <n v="45469"/>
    <n v="8170.2"/>
    <s v="R012"/>
    <x v="5"/>
    <s v="SMB"/>
    <n v="44"/>
    <x v="1"/>
  </r>
  <r>
    <s v="ORD-01093"/>
    <n v="45656"/>
    <n v="18009"/>
    <s v="R001"/>
    <x v="5"/>
    <s v="Retail"/>
    <n v="57"/>
    <x v="0"/>
  </r>
  <r>
    <s v="ORD-01094"/>
    <n v="45653"/>
    <n v="28366.65"/>
    <s v="R012"/>
    <x v="3"/>
    <s v="Retail"/>
    <n v="26"/>
    <x v="1"/>
  </r>
  <r>
    <s v="ORD-01095"/>
    <n v="45440"/>
    <n v="4353.6000000000004"/>
    <s v="R020"/>
    <x v="5"/>
    <s v="Corporate"/>
    <n v="60"/>
    <x v="3"/>
  </r>
  <r>
    <s v="ORD-01096"/>
    <n v="45511"/>
    <n v="12588.24"/>
    <s v="R008"/>
    <x v="3"/>
    <s v="SMB"/>
    <n v="29"/>
    <x v="0"/>
  </r>
  <r>
    <s v="ORD-01097"/>
    <n v="45300"/>
    <n v="12306.6"/>
    <s v="R003"/>
    <x v="4"/>
    <s v="Retail"/>
    <n v="65"/>
    <x v="0"/>
  </r>
  <r>
    <s v="ORD-01098"/>
    <n v="45528"/>
    <n v="2967.3"/>
    <s v="R024"/>
    <x v="1"/>
    <s v="Corporate"/>
    <n v="48"/>
    <x v="2"/>
  </r>
  <r>
    <s v="ORD-01099"/>
    <n v="45622"/>
    <n v="9067.41"/>
    <s v="R017"/>
    <x v="4"/>
    <s v="Retail"/>
    <n v="27"/>
    <x v="3"/>
  </r>
  <r>
    <s v="ORD-01100"/>
    <n v="45463"/>
    <n v="6219.92"/>
    <s v="R009"/>
    <x v="3"/>
    <s v="SMB"/>
    <n v="29"/>
    <x v="1"/>
  </r>
  <r>
    <s v="ORD-01101"/>
    <n v="45407"/>
    <n v="12053.34"/>
    <s v="R003"/>
    <x v="2"/>
    <s v="SMB"/>
    <n v="48"/>
    <x v="0"/>
  </r>
  <r>
    <s v="ORD-01102"/>
    <n v="45627"/>
    <n v="6306.3"/>
    <s v="R017"/>
    <x v="5"/>
    <s v="Corporate"/>
    <n v="44"/>
    <x v="3"/>
  </r>
  <r>
    <s v="ORD-01103"/>
    <n v="45393"/>
    <n v="936.27"/>
    <s v="R011"/>
    <x v="1"/>
    <s v="Retail"/>
    <n v="43"/>
    <x v="1"/>
  </r>
  <r>
    <s v="ORD-01104"/>
    <n v="45360"/>
    <n v="38749.1"/>
    <s v="R015"/>
    <x v="4"/>
    <s v="SMB"/>
    <n v="35"/>
    <x v="1"/>
  </r>
  <r>
    <s v="ORD-01105"/>
    <n v="45548"/>
    <n v="18917.43"/>
    <s v="R022"/>
    <x v="4"/>
    <s v="Corporate"/>
    <n v="24"/>
    <x v="3"/>
  </r>
  <r>
    <s v="ORD-01106"/>
    <n v="45569"/>
    <n v="2850.85"/>
    <s v="R017"/>
    <x v="5"/>
    <s v="SMB"/>
    <n v="62"/>
    <x v="3"/>
  </r>
  <r>
    <s v="ORD-01107"/>
    <n v="45541"/>
    <n v="4487.88"/>
    <s v="R023"/>
    <x v="0"/>
    <s v="Retail"/>
    <n v="53"/>
    <x v="3"/>
  </r>
  <r>
    <s v="ORD-01108"/>
    <n v="45369"/>
    <n v="4520.2"/>
    <s v="R025"/>
    <x v="2"/>
    <s v="Retail"/>
    <n v="54"/>
    <x v="2"/>
  </r>
  <r>
    <s v="ORD-01109"/>
    <n v="45519"/>
    <n v="15762.6"/>
    <s v="R002"/>
    <x v="2"/>
    <s v="SMB"/>
    <n v="64"/>
    <x v="0"/>
  </r>
  <r>
    <s v="ORD-01110"/>
    <n v="45379"/>
    <n v="5655.03"/>
    <s v="R007"/>
    <x v="0"/>
    <s v="SMB"/>
    <n v="35"/>
    <x v="0"/>
  </r>
  <r>
    <s v="ORD-01111"/>
    <n v="45548"/>
    <n v="5858.58"/>
    <s v="R008"/>
    <x v="3"/>
    <s v="Retail"/>
    <n v="34"/>
    <x v="0"/>
  </r>
  <r>
    <s v="ORD-01112"/>
    <n v="45478"/>
    <n v="1617.66"/>
    <s v="R014"/>
    <x v="1"/>
    <s v="Retail"/>
    <n v="40"/>
    <x v="1"/>
  </r>
  <r>
    <s v="ORD-01113"/>
    <n v="45338"/>
    <n v="9361.56"/>
    <s v="R020"/>
    <x v="2"/>
    <s v="Corporate"/>
    <n v="38"/>
    <x v="3"/>
  </r>
  <r>
    <s v="ORD-01114"/>
    <n v="45546"/>
    <n v="14472.64"/>
    <s v="R005"/>
    <x v="0"/>
    <s v="Retail"/>
    <n v="44"/>
    <x v="0"/>
  </r>
  <r>
    <s v="ORD-01115"/>
    <n v="45626"/>
    <n v="8333.82"/>
    <s v="R009"/>
    <x v="4"/>
    <s v="Retail"/>
    <n v="35"/>
    <x v="1"/>
  </r>
  <r>
    <s v="ORD-01116"/>
    <n v="45402"/>
    <n v="10132.4"/>
    <s v="R009"/>
    <x v="1"/>
    <s v="Retail"/>
    <n v="26"/>
    <x v="1"/>
  </r>
  <r>
    <s v="ORD-01117"/>
    <n v="45604"/>
    <n v="16027.44"/>
    <s v="R010"/>
    <x v="1"/>
    <s v="SMB"/>
    <n v="38"/>
    <x v="1"/>
  </r>
  <r>
    <s v="ORD-01118"/>
    <n v="45545"/>
    <n v="10689.6"/>
    <s v="R018"/>
    <x v="0"/>
    <s v="SMB"/>
    <n v="52"/>
    <x v="3"/>
  </r>
  <r>
    <s v="ORD-01119"/>
    <n v="45445"/>
    <n v="2927.4"/>
    <s v="R006"/>
    <x v="0"/>
    <s v="Retail"/>
    <n v="40"/>
    <x v="0"/>
  </r>
  <r>
    <s v="ORD-01120"/>
    <n v="45489"/>
    <n v="11156.88"/>
    <s v="R022"/>
    <x v="5"/>
    <s v="SMB"/>
    <n v="51"/>
    <x v="3"/>
  </r>
  <r>
    <s v="ORD-01121"/>
    <n v="45394"/>
    <n v="14821.2"/>
    <s v="R021"/>
    <x v="5"/>
    <s v="Retail"/>
    <n v="28"/>
    <x v="3"/>
  </r>
  <r>
    <s v="ORD-01122"/>
    <n v="45340"/>
    <n v="18676"/>
    <s v="R002"/>
    <x v="3"/>
    <s v="Retail"/>
    <n v="42"/>
    <x v="0"/>
  </r>
  <r>
    <s v="ORD-01123"/>
    <n v="45378"/>
    <n v="2167.1999999999998"/>
    <s v="R022"/>
    <x v="1"/>
    <s v="SMB"/>
    <n v="65"/>
    <x v="3"/>
  </r>
  <r>
    <s v="ORD-01124"/>
    <n v="45369"/>
    <n v="6106.24"/>
    <s v="R014"/>
    <x v="3"/>
    <s v="SMB"/>
    <n v="27"/>
    <x v="1"/>
  </r>
  <r>
    <s v="ORD-01125"/>
    <n v="45513"/>
    <n v="18452.7"/>
    <s v="R002"/>
    <x v="2"/>
    <s v="Corporate"/>
    <n v="55"/>
    <x v="0"/>
  </r>
  <r>
    <s v="ORD-01126"/>
    <n v="45438"/>
    <n v="15365.07"/>
    <s v="R013"/>
    <x v="3"/>
    <s v="SMB"/>
    <n v="53"/>
    <x v="1"/>
  </r>
  <r>
    <s v="ORD-01127"/>
    <n v="45529"/>
    <n v="2572.8000000000002"/>
    <s v="R014"/>
    <x v="5"/>
    <s v="Retail"/>
    <n v="36"/>
    <x v="1"/>
  </r>
  <r>
    <s v="ORD-01128"/>
    <n v="45634"/>
    <n v="1924.56"/>
    <s v="R006"/>
    <x v="3"/>
    <s v="Corporate"/>
    <n v="43"/>
    <x v="0"/>
  </r>
  <r>
    <s v="ORD-01129"/>
    <n v="45441"/>
    <n v="8407.68"/>
    <s v="R014"/>
    <x v="5"/>
    <s v="Retail"/>
    <n v="54"/>
    <x v="1"/>
  </r>
  <r>
    <s v="ORD-01130"/>
    <n v="45409"/>
    <n v="7964.04"/>
    <s v="R006"/>
    <x v="4"/>
    <s v="SMB"/>
    <n v="61"/>
    <x v="0"/>
  </r>
  <r>
    <s v="ORD-01131"/>
    <n v="45650"/>
    <n v="3914.76"/>
    <s v="R006"/>
    <x v="1"/>
    <s v="Retail"/>
    <n v="49"/>
    <x v="0"/>
  </r>
  <r>
    <s v="ORD-01132"/>
    <n v="45380"/>
    <n v="26461.8"/>
    <s v="R017"/>
    <x v="3"/>
    <s v="Retail"/>
    <n v="35"/>
    <x v="3"/>
  </r>
  <r>
    <s v="ORD-01133"/>
    <n v="45322"/>
    <n v="1816.8"/>
    <s v="R019"/>
    <x v="1"/>
    <s v="Retail"/>
    <n v="54"/>
    <x v="3"/>
  </r>
  <r>
    <s v="ORD-01134"/>
    <n v="45532"/>
    <n v="4234.5600000000004"/>
    <s v="R009"/>
    <x v="3"/>
    <s v="SMB"/>
    <n v="28"/>
    <x v="1"/>
  </r>
  <r>
    <s v="ORD-01135"/>
    <n v="45504"/>
    <n v="40054.949999999997"/>
    <s v="R016"/>
    <x v="4"/>
    <s v="SMB"/>
    <n v="43"/>
    <x v="1"/>
  </r>
  <r>
    <s v="ORD-01136"/>
    <n v="45516"/>
    <n v="12961"/>
    <s v="R007"/>
    <x v="4"/>
    <s v="Corporate"/>
    <n v="30"/>
    <x v="0"/>
  </r>
  <r>
    <s v="ORD-01137"/>
    <n v="45462"/>
    <n v="17515.84"/>
    <s v="R018"/>
    <x v="3"/>
    <s v="Retail"/>
    <n v="53"/>
    <x v="3"/>
  </r>
  <r>
    <s v="ORD-01138"/>
    <n v="45597"/>
    <n v="14077.7"/>
    <s v="R002"/>
    <x v="2"/>
    <s v="Retail"/>
    <n v="44"/>
    <x v="0"/>
  </r>
  <r>
    <s v="ORD-01139"/>
    <n v="45648"/>
    <n v="13746.96"/>
    <s v="R006"/>
    <x v="5"/>
    <s v="Retail"/>
    <n v="34"/>
    <x v="0"/>
  </r>
  <r>
    <s v="ORD-01140"/>
    <n v="45355"/>
    <n v="5547.6"/>
    <s v="R009"/>
    <x v="5"/>
    <s v="SMB"/>
    <n v="26"/>
    <x v="1"/>
  </r>
  <r>
    <s v="ORD-01141"/>
    <n v="45331"/>
    <n v="3705.4"/>
    <s v="R024"/>
    <x v="2"/>
    <s v="Retail"/>
    <n v="35"/>
    <x v="2"/>
  </r>
  <r>
    <s v="ORD-01142"/>
    <n v="45632"/>
    <n v="1443"/>
    <s v="R022"/>
    <x v="4"/>
    <s v="SMB"/>
    <n v="57"/>
    <x v="3"/>
  </r>
  <r>
    <s v="ORD-01143"/>
    <n v="45358"/>
    <n v="35444.160000000003"/>
    <s v="R005"/>
    <x v="4"/>
    <s v="Retail"/>
    <n v="62"/>
    <x v="0"/>
  </r>
  <r>
    <s v="ORD-01144"/>
    <n v="45440"/>
    <n v="9498.24"/>
    <s v="R013"/>
    <x v="0"/>
    <s v="Corporate"/>
    <n v="46"/>
    <x v="1"/>
  </r>
  <r>
    <s v="ORD-01145"/>
    <n v="45412"/>
    <n v="1757.7"/>
    <s v="R021"/>
    <x v="0"/>
    <s v="Retail"/>
    <n v="44"/>
    <x v="3"/>
  </r>
  <r>
    <s v="ORD-01146"/>
    <n v="45479"/>
    <n v="3012.24"/>
    <s v="R024"/>
    <x v="5"/>
    <s v="Corporate"/>
    <n v="55"/>
    <x v="2"/>
  </r>
  <r>
    <s v="ORD-01147"/>
    <n v="45534"/>
    <n v="1731.24"/>
    <s v="R026"/>
    <x v="5"/>
    <s v="Retail"/>
    <n v="46"/>
    <x v="2"/>
  </r>
  <r>
    <s v="ORD-01148"/>
    <n v="45313"/>
    <n v="21390.080000000002"/>
    <s v="R018"/>
    <x v="0"/>
    <s v="SMB"/>
    <n v="26"/>
    <x v="3"/>
  </r>
  <r>
    <s v="ORD-01149"/>
    <n v="45390"/>
    <n v="13056.96"/>
    <s v="R023"/>
    <x v="2"/>
    <s v="Corporate"/>
    <n v="25"/>
    <x v="3"/>
  </r>
  <r>
    <s v="ORD-01150"/>
    <n v="45370"/>
    <n v="25475.52"/>
    <s v="R016"/>
    <x v="4"/>
    <s v="Retail"/>
    <n v="26"/>
    <x v="1"/>
  </r>
  <r>
    <s v="ORD-01151"/>
    <n v="45324"/>
    <n v="29842.5"/>
    <s v="R004"/>
    <x v="1"/>
    <s v="Retail"/>
    <n v="55"/>
    <x v="0"/>
  </r>
  <r>
    <s v="ORD-01152"/>
    <n v="45469"/>
    <n v="18532.8"/>
    <s v="R007"/>
    <x v="4"/>
    <s v="Retail"/>
    <n v="44"/>
    <x v="0"/>
  </r>
  <r>
    <s v="ORD-01153"/>
    <n v="45619"/>
    <n v="826.95"/>
    <s v="R009"/>
    <x v="3"/>
    <s v="Retail"/>
    <n v="24"/>
    <x v="1"/>
  </r>
  <r>
    <s v="ORD-01154"/>
    <n v="45627"/>
    <n v="3378.18"/>
    <s v="R030"/>
    <x v="4"/>
    <s v="Corporate"/>
    <n v="36"/>
    <x v="2"/>
  </r>
  <r>
    <s v="ORD-01155"/>
    <n v="45499"/>
    <n v="2016.96"/>
    <s v="R022"/>
    <x v="4"/>
    <s v="Retail"/>
    <n v="29"/>
    <x v="3"/>
  </r>
  <r>
    <s v="ORD-01156"/>
    <n v="45563"/>
    <n v="41539.5"/>
    <s v="R011"/>
    <x v="5"/>
    <s v="Retail"/>
    <n v="36"/>
    <x v="1"/>
  </r>
  <r>
    <s v="ORD-01157"/>
    <n v="45435"/>
    <n v="35112"/>
    <s v="R008"/>
    <x v="5"/>
    <s v="SMB"/>
    <n v="26"/>
    <x v="0"/>
  </r>
  <r>
    <s v="ORD-01158"/>
    <n v="45602"/>
    <n v="219.3"/>
    <s v="R026"/>
    <x v="4"/>
    <s v="Corporate"/>
    <n v="29"/>
    <x v="2"/>
  </r>
  <r>
    <s v="ORD-01159"/>
    <n v="45650"/>
    <n v="12955.8"/>
    <s v="R020"/>
    <x v="5"/>
    <s v="Retail"/>
    <n v="44"/>
    <x v="3"/>
  </r>
  <r>
    <s v="ORD-01160"/>
    <n v="45294"/>
    <n v="2371.1999999999998"/>
    <s v="R018"/>
    <x v="4"/>
    <s v="SMB"/>
    <n v="50"/>
    <x v="3"/>
  </r>
  <r>
    <s v="ORD-01161"/>
    <n v="45523"/>
    <n v="29969.1"/>
    <s v="R011"/>
    <x v="5"/>
    <s v="Retail"/>
    <n v="37"/>
    <x v="1"/>
  </r>
  <r>
    <s v="ORD-01162"/>
    <n v="45479"/>
    <n v="14635.72"/>
    <s v="R024"/>
    <x v="2"/>
    <s v="SMB"/>
    <n v="45"/>
    <x v="2"/>
  </r>
  <r>
    <s v="ORD-01163"/>
    <n v="45614"/>
    <n v="24562.44"/>
    <s v="R024"/>
    <x v="1"/>
    <s v="SMB"/>
    <n v="51"/>
    <x v="2"/>
  </r>
  <r>
    <s v="ORD-01164"/>
    <n v="45407"/>
    <n v="5346"/>
    <s v="R030"/>
    <x v="3"/>
    <s v="SMB"/>
    <n v="44"/>
    <x v="2"/>
  </r>
  <r>
    <s v="ORD-01165"/>
    <n v="45603"/>
    <n v="7651.8"/>
    <s v="R023"/>
    <x v="4"/>
    <s v="Retail"/>
    <n v="55"/>
    <x v="3"/>
  </r>
  <r>
    <s v="ORD-01166"/>
    <n v="45375"/>
    <n v="13355.2"/>
    <s v="R008"/>
    <x v="0"/>
    <s v="Retail"/>
    <n v="63"/>
    <x v="0"/>
  </r>
  <r>
    <s v="ORD-01167"/>
    <n v="45485"/>
    <n v="20642.400000000001"/>
    <s v="R012"/>
    <x v="2"/>
    <s v="SMB"/>
    <n v="53"/>
    <x v="1"/>
  </r>
  <r>
    <s v="ORD-01168"/>
    <n v="45567"/>
    <n v="11909.7"/>
    <s v="R005"/>
    <x v="5"/>
    <s v="Retail"/>
    <n v="23"/>
    <x v="0"/>
  </r>
  <r>
    <s v="ORD-01169"/>
    <n v="45502"/>
    <n v="6632.34"/>
    <s v="R019"/>
    <x v="1"/>
    <s v="SMB"/>
    <n v="65"/>
    <x v="3"/>
  </r>
  <r>
    <s v="ORD-01170"/>
    <n v="45429"/>
    <n v="12530.4"/>
    <s v="R025"/>
    <x v="1"/>
    <s v="Retail"/>
    <n v="41"/>
    <x v="2"/>
  </r>
  <r>
    <s v="ORD-01171"/>
    <n v="45405"/>
    <n v="6731.48"/>
    <s v="R003"/>
    <x v="3"/>
    <s v="Retail"/>
    <n v="44"/>
    <x v="0"/>
  </r>
  <r>
    <s v="ORD-01172"/>
    <n v="45401"/>
    <n v="6601.16"/>
    <s v="R016"/>
    <x v="2"/>
    <s v="Retail"/>
    <n v="22"/>
    <x v="1"/>
  </r>
  <r>
    <s v="ORD-01173"/>
    <n v="45373"/>
    <n v="40736.519999999997"/>
    <s v="R013"/>
    <x v="3"/>
    <s v="Retail"/>
    <n v="61"/>
    <x v="1"/>
  </r>
  <r>
    <s v="ORD-01174"/>
    <n v="45602"/>
    <n v="26796.880000000001"/>
    <s v="R029"/>
    <x v="2"/>
    <s v="Retail"/>
    <n v="31"/>
    <x v="2"/>
  </r>
  <r>
    <s v="ORD-01175"/>
    <n v="45372"/>
    <n v="1526.14"/>
    <s v="R005"/>
    <x v="5"/>
    <s v="SMB"/>
    <n v="64"/>
    <x v="0"/>
  </r>
  <r>
    <s v="ORD-01176"/>
    <n v="45416"/>
    <n v="49470"/>
    <s v="R024"/>
    <x v="5"/>
    <s v="Retail"/>
    <n v="48"/>
    <x v="2"/>
  </r>
  <r>
    <s v="ORD-01177"/>
    <n v="45656"/>
    <n v="17332.560000000001"/>
    <s v="R006"/>
    <x v="0"/>
    <s v="Corporate"/>
    <n v="40"/>
    <x v="0"/>
  </r>
  <r>
    <s v="ORD-01178"/>
    <n v="45324"/>
    <n v="32452"/>
    <s v="R003"/>
    <x v="5"/>
    <s v="Retail"/>
    <n v="56"/>
    <x v="0"/>
  </r>
  <r>
    <s v="ORD-01179"/>
    <n v="45472"/>
    <n v="2531.7600000000002"/>
    <s v="R024"/>
    <x v="4"/>
    <s v="SMB"/>
    <n v="44"/>
    <x v="2"/>
  </r>
  <r>
    <s v="ORD-01180"/>
    <n v="45508"/>
    <n v="35018.28"/>
    <s v="R020"/>
    <x v="2"/>
    <s v="Retail"/>
    <n v="53"/>
    <x v="3"/>
  </r>
  <r>
    <s v="ORD-01181"/>
    <n v="45617"/>
    <n v="24161.759999999998"/>
    <s v="R025"/>
    <x v="4"/>
    <s v="Retail"/>
    <n v="28"/>
    <x v="2"/>
  </r>
  <r>
    <s v="ORD-01182"/>
    <n v="45470"/>
    <n v="25091.5"/>
    <s v="R005"/>
    <x v="5"/>
    <s v="SMB"/>
    <n v="55"/>
    <x v="0"/>
  </r>
  <r>
    <s v="ORD-01183"/>
    <n v="45307"/>
    <n v="10909.08"/>
    <s v="R025"/>
    <x v="1"/>
    <s v="Retail"/>
    <n v="24"/>
    <x v="2"/>
  </r>
  <r>
    <s v="ORD-01184"/>
    <n v="45651"/>
    <n v="14151.48"/>
    <s v="R008"/>
    <x v="4"/>
    <s v="Corporate"/>
    <n v="52"/>
    <x v="0"/>
  </r>
  <r>
    <s v="ORD-01185"/>
    <n v="45436"/>
    <n v="11425.7"/>
    <s v="R024"/>
    <x v="1"/>
    <s v="Retail"/>
    <n v="44"/>
    <x v="2"/>
  </r>
  <r>
    <s v="ORD-01186"/>
    <n v="45518"/>
    <n v="613.17999999999995"/>
    <s v="R003"/>
    <x v="0"/>
    <s v="Retail"/>
    <n v="41"/>
    <x v="0"/>
  </r>
  <r>
    <s v="ORD-01187"/>
    <n v="45432"/>
    <n v="3173.73"/>
    <s v="R012"/>
    <x v="4"/>
    <s v="SMB"/>
    <n v="44"/>
    <x v="1"/>
  </r>
  <r>
    <s v="ORD-01188"/>
    <n v="45551"/>
    <n v="5143.45"/>
    <s v="R012"/>
    <x v="4"/>
    <s v="Corporate"/>
    <n v="41"/>
    <x v="1"/>
  </r>
  <r>
    <s v="ORD-01189"/>
    <n v="45348"/>
    <n v="27948.06"/>
    <s v="R018"/>
    <x v="1"/>
    <s v="SMB"/>
    <n v="22"/>
    <x v="3"/>
  </r>
  <r>
    <s v="ORD-01190"/>
    <n v="45374"/>
    <n v="48920.4"/>
    <s v="R016"/>
    <x v="3"/>
    <s v="Retail"/>
    <n v="42"/>
    <x v="1"/>
  </r>
  <r>
    <s v="ORD-01191"/>
    <n v="45370"/>
    <n v="30330.720000000001"/>
    <s v="R005"/>
    <x v="4"/>
    <s v="Retail"/>
    <n v="24"/>
    <x v="0"/>
  </r>
  <r>
    <s v="ORD-01192"/>
    <n v="45656"/>
    <n v="7027.65"/>
    <s v="R022"/>
    <x v="2"/>
    <s v="Retail"/>
    <n v="34"/>
    <x v="3"/>
  </r>
  <r>
    <s v="ORD-01193"/>
    <n v="45357"/>
    <n v="2310"/>
    <s v="R009"/>
    <x v="4"/>
    <s v="Retail"/>
    <n v="44"/>
    <x v="1"/>
  </r>
  <r>
    <s v="ORD-01194"/>
    <n v="45479"/>
    <n v="58428.800000000003"/>
    <s v="R003"/>
    <x v="5"/>
    <s v="SMB"/>
    <n v="64"/>
    <x v="0"/>
  </r>
  <r>
    <s v="ORD-01195"/>
    <n v="45539"/>
    <n v="9078"/>
    <s v="R011"/>
    <x v="5"/>
    <s v="SMB"/>
    <n v="39"/>
    <x v="1"/>
  </r>
  <r>
    <s v="ORD-01196"/>
    <n v="45394"/>
    <n v="23691.15"/>
    <s v="R019"/>
    <x v="0"/>
    <s v="Retail"/>
    <n v="42"/>
    <x v="3"/>
  </r>
  <r>
    <s v="ORD-01197"/>
    <n v="45335"/>
    <n v="9870.4"/>
    <s v="R011"/>
    <x v="0"/>
    <s v="Retail"/>
    <n v="29"/>
    <x v="1"/>
  </r>
  <r>
    <s v="ORD-01198"/>
    <n v="45334"/>
    <n v="740.24"/>
    <s v="R010"/>
    <x v="1"/>
    <s v="Corporate"/>
    <n v="55"/>
    <x v="1"/>
  </r>
  <r>
    <s v="ORD-01199"/>
    <n v="45300"/>
    <n v="8344.52"/>
    <s v="R020"/>
    <x v="2"/>
    <s v="SMB"/>
    <n v="44"/>
    <x v="3"/>
  </r>
  <r>
    <s v="ORD-01200"/>
    <n v="45400"/>
    <n v="13089.65"/>
    <s v="R028"/>
    <x v="0"/>
    <s v="SMB"/>
    <n v="26"/>
    <x v="2"/>
  </r>
  <r>
    <s v="ORD-01201"/>
    <n v="45423"/>
    <n v="9434.8799999999992"/>
    <s v="R004"/>
    <x v="1"/>
    <s v="Retail"/>
    <n v="56"/>
    <x v="0"/>
  </r>
  <r>
    <s v="ORD-01202"/>
    <n v="45518"/>
    <n v="19067.37"/>
    <s v="R010"/>
    <x v="4"/>
    <s v="SMB"/>
    <n v="43"/>
    <x v="1"/>
  </r>
  <r>
    <s v="ORD-01203"/>
    <n v="45559"/>
    <n v="2544.96"/>
    <s v="R011"/>
    <x v="3"/>
    <s v="Corporate"/>
    <n v="48"/>
    <x v="1"/>
  </r>
  <r>
    <s v="ORD-01204"/>
    <n v="45501"/>
    <n v="5180.7700000000004"/>
    <s v="R010"/>
    <x v="2"/>
    <s v="Retail"/>
    <n v="54"/>
    <x v="1"/>
  </r>
  <r>
    <s v="ORD-01205"/>
    <n v="45338"/>
    <n v="16925.12"/>
    <s v="R006"/>
    <x v="2"/>
    <s v="SMB"/>
    <n v="38"/>
    <x v="0"/>
  </r>
  <r>
    <s v="ORD-01206"/>
    <n v="45585"/>
    <n v="1764"/>
    <s v="R012"/>
    <x v="1"/>
    <s v="SMB"/>
    <n v="65"/>
    <x v="1"/>
  </r>
  <r>
    <s v="ORD-01207"/>
    <n v="45525"/>
    <n v="17881.599999999999"/>
    <s v="R010"/>
    <x v="3"/>
    <s v="SMB"/>
    <n v="27"/>
    <x v="1"/>
  </r>
  <r>
    <s v="ORD-01208"/>
    <n v="45351"/>
    <n v="28280.7"/>
    <s v="R014"/>
    <x v="5"/>
    <s v="Retail"/>
    <n v="42"/>
    <x v="1"/>
  </r>
  <r>
    <s v="ORD-01209"/>
    <n v="45560"/>
    <n v="4792.4799999999996"/>
    <s v="R001"/>
    <x v="5"/>
    <s v="Retail"/>
    <n v="22"/>
    <x v="0"/>
  </r>
  <r>
    <s v="ORD-01210"/>
    <n v="45431"/>
    <n v="44805.599999999999"/>
    <s v="R002"/>
    <x v="3"/>
    <s v="Retail"/>
    <n v="65"/>
    <x v="0"/>
  </r>
  <r>
    <s v="ORD-01211"/>
    <n v="45296"/>
    <n v="26945.64"/>
    <s v="R012"/>
    <x v="0"/>
    <s v="Retail"/>
    <n v="49"/>
    <x v="1"/>
  </r>
  <r>
    <s v="ORD-01212"/>
    <n v="45629"/>
    <n v="1704.24"/>
    <s v="R009"/>
    <x v="3"/>
    <s v="Retail"/>
    <n v="27"/>
    <x v="1"/>
  </r>
  <r>
    <s v="ORD-01213"/>
    <n v="45310"/>
    <n v="9460.5"/>
    <s v="R018"/>
    <x v="2"/>
    <s v="Retail"/>
    <n v="50"/>
    <x v="3"/>
  </r>
  <r>
    <s v="ORD-01214"/>
    <n v="45498"/>
    <n v="22052.16"/>
    <s v="R025"/>
    <x v="0"/>
    <s v="SMB"/>
    <n v="57"/>
    <x v="2"/>
  </r>
  <r>
    <s v="ORD-01215"/>
    <n v="45348"/>
    <n v="20424.509999999998"/>
    <s v="R012"/>
    <x v="5"/>
    <s v="SMB"/>
    <n v="29"/>
    <x v="1"/>
  </r>
  <r>
    <s v="ORD-01216"/>
    <n v="45382"/>
    <n v="7296.75"/>
    <s v="R011"/>
    <x v="0"/>
    <s v="Retail"/>
    <n v="44"/>
    <x v="1"/>
  </r>
  <r>
    <s v="ORD-01217"/>
    <n v="45569"/>
    <n v="25026.3"/>
    <s v="R024"/>
    <x v="5"/>
    <s v="SMB"/>
    <n v="27"/>
    <x v="2"/>
  </r>
  <r>
    <s v="ORD-01218"/>
    <n v="45516"/>
    <n v="4149.6000000000004"/>
    <s v="R030"/>
    <x v="4"/>
    <s v="Corporate"/>
    <n v="59"/>
    <x v="2"/>
  </r>
  <r>
    <s v="ORD-01219"/>
    <n v="45519"/>
    <n v="2497.8000000000002"/>
    <s v="R025"/>
    <x v="2"/>
    <s v="SMB"/>
    <n v="49"/>
    <x v="2"/>
  </r>
  <r>
    <s v="ORD-01220"/>
    <n v="45593"/>
    <n v="15710.88"/>
    <s v="R003"/>
    <x v="3"/>
    <s v="Corporate"/>
    <n v="26"/>
    <x v="0"/>
  </r>
  <r>
    <s v="ORD-01221"/>
    <n v="45532"/>
    <n v="7164.72"/>
    <s v="R024"/>
    <x v="0"/>
    <s v="Retail"/>
    <n v="60"/>
    <x v="2"/>
  </r>
  <r>
    <s v="ORD-01222"/>
    <n v="45610"/>
    <n v="34595.9"/>
    <s v="R011"/>
    <x v="1"/>
    <s v="SMB"/>
    <n v="29"/>
    <x v="1"/>
  </r>
  <r>
    <s v="ORD-01223"/>
    <n v="45560"/>
    <n v="15327.04"/>
    <s v="R023"/>
    <x v="2"/>
    <s v="SMB"/>
    <n v="48"/>
    <x v="3"/>
  </r>
  <r>
    <s v="ORD-01224"/>
    <n v="45431"/>
    <n v="23077.5"/>
    <s v="R030"/>
    <x v="5"/>
    <s v="SMB"/>
    <n v="36"/>
    <x v="2"/>
  </r>
  <r>
    <s v="ORD-01225"/>
    <n v="45594"/>
    <n v="14933.75"/>
    <s v="R011"/>
    <x v="3"/>
    <s v="SMB"/>
    <n v="43"/>
    <x v="1"/>
  </r>
  <r>
    <s v="ORD-01226"/>
    <n v="45609"/>
    <n v="19341.84"/>
    <s v="R003"/>
    <x v="4"/>
    <s v="Retail"/>
    <n v="59"/>
    <x v="0"/>
  </r>
  <r>
    <s v="ORD-01227"/>
    <n v="45546"/>
    <n v="17119.96"/>
    <s v="R025"/>
    <x v="4"/>
    <s v="Corporate"/>
    <n v="52"/>
    <x v="2"/>
  </r>
  <r>
    <s v="ORD-01228"/>
    <n v="45607"/>
    <n v="17037.3"/>
    <s v="R004"/>
    <x v="4"/>
    <s v="Retail"/>
    <n v="42"/>
    <x v="0"/>
  </r>
  <r>
    <s v="ORD-01229"/>
    <n v="45422"/>
    <n v="13682.8"/>
    <s v="R029"/>
    <x v="0"/>
    <s v="Retail"/>
    <n v="39"/>
    <x v="2"/>
  </r>
  <r>
    <s v="ORD-01230"/>
    <n v="45634"/>
    <n v="8686"/>
    <s v="R019"/>
    <x v="1"/>
    <s v="Corporate"/>
    <n v="33"/>
    <x v="3"/>
  </r>
  <r>
    <s v="ORD-01231"/>
    <n v="45376"/>
    <n v="3987.06"/>
    <s v="R003"/>
    <x v="5"/>
    <s v="SMB"/>
    <n v="27"/>
    <x v="0"/>
  </r>
  <r>
    <s v="ORD-01232"/>
    <n v="45313"/>
    <n v="43962"/>
    <s v="R009"/>
    <x v="5"/>
    <s v="Retail"/>
    <n v="26"/>
    <x v="1"/>
  </r>
  <r>
    <s v="ORD-01233"/>
    <n v="45457"/>
    <n v="4225.6499999999996"/>
    <s v="R030"/>
    <x v="4"/>
    <s v="Retail"/>
    <n v="22"/>
    <x v="2"/>
  </r>
  <r>
    <s v="ORD-01234"/>
    <n v="45620"/>
    <n v="33730.559999999998"/>
    <s v="R013"/>
    <x v="3"/>
    <s v="Retail"/>
    <n v="31"/>
    <x v="1"/>
  </r>
  <r>
    <s v="ORD-01235"/>
    <n v="45495"/>
    <n v="8236.7999999999993"/>
    <s v="R008"/>
    <x v="5"/>
    <s v="Retail"/>
    <n v="22"/>
    <x v="0"/>
  </r>
  <r>
    <s v="ORD-01236"/>
    <n v="45460"/>
    <n v="7746.3"/>
    <s v="R018"/>
    <x v="5"/>
    <s v="SMB"/>
    <n v="31"/>
    <x v="3"/>
  </r>
  <r>
    <s v="ORD-01237"/>
    <n v="45438"/>
    <n v="5605.6"/>
    <s v="R003"/>
    <x v="5"/>
    <s v="SMB"/>
    <n v="54"/>
    <x v="0"/>
  </r>
  <r>
    <s v="ORD-00372"/>
    <n v="45307"/>
    <n v="26871.68"/>
    <s v="R023"/>
    <x v="1"/>
    <s v="SMB"/>
    <n v="60"/>
    <x v="3"/>
  </r>
  <r>
    <s v="ORD-01239"/>
    <n v="45517"/>
    <n v="8353.7999999999993"/>
    <s v="R017"/>
    <x v="5"/>
    <s v="Retail"/>
    <n v="36"/>
    <x v="3"/>
  </r>
  <r>
    <s v="ORD-01240"/>
    <n v="45575"/>
    <n v="31884.06"/>
    <s v="R016"/>
    <x v="4"/>
    <s v="Corporate"/>
    <n v="33"/>
    <x v="1"/>
  </r>
  <r>
    <s v="ORD-01241"/>
    <n v="45449"/>
    <n v="4003.2"/>
    <s v="R029"/>
    <x v="1"/>
    <s v="SMB"/>
    <n v="44"/>
    <x v="2"/>
  </r>
  <r>
    <s v="ORD-01365"/>
    <n v="45481"/>
    <n v="23971.64"/>
    <s v="R022"/>
    <x v="0"/>
    <s v="Corporate"/>
    <n v="46"/>
    <x v="3"/>
  </r>
  <r>
    <s v="ORD-01243"/>
    <n v="45368"/>
    <n v="11559.6"/>
    <s v="R006"/>
    <x v="4"/>
    <s v="Retail"/>
    <n v="35"/>
    <x v="0"/>
  </r>
  <r>
    <s v="ORD-01244"/>
    <n v="45298"/>
    <n v="14858.76"/>
    <s v="R013"/>
    <x v="4"/>
    <s v="Retail"/>
    <n v="49"/>
    <x v="1"/>
  </r>
  <r>
    <s v="ORD-01245"/>
    <n v="45472"/>
    <n v="19038.96"/>
    <s v="R022"/>
    <x v="0"/>
    <s v="SMB"/>
    <n v="65"/>
    <x v="3"/>
  </r>
  <r>
    <s v="ORD-01246"/>
    <n v="45568"/>
    <n v="9693.0400000000009"/>
    <s v="R015"/>
    <x v="4"/>
    <s v="SMB"/>
    <n v="38"/>
    <x v="1"/>
  </r>
  <r>
    <s v="ORD-01247"/>
    <n v="45540"/>
    <n v="3901.56"/>
    <s v="R010"/>
    <x v="4"/>
    <s v="Retail"/>
    <n v="35"/>
    <x v="1"/>
  </r>
  <r>
    <s v="ORD-01248"/>
    <n v="45544"/>
    <n v="16725.599999999999"/>
    <s v="R027"/>
    <x v="1"/>
    <s v="Retail"/>
    <n v="53"/>
    <x v="2"/>
  </r>
  <r>
    <s v="ORD-01249"/>
    <n v="45334"/>
    <n v="1556.1"/>
    <s v="R025"/>
    <x v="1"/>
    <s v="Retail"/>
    <n v="34"/>
    <x v="2"/>
  </r>
  <r>
    <s v="ORD-01250"/>
    <n v="45584"/>
    <n v="29227.14"/>
    <s v="R009"/>
    <x v="4"/>
    <s v="Corporate"/>
    <n v="22"/>
    <x v="1"/>
  </r>
  <r>
    <s v="ORD-01251"/>
    <n v="45404"/>
    <n v="15655.56"/>
    <s v="R002"/>
    <x v="3"/>
    <s v="Retail"/>
    <n v="60"/>
    <x v="0"/>
  </r>
  <r>
    <s v="ORD-01252"/>
    <n v="45476"/>
    <n v="1199.08"/>
    <s v="R025"/>
    <x v="0"/>
    <s v="Retail"/>
    <n v="50"/>
    <x v="2"/>
  </r>
  <r>
    <s v="ORD-01253"/>
    <n v="45481"/>
    <n v="7815.5"/>
    <s v="R025"/>
    <x v="5"/>
    <s v="Corporate"/>
    <n v="43"/>
    <x v="2"/>
  </r>
  <r>
    <s v="ORD-01254"/>
    <n v="45480"/>
    <n v="4516.7"/>
    <s v="R017"/>
    <x v="1"/>
    <s v="Retail"/>
    <n v="22"/>
    <x v="3"/>
  </r>
  <r>
    <s v="ORD-01255"/>
    <n v="45603"/>
    <n v="17714.400000000001"/>
    <s v="R002"/>
    <x v="5"/>
    <s v="Retail"/>
    <n v="47"/>
    <x v="0"/>
  </r>
  <r>
    <s v="ORD-01256"/>
    <n v="45548"/>
    <n v="4960.97"/>
    <s v="R029"/>
    <x v="1"/>
    <s v="SMB"/>
    <n v="53"/>
    <x v="2"/>
  </r>
  <r>
    <s v="ORD-01257"/>
    <n v="45482"/>
    <n v="28080.720000000001"/>
    <s v="R022"/>
    <x v="4"/>
    <s v="SMB"/>
    <n v="55"/>
    <x v="3"/>
  </r>
  <r>
    <s v="ORD-01258"/>
    <n v="45457"/>
    <n v="21146.400000000001"/>
    <s v="R017"/>
    <x v="4"/>
    <s v="SMB"/>
    <n v="26"/>
    <x v="3"/>
  </r>
  <r>
    <s v="ORD-01259"/>
    <n v="45508"/>
    <n v="4643.12"/>
    <s v="R007"/>
    <x v="3"/>
    <s v="Corporate"/>
    <n v="22"/>
    <x v="0"/>
  </r>
  <r>
    <s v="ORD-01260"/>
    <n v="45399"/>
    <n v="23926.5"/>
    <s v="R018"/>
    <x v="3"/>
    <s v="SMB"/>
    <n v="46"/>
    <x v="3"/>
  </r>
  <r>
    <s v="ORD-01261"/>
    <n v="45607"/>
    <n v="24645.759999999998"/>
    <s v="R002"/>
    <x v="4"/>
    <s v="Retail"/>
    <n v="49"/>
    <x v="0"/>
  </r>
  <r>
    <s v="ORD-01262"/>
    <n v="45407"/>
    <n v="1918.62"/>
    <s v="R017"/>
    <x v="3"/>
    <s v="Retail"/>
    <n v="29"/>
    <x v="3"/>
  </r>
  <r>
    <s v="ORD-01263"/>
    <n v="45357"/>
    <n v="15397.2"/>
    <s v="R022"/>
    <x v="4"/>
    <s v="Retail"/>
    <n v="42"/>
    <x v="3"/>
  </r>
  <r>
    <s v="ORD-01264"/>
    <n v="45565"/>
    <n v="4532.22"/>
    <s v="R015"/>
    <x v="3"/>
    <s v="Corporate"/>
    <n v="40"/>
    <x v="1"/>
  </r>
  <r>
    <s v="ORD-01265"/>
    <n v="45395"/>
    <n v="5747.7"/>
    <s v="R021"/>
    <x v="2"/>
    <s v="SMB"/>
    <n v="55"/>
    <x v="3"/>
  </r>
  <r>
    <s v="ORD-01266"/>
    <n v="45624"/>
    <n v="14478.75"/>
    <s v="R010"/>
    <x v="5"/>
    <s v="Retail"/>
    <n v="28"/>
    <x v="1"/>
  </r>
  <r>
    <s v="ORD-01267"/>
    <n v="45650"/>
    <n v="15966.72"/>
    <s v="R006"/>
    <x v="4"/>
    <s v="Unknown"/>
    <s v=""/>
    <x v="0"/>
  </r>
  <r>
    <s v="ORD-01268"/>
    <n v="45370"/>
    <n v="14432.32"/>
    <s v="R013"/>
    <x v="2"/>
    <s v="Retail"/>
    <n v="39"/>
    <x v="1"/>
  </r>
  <r>
    <s v="ORD-01269"/>
    <n v="45373"/>
    <n v="21304.400000000001"/>
    <s v="R007"/>
    <x v="2"/>
    <s v="SMB"/>
    <n v="55"/>
    <x v="0"/>
  </r>
  <r>
    <s v="ORD-01270"/>
    <n v="45391"/>
    <n v="45308.160000000003"/>
    <s v="R018"/>
    <x v="5"/>
    <s v="Retail"/>
    <n v="52"/>
    <x v="3"/>
  </r>
  <r>
    <s v="ORD-01271"/>
    <n v="45332"/>
    <n v="7086.16"/>
    <s v="R022"/>
    <x v="1"/>
    <s v="Retail"/>
    <n v="65"/>
    <x v="3"/>
  </r>
  <r>
    <s v="ORD-01272"/>
    <n v="45582"/>
    <n v="26820.48"/>
    <s v="R011"/>
    <x v="2"/>
    <s v="Retail"/>
    <n v="65"/>
    <x v="1"/>
  </r>
  <r>
    <s v="ORD-01273"/>
    <n v="45443"/>
    <n v="31200.48"/>
    <s v="R029"/>
    <x v="3"/>
    <s v="SMB"/>
    <n v="49"/>
    <x v="2"/>
  </r>
  <r>
    <s v="ORD-01274"/>
    <n v="45525"/>
    <n v="34333.199999999997"/>
    <s v="R006"/>
    <x v="5"/>
    <s v="SMB"/>
    <n v="49"/>
    <x v="0"/>
  </r>
  <r>
    <s v="ORD-01275"/>
    <n v="45377"/>
    <n v="11627"/>
    <s v="R019"/>
    <x v="5"/>
    <s v="Retail"/>
    <n v="59"/>
    <x v="3"/>
  </r>
  <r>
    <s v="ORD-01276"/>
    <n v="45413"/>
    <n v="25068.959999999999"/>
    <s v="R015"/>
    <x v="1"/>
    <s v="Retail"/>
    <n v="52"/>
    <x v="1"/>
  </r>
  <r>
    <s v="ORD-01277"/>
    <n v="45437"/>
    <n v="20221.5"/>
    <s v="R001"/>
    <x v="2"/>
    <s v="Corporate"/>
    <n v="47"/>
    <x v="0"/>
  </r>
  <r>
    <s v="ORD-01278"/>
    <n v="45604"/>
    <n v="8565.9599999999991"/>
    <s v="R015"/>
    <x v="2"/>
    <s v="Retail"/>
    <n v="42"/>
    <x v="1"/>
  </r>
  <r>
    <s v="ORD-01279"/>
    <n v="45540"/>
    <n v="1485"/>
    <s v="R015"/>
    <x v="5"/>
    <s v="Corporate"/>
    <n v="37"/>
    <x v="1"/>
  </r>
  <r>
    <s v="ORD-01280"/>
    <n v="45597"/>
    <n v="1100.0999999999999"/>
    <s v="R005"/>
    <x v="1"/>
    <s v="Retail"/>
    <n v="61"/>
    <x v="0"/>
  </r>
  <r>
    <s v="ORD-01281"/>
    <n v="45589"/>
    <n v="19516.64"/>
    <s v="R027"/>
    <x v="1"/>
    <s v="SMB"/>
    <n v="28"/>
    <x v="2"/>
  </r>
  <r>
    <s v="ORD-01282"/>
    <n v="45448"/>
    <n v="2173.5"/>
    <s v="R030"/>
    <x v="4"/>
    <s v="SMB"/>
    <n v="50"/>
    <x v="2"/>
  </r>
  <r>
    <s v="ORD-01283"/>
    <n v="45608"/>
    <n v="8668.7999999999993"/>
    <s v="R007"/>
    <x v="5"/>
    <s v="Retail"/>
    <n v="40"/>
    <x v="0"/>
  </r>
  <r>
    <s v="ORD-01284"/>
    <n v="45421"/>
    <n v="4079.5"/>
    <s v="R013"/>
    <x v="0"/>
    <s v="Retail"/>
    <n v="54"/>
    <x v="1"/>
  </r>
  <r>
    <s v="ORD-01285"/>
    <n v="45383"/>
    <n v="662.3"/>
    <s v="R004"/>
    <x v="3"/>
    <s v="Retail"/>
    <n v="28"/>
    <x v="0"/>
  </r>
  <r>
    <s v="ORD-01286"/>
    <n v="45453"/>
    <n v="42393.78"/>
    <s v="R023"/>
    <x v="3"/>
    <s v="Retail"/>
    <n v="35"/>
    <x v="3"/>
  </r>
  <r>
    <s v="ORD-01287"/>
    <n v="45398"/>
    <n v="905.76"/>
    <s v="R018"/>
    <x v="3"/>
    <s v="SMB"/>
    <n v="28"/>
    <x v="3"/>
  </r>
  <r>
    <s v="ORD-01288"/>
    <n v="45584"/>
    <n v="992.94"/>
    <s v="R018"/>
    <x v="1"/>
    <s v="SMB"/>
    <n v="48"/>
    <x v="3"/>
  </r>
  <r>
    <s v="ORD-01289"/>
    <n v="45397"/>
    <n v="15947.36"/>
    <s v="R023"/>
    <x v="2"/>
    <s v="SMB"/>
    <n v="44"/>
    <x v="3"/>
  </r>
  <r>
    <s v="ORD-01290"/>
    <n v="45453"/>
    <n v="10579.8"/>
    <s v="R009"/>
    <x v="5"/>
    <s v="Retail"/>
    <n v="55"/>
    <x v="1"/>
  </r>
  <r>
    <s v="ORD-01291"/>
    <n v="45359"/>
    <n v="4884"/>
    <s v="R013"/>
    <x v="3"/>
    <s v="Retail"/>
    <n v="32"/>
    <x v="1"/>
  </r>
  <r>
    <s v="ORD-01292"/>
    <n v="45644"/>
    <n v="9736.32"/>
    <s v="R004"/>
    <x v="3"/>
    <s v="SMB"/>
    <n v="44"/>
    <x v="0"/>
  </r>
  <r>
    <s v="ORD-01293"/>
    <n v="45325"/>
    <n v="12000.3"/>
    <s v="R025"/>
    <x v="2"/>
    <s v="SMB"/>
    <n v="22"/>
    <x v="2"/>
  </r>
  <r>
    <s v="ORD-01294"/>
    <n v="45533"/>
    <n v="8857.7199999999993"/>
    <s v="R017"/>
    <x v="5"/>
    <s v="SMB"/>
    <n v="62"/>
    <x v="3"/>
  </r>
  <r>
    <s v="ORD-01295"/>
    <n v="45369"/>
    <n v="3990.6"/>
    <s v="R026"/>
    <x v="3"/>
    <s v="Corporate"/>
    <n v="46"/>
    <x v="2"/>
  </r>
  <r>
    <s v="ORD-01296"/>
    <n v="45312"/>
    <n v="5530.56"/>
    <s v="R010"/>
    <x v="1"/>
    <s v="SMB"/>
    <n v="30"/>
    <x v="1"/>
  </r>
  <r>
    <s v="ORD-01297"/>
    <n v="45445"/>
    <n v="1682.4"/>
    <s v="R008"/>
    <x v="1"/>
    <s v="SMB"/>
    <n v="47"/>
    <x v="0"/>
  </r>
  <r>
    <s v="ORD-01298"/>
    <n v="45636"/>
    <n v="14674.32"/>
    <s v="R010"/>
    <x v="5"/>
    <s v="Retail"/>
    <n v="38"/>
    <x v="1"/>
  </r>
  <r>
    <s v="ORD-01299"/>
    <n v="45294"/>
    <n v="8718.84"/>
    <s v="R018"/>
    <x v="3"/>
    <s v="Retail"/>
    <n v="37"/>
    <x v="3"/>
  </r>
  <r>
    <s v="ORD-01300"/>
    <n v="45449"/>
    <n v="1026.78"/>
    <s v="R004"/>
    <x v="3"/>
    <s v="Retail"/>
    <n v="55"/>
    <x v="0"/>
  </r>
  <r>
    <s v="ORD-01301"/>
    <n v="45560"/>
    <n v="5423.34"/>
    <s v="R018"/>
    <x v="2"/>
    <s v="Retail"/>
    <n v="37"/>
    <x v="3"/>
  </r>
  <r>
    <s v="ORD-01302"/>
    <n v="45588"/>
    <n v="28554.560000000001"/>
    <s v="R015"/>
    <x v="0"/>
    <s v="Corporate"/>
    <n v="47"/>
    <x v="1"/>
  </r>
  <r>
    <s v="ORD-01303"/>
    <n v="45360"/>
    <n v="10273.83"/>
    <s v="R011"/>
    <x v="3"/>
    <s v="Retail"/>
    <n v="26"/>
    <x v="1"/>
  </r>
  <r>
    <s v="ORD-01304"/>
    <n v="45316"/>
    <n v="2724.48"/>
    <s v="R023"/>
    <x v="4"/>
    <s v="Corporate"/>
    <n v="26"/>
    <x v="3"/>
  </r>
  <r>
    <s v="ORD-01305"/>
    <n v="45324"/>
    <n v="15743.7"/>
    <s v="R014"/>
    <x v="4"/>
    <s v="Retail"/>
    <n v="52"/>
    <x v="1"/>
  </r>
  <r>
    <s v="ORD-01306"/>
    <n v="45650"/>
    <n v="34250.58"/>
    <s v="R019"/>
    <x v="4"/>
    <s v="Corporate"/>
    <n v="31"/>
    <x v="3"/>
  </r>
  <r>
    <s v="ORD-01307"/>
    <n v="45564"/>
    <n v="5014.2"/>
    <s v="R009"/>
    <x v="4"/>
    <s v="Retail"/>
    <n v="36"/>
    <x v="1"/>
  </r>
  <r>
    <s v="ORD-01308"/>
    <n v="45587"/>
    <n v="17074.05"/>
    <s v="R019"/>
    <x v="0"/>
    <s v="Retail"/>
    <n v="49"/>
    <x v="3"/>
  </r>
  <r>
    <s v="ORD-01309"/>
    <n v="45538"/>
    <n v="19352.16"/>
    <s v="R013"/>
    <x v="0"/>
    <s v="SMB"/>
    <n v="65"/>
    <x v="1"/>
  </r>
  <r>
    <s v="ORD-01310"/>
    <n v="45385"/>
    <n v="1407.48"/>
    <s v="R005"/>
    <x v="3"/>
    <s v="Corporate"/>
    <n v="36"/>
    <x v="0"/>
  </r>
  <r>
    <s v="ORD-01311"/>
    <n v="45647"/>
    <n v="1034.56"/>
    <s v="R003"/>
    <x v="4"/>
    <s v="Retail"/>
    <n v="48"/>
    <x v="0"/>
  </r>
  <r>
    <s v="ORD-01312"/>
    <n v="45466"/>
    <n v="9576.84"/>
    <s v="R006"/>
    <x v="0"/>
    <s v="SMB"/>
    <n v="39"/>
    <x v="0"/>
  </r>
  <r>
    <s v="ORD-01313"/>
    <n v="45559"/>
    <n v="17346.88"/>
    <s v="R010"/>
    <x v="5"/>
    <s v="Corporate"/>
    <n v="62"/>
    <x v="1"/>
  </r>
  <r>
    <s v="ORD-01314"/>
    <n v="45469"/>
    <n v="14106.6"/>
    <s v="R008"/>
    <x v="5"/>
    <s v="Retail"/>
    <n v="27"/>
    <x v="0"/>
  </r>
  <r>
    <s v="ORD-01315"/>
    <n v="45407"/>
    <n v="2187"/>
    <s v="R001"/>
    <x v="4"/>
    <s v="Retail"/>
    <n v="49"/>
    <x v="0"/>
  </r>
  <r>
    <s v="ORD-01316"/>
    <n v="45634"/>
    <n v="16556.7"/>
    <s v="R007"/>
    <x v="5"/>
    <s v="SMB"/>
    <n v="44"/>
    <x v="0"/>
  </r>
  <r>
    <s v="ORD-01317"/>
    <n v="45454"/>
    <n v="26175.24"/>
    <s v="R024"/>
    <x v="0"/>
    <s v="Corporate"/>
    <n v="55"/>
    <x v="2"/>
  </r>
  <r>
    <s v="ORD-01318"/>
    <n v="45565"/>
    <n v="3030.72"/>
    <s v="R022"/>
    <x v="0"/>
    <s v="Retail"/>
    <n v="52"/>
    <x v="3"/>
  </r>
  <r>
    <s v="ORD-01319"/>
    <n v="45443"/>
    <n v="953.51"/>
    <s v="R014"/>
    <x v="2"/>
    <s v="Corporate"/>
    <n v="42"/>
    <x v="1"/>
  </r>
  <r>
    <s v="ORD-01320"/>
    <n v="45318"/>
    <n v="15931"/>
    <s v="R019"/>
    <x v="0"/>
    <s v="Retail"/>
    <n v="60"/>
    <x v="3"/>
  </r>
  <r>
    <s v="ORD-01321"/>
    <n v="45308"/>
    <n v="6383.04"/>
    <s v="R009"/>
    <x v="3"/>
    <s v="Retail"/>
    <n v="60"/>
    <x v="1"/>
  </r>
  <r>
    <s v="ORD-01322"/>
    <n v="45306"/>
    <n v="14938.56"/>
    <s v="R017"/>
    <x v="4"/>
    <s v="Retail"/>
    <n v="33"/>
    <x v="3"/>
  </r>
  <r>
    <s v="ORD-01323"/>
    <n v="45432"/>
    <n v="16118.2"/>
    <s v="R001"/>
    <x v="4"/>
    <s v="Retail"/>
    <n v="28"/>
    <x v="0"/>
  </r>
  <r>
    <s v="ORD-01324"/>
    <n v="45369"/>
    <n v="37017.96"/>
    <s v="R021"/>
    <x v="1"/>
    <s v="Retail"/>
    <n v="49"/>
    <x v="3"/>
  </r>
  <r>
    <s v="ORD-01325"/>
    <n v="45544"/>
    <n v="6494.4"/>
    <s v="R004"/>
    <x v="1"/>
    <s v="SMB"/>
    <n v="27"/>
    <x v="0"/>
  </r>
  <r>
    <s v="ORD-01326"/>
    <n v="45395"/>
    <n v="20258.400000000001"/>
    <s v="R023"/>
    <x v="1"/>
    <s v="Retail"/>
    <n v="44"/>
    <x v="3"/>
  </r>
  <r>
    <s v="ORD-01327"/>
    <n v="45389"/>
    <n v="4611.6000000000004"/>
    <s v="R004"/>
    <x v="4"/>
    <s v="SMB"/>
    <n v="30"/>
    <x v="0"/>
  </r>
  <r>
    <s v="ORD-01328"/>
    <n v="45536"/>
    <n v="481.74"/>
    <s v="R007"/>
    <x v="0"/>
    <s v="Retail"/>
    <n v="62"/>
    <x v="0"/>
  </r>
  <r>
    <s v="ORD-01329"/>
    <n v="45348"/>
    <n v="262.5"/>
    <s v="R023"/>
    <x v="4"/>
    <s v="SMB"/>
    <n v="64"/>
    <x v="3"/>
  </r>
  <r>
    <s v="ORD-01330"/>
    <n v="45502"/>
    <n v="2602.77"/>
    <s v="R020"/>
    <x v="1"/>
    <s v="Retail"/>
    <n v="35"/>
    <x v="3"/>
  </r>
  <r>
    <s v="ORD-01331"/>
    <n v="45600"/>
    <n v="8453.1200000000008"/>
    <s v="R027"/>
    <x v="3"/>
    <s v="Retail"/>
    <n v="63"/>
    <x v="2"/>
  </r>
  <r>
    <s v="ORD-01332"/>
    <n v="45416"/>
    <n v="4967.5200000000004"/>
    <s v="R027"/>
    <x v="0"/>
    <s v="SMB"/>
    <n v="40"/>
    <x v="2"/>
  </r>
  <r>
    <s v="ORD-01333"/>
    <n v="45535"/>
    <n v="19006.05"/>
    <s v="R016"/>
    <x v="5"/>
    <s v="SMB"/>
    <n v="49"/>
    <x v="1"/>
  </r>
  <r>
    <s v="ORD-01334"/>
    <n v="45322"/>
    <n v="10201.620000000001"/>
    <s v="R006"/>
    <x v="4"/>
    <s v="Corporate"/>
    <n v="47"/>
    <x v="0"/>
  </r>
  <r>
    <s v="ORD-01335"/>
    <n v="45626"/>
    <n v="33693.699999999997"/>
    <s v="R014"/>
    <x v="1"/>
    <s v="Retail"/>
    <n v="44"/>
    <x v="1"/>
  </r>
  <r>
    <s v="ORD-01336"/>
    <n v="45534"/>
    <n v="2778.6"/>
    <s v="R028"/>
    <x v="3"/>
    <s v="Retail"/>
    <n v="34"/>
    <x v="2"/>
  </r>
  <r>
    <s v="ORD-01337"/>
    <n v="45519"/>
    <n v="45716.4"/>
    <s v="R013"/>
    <x v="5"/>
    <s v="Corporate"/>
    <n v="52"/>
    <x v="1"/>
  </r>
  <r>
    <s v="ORD-01338"/>
    <n v="45315"/>
    <n v="8184"/>
    <s v="R014"/>
    <x v="5"/>
    <s v="Unknown"/>
    <s v=""/>
    <x v="1"/>
  </r>
  <r>
    <s v="ORD-01339"/>
    <n v="45566"/>
    <n v="18982.599999999999"/>
    <s v="R018"/>
    <x v="0"/>
    <s v="Retail"/>
    <n v="24"/>
    <x v="3"/>
  </r>
  <r>
    <s v="ORD-01340"/>
    <n v="45643"/>
    <n v="25590.720000000001"/>
    <s v="R029"/>
    <x v="5"/>
    <s v="Retail"/>
    <n v="64"/>
    <x v="2"/>
  </r>
  <r>
    <s v="ORD-01341"/>
    <n v="45422"/>
    <n v="17866.16"/>
    <s v="R028"/>
    <x v="4"/>
    <s v="Retail"/>
    <n v="35"/>
    <x v="2"/>
  </r>
  <r>
    <s v="ORD-01342"/>
    <n v="45400"/>
    <n v="12072.51"/>
    <s v="R023"/>
    <x v="3"/>
    <s v="SMB"/>
    <n v="49"/>
    <x v="3"/>
  </r>
  <r>
    <s v="ORD-01343"/>
    <n v="45564"/>
    <n v="1175.72"/>
    <s v="R002"/>
    <x v="1"/>
    <s v="Corporate"/>
    <n v="55"/>
    <x v="0"/>
  </r>
  <r>
    <s v="ORD-01344"/>
    <n v="45437"/>
    <n v="11992.2"/>
    <s v="R016"/>
    <x v="0"/>
    <s v="Retail"/>
    <n v="27"/>
    <x v="1"/>
  </r>
  <r>
    <s v="ORD-01345"/>
    <n v="45395"/>
    <n v="985.36"/>
    <s v="R023"/>
    <x v="3"/>
    <s v="Retail"/>
    <n v="23"/>
    <x v="3"/>
  </r>
  <r>
    <s v="ORD-01346"/>
    <n v="45447"/>
    <n v="3196.8"/>
    <s v="R004"/>
    <x v="3"/>
    <s v="Corporate"/>
    <n v="27"/>
    <x v="0"/>
  </r>
  <r>
    <s v="ORD-01347"/>
    <n v="45300"/>
    <n v="10028.200000000001"/>
    <s v="R002"/>
    <x v="4"/>
    <s v="Retail"/>
    <n v="51"/>
    <x v="0"/>
  </r>
  <r>
    <s v="ORD-01348"/>
    <n v="45327"/>
    <n v="10580.32"/>
    <s v="R018"/>
    <x v="0"/>
    <s v="Retail"/>
    <n v="34"/>
    <x v="3"/>
  </r>
  <r>
    <s v="ORD-01349"/>
    <n v="45410"/>
    <n v="7672.32"/>
    <s v="R005"/>
    <x v="5"/>
    <s v="Corporate"/>
    <n v="52"/>
    <x v="0"/>
  </r>
  <r>
    <s v="ORD-01350"/>
    <n v="45644"/>
    <n v="3093.2"/>
    <s v="R024"/>
    <x v="3"/>
    <s v="Retail"/>
    <n v="37"/>
    <x v="2"/>
  </r>
  <r>
    <s v="ORD-01351"/>
    <n v="45399"/>
    <n v="10542.72"/>
    <s v="R029"/>
    <x v="0"/>
    <s v="Retail"/>
    <n v="37"/>
    <x v="2"/>
  </r>
  <r>
    <s v="ORD-01352"/>
    <n v="45441"/>
    <n v="47345.599999999999"/>
    <s v="R005"/>
    <x v="3"/>
    <s v="Corporate"/>
    <n v="24"/>
    <x v="0"/>
  </r>
  <r>
    <s v="ORD-01353"/>
    <n v="45379"/>
    <n v="10634.76"/>
    <s v="R008"/>
    <x v="5"/>
    <s v="Corporate"/>
    <n v="25"/>
    <x v="0"/>
  </r>
  <r>
    <s v="ORD-01354"/>
    <n v="45502"/>
    <n v="8037.12"/>
    <s v="R006"/>
    <x v="2"/>
    <s v="Corporate"/>
    <n v="42"/>
    <x v="0"/>
  </r>
  <r>
    <s v="ORD-01355"/>
    <n v="45466"/>
    <n v="19367.64"/>
    <s v="R027"/>
    <x v="2"/>
    <s v="Retail"/>
    <n v="65"/>
    <x v="2"/>
  </r>
  <r>
    <s v="ORD-01356"/>
    <n v="45500"/>
    <n v="6295.08"/>
    <s v="R008"/>
    <x v="0"/>
    <s v="SMB"/>
    <n v="53"/>
    <x v="0"/>
  </r>
  <r>
    <s v="ORD-01357"/>
    <n v="45337"/>
    <n v="1820.7"/>
    <s v="R012"/>
    <x v="2"/>
    <s v="Retail"/>
    <n v="46"/>
    <x v="1"/>
  </r>
  <r>
    <s v="ORD-01358"/>
    <n v="45447"/>
    <n v="5360.04"/>
    <s v="R019"/>
    <x v="1"/>
    <s v="Retail"/>
    <n v="37"/>
    <x v="3"/>
  </r>
  <r>
    <s v="ORD-01359"/>
    <n v="45546"/>
    <n v="2835.9"/>
    <s v="R026"/>
    <x v="0"/>
    <s v="Retail"/>
    <n v="35"/>
    <x v="2"/>
  </r>
  <r>
    <s v="ORD-01360"/>
    <n v="45451"/>
    <n v="24712.32"/>
    <s v="R006"/>
    <x v="5"/>
    <s v="Retail"/>
    <n v="44"/>
    <x v="0"/>
  </r>
  <r>
    <s v="ORD-01361"/>
    <n v="45427"/>
    <n v="5328"/>
    <s v="R016"/>
    <x v="5"/>
    <s v="SMB"/>
    <n v="40"/>
    <x v="1"/>
  </r>
  <r>
    <s v="ORD-01362"/>
    <n v="45532"/>
    <n v="3100.76"/>
    <s v="R023"/>
    <x v="0"/>
    <s v="Retail"/>
    <n v="22"/>
    <x v="3"/>
  </r>
  <r>
    <s v="ORD-01363"/>
    <n v="45466"/>
    <n v="16625.7"/>
    <s v="R005"/>
    <x v="2"/>
    <s v="Retail"/>
    <n v="26"/>
    <x v="0"/>
  </r>
  <r>
    <s v="ORD-01364"/>
    <n v="45545"/>
    <n v="20889.599999999999"/>
    <s v="R020"/>
    <x v="0"/>
    <s v="Corporate"/>
    <n v="46"/>
    <x v="3"/>
  </r>
  <r>
    <s v="ORD-01365"/>
    <n v="45547"/>
    <n v="2081.8200000000002"/>
    <s v="R022"/>
    <x v="2"/>
    <s v="SMB"/>
    <n v="43"/>
    <x v="3"/>
  </r>
  <r>
    <s v="ORD-01366"/>
    <n v="45547"/>
    <n v="12437.25"/>
    <s v="R013"/>
    <x v="5"/>
    <s v="Retail"/>
    <n v="54"/>
    <x v="1"/>
  </r>
  <r>
    <s v="ORD-01367"/>
    <n v="45550"/>
    <n v="18164.16"/>
    <s v="R023"/>
    <x v="2"/>
    <s v="SMB"/>
    <n v="36"/>
    <x v="3"/>
  </r>
  <r>
    <s v="ORD-01368"/>
    <n v="45551"/>
    <n v="3603.32"/>
    <s v="R002"/>
    <x v="2"/>
    <s v="SMB"/>
    <n v="53"/>
    <x v="0"/>
  </r>
  <r>
    <s v="ORD-01369"/>
    <n v="45560"/>
    <n v="29925.360000000001"/>
    <s v="R012"/>
    <x v="0"/>
    <s v="Corporate"/>
    <n v="46"/>
    <x v="1"/>
  </r>
  <r>
    <s v="ORD-01370"/>
    <n v="45330"/>
    <n v="6029.24"/>
    <s v="R018"/>
    <x v="4"/>
    <s v="Corporate"/>
    <n v="35"/>
    <x v="3"/>
  </r>
  <r>
    <s v="ORD-01371"/>
    <n v="45560"/>
    <n v="43916.32"/>
    <s v="R017"/>
    <x v="1"/>
    <s v="Retail"/>
    <n v="37"/>
    <x v="3"/>
  </r>
  <r>
    <s v="ORD-01372"/>
    <n v="45395"/>
    <n v="1809.4"/>
    <s v="R022"/>
    <x v="3"/>
    <s v="SMB"/>
    <n v="43"/>
    <x v="3"/>
  </r>
  <r>
    <s v="ORD-01373"/>
    <n v="45486"/>
    <n v="7720.72"/>
    <s v="R028"/>
    <x v="2"/>
    <s v="Retail"/>
    <n v="31"/>
    <x v="2"/>
  </r>
  <r>
    <s v="ORD-01374"/>
    <n v="45578"/>
    <n v="10773.42"/>
    <s v="R004"/>
    <x v="2"/>
    <s v="SMB"/>
    <n v="43"/>
    <x v="0"/>
  </r>
  <r>
    <s v="ORD-01375"/>
    <n v="45581"/>
    <n v="15225"/>
    <s v="R019"/>
    <x v="3"/>
    <s v="Retail"/>
    <n v="36"/>
    <x v="3"/>
  </r>
  <r>
    <s v="ORD-01376"/>
    <n v="45508"/>
    <n v="2874.33"/>
    <s v="R027"/>
    <x v="3"/>
    <s v="SMB"/>
    <n v="54"/>
    <x v="2"/>
  </r>
  <r>
    <s v="ORD-01377"/>
    <n v="45303"/>
    <n v="5368.89"/>
    <s v="R017"/>
    <x v="0"/>
    <s v="SMB"/>
    <n v="43"/>
    <x v="3"/>
  </r>
  <r>
    <s v="ORD-01378"/>
    <n v="45412"/>
    <n v="15240.78"/>
    <s v="R026"/>
    <x v="2"/>
    <s v="Retail"/>
    <n v="53"/>
    <x v="2"/>
  </r>
  <r>
    <s v="ORD-01379"/>
    <n v="45400"/>
    <n v="32121.27"/>
    <s v="R029"/>
    <x v="4"/>
    <s v="Corporate"/>
    <n v="46"/>
    <x v="2"/>
  </r>
  <r>
    <s v="ORD-01380"/>
    <n v="45570"/>
    <n v="12278.76"/>
    <s v="R014"/>
    <x v="2"/>
    <s v="SMB"/>
    <n v="65"/>
    <x v="1"/>
  </r>
  <r>
    <s v="ORD-01381"/>
    <n v="45360"/>
    <n v="8559.32"/>
    <s v="R017"/>
    <x v="5"/>
    <s v="Retail"/>
    <n v="44"/>
    <x v="3"/>
  </r>
  <r>
    <s v="ORD-01382"/>
    <n v="45334"/>
    <n v="40618.71"/>
    <s v="R027"/>
    <x v="3"/>
    <s v="Retail"/>
    <n v="63"/>
    <x v="2"/>
  </r>
  <r>
    <s v="ORD-01383"/>
    <n v="45527"/>
    <n v="34419.9"/>
    <s v="R002"/>
    <x v="4"/>
    <s v="Retail"/>
    <n v="56"/>
    <x v="0"/>
  </r>
  <r>
    <s v="ORD-01384"/>
    <n v="45534"/>
    <n v="17704.96"/>
    <s v="R008"/>
    <x v="4"/>
    <s v="Retail"/>
    <n v="41"/>
    <x v="0"/>
  </r>
  <r>
    <s v="ORD-01385"/>
    <n v="45329"/>
    <n v="15856.2"/>
    <s v="R021"/>
    <x v="5"/>
    <s v="Corporate"/>
    <n v="54"/>
    <x v="3"/>
  </r>
  <r>
    <s v="ORD-01386"/>
    <n v="45621"/>
    <n v="3703.6"/>
    <s v="R007"/>
    <x v="1"/>
    <s v="SMB"/>
    <n v="48"/>
    <x v="0"/>
  </r>
  <r>
    <s v="ORD-00168"/>
    <n v="45334"/>
    <n v="23787.54"/>
    <s v="R022"/>
    <x v="1"/>
    <s v="Retail"/>
    <n v="22"/>
    <x v="3"/>
  </r>
  <r>
    <s v="ORD-01388"/>
    <n v="45324"/>
    <n v="10403.879999999999"/>
    <s v="R027"/>
    <x v="0"/>
    <s v="SMB"/>
    <n v="36"/>
    <x v="2"/>
  </r>
  <r>
    <s v="ORD-01389"/>
    <n v="45541"/>
    <n v="6115.2"/>
    <s v="R028"/>
    <x v="5"/>
    <s v="Retail"/>
    <n v="53"/>
    <x v="2"/>
  </r>
  <r>
    <s v="ORD-01390"/>
    <n v="45344"/>
    <n v="33098"/>
    <s v="R007"/>
    <x v="5"/>
    <s v="Retail"/>
    <n v="28"/>
    <x v="0"/>
  </r>
  <r>
    <s v="ORD-01391"/>
    <n v="45388"/>
    <n v="6091.2"/>
    <s v="R030"/>
    <x v="1"/>
    <s v="SMB"/>
    <n v="28"/>
    <x v="2"/>
  </r>
  <r>
    <s v="ORD-01392"/>
    <n v="45407"/>
    <n v="5119.3999999999996"/>
    <s v="R002"/>
    <x v="1"/>
    <s v="Retail"/>
    <n v="29"/>
    <x v="0"/>
  </r>
  <r>
    <s v="ORD-01393"/>
    <n v="45620"/>
    <n v="8619.56"/>
    <s v="R008"/>
    <x v="5"/>
    <s v="SMB"/>
    <n v="46"/>
    <x v="0"/>
  </r>
  <r>
    <s v="ORD-01394"/>
    <n v="45499"/>
    <n v="36004.15"/>
    <s v="R023"/>
    <x v="4"/>
    <s v="Retail"/>
    <n v="50"/>
    <x v="3"/>
  </r>
  <r>
    <s v="ORD-01395"/>
    <n v="45585"/>
    <n v="29083.599999999999"/>
    <s v="R018"/>
    <x v="0"/>
    <s v="Retail"/>
    <n v="41"/>
    <x v="3"/>
  </r>
  <r>
    <s v="ORD-01396"/>
    <n v="45633"/>
    <n v="49733.2"/>
    <s v="R024"/>
    <x v="3"/>
    <s v="SMB"/>
    <n v="40"/>
    <x v="2"/>
  </r>
  <r>
    <s v="ORD-01397"/>
    <n v="45517"/>
    <n v="3553.4"/>
    <s v="R018"/>
    <x v="3"/>
    <s v="SMB"/>
    <n v="26"/>
    <x v="3"/>
  </r>
  <r>
    <s v="ORD-01398"/>
    <n v="45645"/>
    <n v="25357.5"/>
    <s v="R030"/>
    <x v="5"/>
    <s v="Corporate"/>
    <n v="47"/>
    <x v="2"/>
  </r>
  <r>
    <s v="ORD-01399"/>
    <n v="45483"/>
    <n v="43090.65"/>
    <s v="R009"/>
    <x v="1"/>
    <s v="Retail"/>
    <n v="53"/>
    <x v="1"/>
  </r>
  <r>
    <s v="ORD-01400"/>
    <n v="45445"/>
    <n v="30956.85"/>
    <s v="R030"/>
    <x v="0"/>
    <s v="SMB"/>
    <n v="34"/>
    <x v="2"/>
  </r>
  <r>
    <s v="ORD-01401"/>
    <n v="45614"/>
    <n v="27302.400000000001"/>
    <s v="R025"/>
    <x v="0"/>
    <s v="Retail"/>
    <n v="29"/>
    <x v="2"/>
  </r>
  <r>
    <s v="ORD-01402"/>
    <n v="45433"/>
    <n v="3640.56"/>
    <s v="R026"/>
    <x v="5"/>
    <s v="Corporate"/>
    <n v="57"/>
    <x v="2"/>
  </r>
  <r>
    <s v="ORD-01403"/>
    <n v="45402"/>
    <n v="15015"/>
    <s v="R022"/>
    <x v="0"/>
    <s v="SMB"/>
    <n v="54"/>
    <x v="3"/>
  </r>
  <r>
    <s v="ORD-01404"/>
    <n v="45302"/>
    <n v="13759.2"/>
    <s v="R002"/>
    <x v="1"/>
    <s v="Retail"/>
    <n v="60"/>
    <x v="0"/>
  </r>
  <r>
    <s v="ORD-01405"/>
    <n v="45526"/>
    <n v="22301.279999999999"/>
    <s v="R025"/>
    <x v="0"/>
    <s v="Retail"/>
    <n v="59"/>
    <x v="2"/>
  </r>
  <r>
    <s v="ORD-01406"/>
    <n v="45648"/>
    <n v="13321.6"/>
    <s v="R004"/>
    <x v="0"/>
    <s v="Retail"/>
    <n v="49"/>
    <x v="0"/>
  </r>
  <r>
    <s v="ORD-01407"/>
    <n v="45325"/>
    <n v="3443.1"/>
    <s v="R004"/>
    <x v="0"/>
    <s v="Retail"/>
    <n v="61"/>
    <x v="0"/>
  </r>
  <r>
    <s v="ORD-01408"/>
    <n v="45640"/>
    <n v="24307.919999999998"/>
    <s v="R014"/>
    <x v="0"/>
    <s v="SMB"/>
    <n v="29"/>
    <x v="1"/>
  </r>
  <r>
    <s v="ORD-01409"/>
    <n v="45423"/>
    <n v="5105.7"/>
    <s v="R023"/>
    <x v="0"/>
    <s v="Retail"/>
    <n v="33"/>
    <x v="3"/>
  </r>
  <r>
    <s v="ORD-01410"/>
    <n v="45423"/>
    <n v="35607.599999999999"/>
    <s v="R016"/>
    <x v="1"/>
    <s v="Retail"/>
    <n v="24"/>
    <x v="1"/>
  </r>
  <r>
    <s v="ORD-01411"/>
    <n v="45518"/>
    <n v="18467.61"/>
    <s v="R009"/>
    <x v="4"/>
    <s v="SMB"/>
    <n v="55"/>
    <x v="1"/>
  </r>
  <r>
    <s v="ORD-01412"/>
    <n v="45306"/>
    <n v="3174.6"/>
    <s v="R002"/>
    <x v="5"/>
    <s v="Retail"/>
    <n v="24"/>
    <x v="0"/>
  </r>
  <r>
    <s v="ORD-01413"/>
    <n v="45346"/>
    <n v="1789.44"/>
    <s v="R012"/>
    <x v="5"/>
    <s v="SMB"/>
    <n v="54"/>
    <x v="1"/>
  </r>
  <r>
    <s v="ORD-01414"/>
    <n v="45376"/>
    <n v="583.20000000000005"/>
    <s v="R006"/>
    <x v="4"/>
    <s v="Corporate"/>
    <n v="62"/>
    <x v="0"/>
  </r>
  <r>
    <s v="ORD-01415"/>
    <n v="45561"/>
    <n v="34469.4"/>
    <s v="R027"/>
    <x v="2"/>
    <s v="Retail"/>
    <n v="57"/>
    <x v="2"/>
  </r>
  <r>
    <s v="ORD-01416"/>
    <n v="45320"/>
    <n v="31340.400000000001"/>
    <s v="R022"/>
    <x v="4"/>
    <s v="Retail"/>
    <n v="36"/>
    <x v="3"/>
  </r>
  <r>
    <s v="ORD-01417"/>
    <n v="45572"/>
    <n v="25345.35"/>
    <s v="R021"/>
    <x v="3"/>
    <s v="Retail"/>
    <n v="44"/>
    <x v="3"/>
  </r>
  <r>
    <s v="ORD-01418"/>
    <n v="45611"/>
    <n v="5812.48"/>
    <s v="R030"/>
    <x v="5"/>
    <s v="Retail"/>
    <n v="60"/>
    <x v="2"/>
  </r>
  <r>
    <s v="ORD-01419"/>
    <n v="45524"/>
    <n v="12348.8"/>
    <s v="R025"/>
    <x v="0"/>
    <s v="Retail"/>
    <n v="33"/>
    <x v="2"/>
  </r>
  <r>
    <s v="ORD-01420"/>
    <n v="45438"/>
    <n v="2911.8"/>
    <s v="R023"/>
    <x v="0"/>
    <s v="Retail"/>
    <n v="61"/>
    <x v="3"/>
  </r>
  <r>
    <s v="ORD-01421"/>
    <n v="45484"/>
    <n v="2171.2800000000002"/>
    <s v="R022"/>
    <x v="3"/>
    <s v="Retail"/>
    <n v="53"/>
    <x v="3"/>
  </r>
  <r>
    <s v="ORD-01422"/>
    <n v="45643"/>
    <n v="6497.4"/>
    <s v="R017"/>
    <x v="4"/>
    <s v="Retail"/>
    <n v="38"/>
    <x v="3"/>
  </r>
  <r>
    <s v="ORD-01423"/>
    <n v="45437"/>
    <n v="21516.48"/>
    <s v="R014"/>
    <x v="0"/>
    <s v="SMB"/>
    <n v="55"/>
    <x v="1"/>
  </r>
  <r>
    <s v="ORD-01424"/>
    <n v="45303"/>
    <n v="32489.1"/>
    <s v="R022"/>
    <x v="2"/>
    <s v="Retail"/>
    <n v="25"/>
    <x v="3"/>
  </r>
  <r>
    <s v="ORD-01425"/>
    <n v="45631"/>
    <n v="19751.900000000001"/>
    <s v="R010"/>
    <x v="2"/>
    <s v="SMB"/>
    <n v="28"/>
    <x v="1"/>
  </r>
  <r>
    <s v="ORD-01426"/>
    <n v="45564"/>
    <n v="1924.8"/>
    <s v="R002"/>
    <x v="4"/>
    <s v="Corporate"/>
    <n v="40"/>
    <x v="0"/>
  </r>
  <r>
    <s v="ORD-01427"/>
    <n v="45454"/>
    <n v="25577.5"/>
    <s v="R002"/>
    <x v="3"/>
    <s v="SMB"/>
    <n v="22"/>
    <x v="0"/>
  </r>
  <r>
    <s v="ORD-01428"/>
    <n v="45616"/>
    <n v="4936.3599999999997"/>
    <s v="R009"/>
    <x v="1"/>
    <s v="Retail"/>
    <n v="36"/>
    <x v="1"/>
  </r>
  <r>
    <s v="ORD-01429"/>
    <n v="45523"/>
    <n v="10321.200000000001"/>
    <s v="R017"/>
    <x v="4"/>
    <s v="Retail"/>
    <n v="24"/>
    <x v="3"/>
  </r>
  <r>
    <s v="ORD-01430"/>
    <n v="45439"/>
    <n v="11124.54"/>
    <s v="R010"/>
    <x v="2"/>
    <s v="Retail"/>
    <n v="27"/>
    <x v="1"/>
  </r>
  <r>
    <s v="ORD-01431"/>
    <n v="45579"/>
    <n v="32775.300000000003"/>
    <s v="R018"/>
    <x v="3"/>
    <s v="Retail"/>
    <n v="47"/>
    <x v="3"/>
  </r>
  <r>
    <s v="ORD-01432"/>
    <n v="45495"/>
    <n v="10691.7"/>
    <s v="R029"/>
    <x v="2"/>
    <s v="Corporate"/>
    <n v="54"/>
    <x v="2"/>
  </r>
  <r>
    <s v="ORD-01433"/>
    <n v="45600"/>
    <n v="13876.59"/>
    <s v="R023"/>
    <x v="2"/>
    <s v="Corporate"/>
    <n v="24"/>
    <x v="3"/>
  </r>
  <r>
    <s v="ORD-01434"/>
    <n v="45605"/>
    <n v="6827.76"/>
    <s v="R009"/>
    <x v="3"/>
    <s v="Unknown"/>
    <s v=""/>
    <x v="1"/>
  </r>
  <r>
    <s v="ORD-01435"/>
    <n v="45598"/>
    <n v="14346.8"/>
    <s v="R002"/>
    <x v="0"/>
    <s v="Corporate"/>
    <n v="41"/>
    <x v="0"/>
  </r>
  <r>
    <s v="ORD-01436"/>
    <n v="45452"/>
    <n v="5076.26"/>
    <s v="R028"/>
    <x v="1"/>
    <s v="Retail"/>
    <n v="39"/>
    <x v="2"/>
  </r>
  <r>
    <s v="ORD-01437"/>
    <n v="45470"/>
    <n v="2951.62"/>
    <s v="R015"/>
    <x v="3"/>
    <s v="Corporate"/>
    <n v="51"/>
    <x v="1"/>
  </r>
  <r>
    <s v="ORD-01438"/>
    <n v="45350"/>
    <n v="31788.12"/>
    <s v="R012"/>
    <x v="4"/>
    <s v="Retail"/>
    <n v="41"/>
    <x v="1"/>
  </r>
  <r>
    <s v="ORD-01439"/>
    <n v="45514"/>
    <n v="3907.2"/>
    <s v="R007"/>
    <x v="4"/>
    <s v="Retail"/>
    <n v="42"/>
    <x v="0"/>
  </r>
  <r>
    <s v="ORD-01440"/>
    <n v="45447"/>
    <n v="20662.88"/>
    <s v="R012"/>
    <x v="4"/>
    <s v="SMB"/>
    <n v="22"/>
    <x v="1"/>
  </r>
  <r>
    <s v="ORD-01441"/>
    <n v="45390"/>
    <n v="17335.5"/>
    <s v="R023"/>
    <x v="3"/>
    <s v="SMB"/>
    <n v="53"/>
    <x v="3"/>
  </r>
  <r>
    <s v="ORD-01442"/>
    <n v="45307"/>
    <n v="2132.65"/>
    <s v="R004"/>
    <x v="2"/>
    <s v="Retail"/>
    <n v="25"/>
    <x v="0"/>
  </r>
  <r>
    <s v="ORD-01443"/>
    <n v="45432"/>
    <n v="2917.08"/>
    <s v="R019"/>
    <x v="3"/>
    <s v="Retail"/>
    <n v="57"/>
    <x v="3"/>
  </r>
  <r>
    <s v="ORD-01444"/>
    <n v="45453"/>
    <n v="10376.1"/>
    <s v="R022"/>
    <x v="1"/>
    <s v="Retail"/>
    <n v="24"/>
    <x v="3"/>
  </r>
  <r>
    <s v="ORD-01445"/>
    <n v="45397"/>
    <n v="1965.46"/>
    <s v="R002"/>
    <x v="1"/>
    <s v="Retail"/>
    <n v="22"/>
    <x v="0"/>
  </r>
  <r>
    <s v="ORD-01446"/>
    <n v="45639"/>
    <n v="1423.52"/>
    <s v="R012"/>
    <x v="0"/>
    <s v="Retail"/>
    <n v="61"/>
    <x v="1"/>
  </r>
  <r>
    <s v="ORD-01447"/>
    <n v="45482"/>
    <n v="3147.6"/>
    <s v="R012"/>
    <x v="2"/>
    <s v="SMB"/>
    <n v="29"/>
    <x v="1"/>
  </r>
  <r>
    <s v="ORD-01448"/>
    <n v="45447"/>
    <n v="11440.8"/>
    <s v="R017"/>
    <x v="2"/>
    <s v="Retail"/>
    <n v="37"/>
    <x v="3"/>
  </r>
  <r>
    <s v="ORD-01449"/>
    <n v="45598"/>
    <n v="4784.6400000000003"/>
    <s v="R019"/>
    <x v="5"/>
    <s v="Retail"/>
    <n v="41"/>
    <x v="3"/>
  </r>
  <r>
    <s v="ORD-01450"/>
    <n v="45645"/>
    <n v="17648.82"/>
    <s v="R025"/>
    <x v="3"/>
    <s v="SMB"/>
    <n v="53"/>
    <x v="2"/>
  </r>
  <r>
    <s v="ORD-01451"/>
    <n v="45299"/>
    <n v="12395.04"/>
    <s v="R005"/>
    <x v="2"/>
    <s v="SMB"/>
    <n v="49"/>
    <x v="0"/>
  </r>
  <r>
    <s v="ORD-01452"/>
    <n v="45308"/>
    <n v="31498.5"/>
    <s v="R009"/>
    <x v="5"/>
    <s v="SMB"/>
    <n v="51"/>
    <x v="1"/>
  </r>
  <r>
    <s v="ORD-01453"/>
    <n v="45487"/>
    <n v="4573.4399999999996"/>
    <s v="R021"/>
    <x v="5"/>
    <s v="Retail"/>
    <n v="53"/>
    <x v="3"/>
  </r>
  <r>
    <s v="ORD-01454"/>
    <n v="45341"/>
    <n v="35101.599999999999"/>
    <s v="R013"/>
    <x v="0"/>
    <s v="Retail"/>
    <n v="63"/>
    <x v="1"/>
  </r>
  <r>
    <s v="ORD-01455"/>
    <n v="45354"/>
    <n v="8769.2800000000007"/>
    <s v="R014"/>
    <x v="0"/>
    <s v="Retail"/>
    <n v="53"/>
    <x v="1"/>
  </r>
  <r>
    <s v="ORD-01456"/>
    <n v="45458"/>
    <n v="5148.3999999999996"/>
    <s v="R029"/>
    <x v="4"/>
    <s v="SMB"/>
    <n v="29"/>
    <x v="2"/>
  </r>
  <r>
    <s v="ORD-01457"/>
    <n v="45364"/>
    <n v="4632.5"/>
    <s v="R026"/>
    <x v="3"/>
    <s v="Retail"/>
    <n v="27"/>
    <x v="2"/>
  </r>
  <r>
    <s v="ORD-01458"/>
    <n v="45618"/>
    <n v="2484.1799999999998"/>
    <s v="R029"/>
    <x v="3"/>
    <s v="SMB"/>
    <n v="54"/>
    <x v="2"/>
  </r>
  <r>
    <s v="ORD-01459"/>
    <n v="45456"/>
    <n v="17217.2"/>
    <s v="R007"/>
    <x v="1"/>
    <s v="SMB"/>
    <n v="43"/>
    <x v="0"/>
  </r>
  <r>
    <s v="ORD-01460"/>
    <n v="45490"/>
    <n v="2172.4299999999998"/>
    <s v="R026"/>
    <x v="2"/>
    <s v="Corporate"/>
    <n v="26"/>
    <x v="2"/>
  </r>
  <r>
    <s v="ORD-01461"/>
    <n v="45584"/>
    <n v="2319.27"/>
    <s v="R025"/>
    <x v="2"/>
    <s v="SMB"/>
    <n v="24"/>
    <x v="2"/>
  </r>
  <r>
    <s v="ORD-01462"/>
    <n v="45476"/>
    <n v="14756.2"/>
    <s v="R021"/>
    <x v="0"/>
    <s v="Retail"/>
    <n v="27"/>
    <x v="3"/>
  </r>
  <r>
    <s v="ORD-01463"/>
    <n v="45387"/>
    <n v="9417.6"/>
    <s v="R023"/>
    <x v="3"/>
    <s v="Corporate"/>
    <n v="56"/>
    <x v="3"/>
  </r>
  <r>
    <s v="ORD-01464"/>
    <n v="45324"/>
    <n v="3590.46"/>
    <s v="R011"/>
    <x v="4"/>
    <s v="Retail"/>
    <n v="59"/>
    <x v="1"/>
  </r>
  <r>
    <s v="ORD-01465"/>
    <n v="45479"/>
    <n v="3181.69"/>
    <s v="R009"/>
    <x v="3"/>
    <s v="Unknown"/>
    <s v=""/>
    <x v="1"/>
  </r>
  <r>
    <s v="ORD-01466"/>
    <n v="45628"/>
    <n v="3723.72"/>
    <s v="R001"/>
    <x v="4"/>
    <s v="SMB"/>
    <n v="52"/>
    <x v="0"/>
  </r>
  <r>
    <s v="ORD-01467"/>
    <n v="45413"/>
    <n v="9509.1200000000008"/>
    <s v="R018"/>
    <x v="5"/>
    <s v="Corporate"/>
    <n v="56"/>
    <x v="3"/>
  </r>
  <r>
    <s v="ORD-01468"/>
    <n v="45343"/>
    <n v="32451.3"/>
    <s v="R015"/>
    <x v="5"/>
    <s v="Retail"/>
    <n v="26"/>
    <x v="1"/>
  </r>
  <r>
    <s v="ORD-01469"/>
    <n v="45424"/>
    <n v="16335.75"/>
    <s v="R014"/>
    <x v="0"/>
    <s v="SMB"/>
    <n v="43"/>
    <x v="1"/>
  </r>
  <r>
    <s v="ORD-01470"/>
    <n v="45632"/>
    <n v="17714.34"/>
    <s v="R002"/>
    <x v="4"/>
    <s v="Retail"/>
    <n v="44"/>
    <x v="0"/>
  </r>
  <r>
    <s v="ORD-01471"/>
    <n v="45444"/>
    <n v="22156.2"/>
    <s v="R018"/>
    <x v="3"/>
    <s v="Retail"/>
    <n v="38"/>
    <x v="3"/>
  </r>
  <r>
    <s v="ORD-01472"/>
    <n v="45545"/>
    <n v="13139.28"/>
    <s v="R019"/>
    <x v="1"/>
    <s v="Corporate"/>
    <n v="55"/>
    <x v="3"/>
  </r>
  <r>
    <s v="ORD-01473"/>
    <n v="45511"/>
    <n v="1812.22"/>
    <s v="R011"/>
    <x v="0"/>
    <s v="SMB"/>
    <n v="42"/>
    <x v="1"/>
  </r>
  <r>
    <s v="ORD-01474"/>
    <n v="45577"/>
    <n v="4199.58"/>
    <s v="R007"/>
    <x v="3"/>
    <s v="Retail"/>
    <n v="63"/>
    <x v="0"/>
  </r>
  <r>
    <s v="ORD-01475"/>
    <n v="45507"/>
    <n v="22524.32"/>
    <s v="R030"/>
    <x v="0"/>
    <s v="Retail"/>
    <n v="33"/>
    <x v="2"/>
  </r>
  <r>
    <s v="ORD-01476"/>
    <n v="45415"/>
    <n v="32200.32"/>
    <s v="R019"/>
    <x v="1"/>
    <s v="Corporate"/>
    <n v="52"/>
    <x v="3"/>
  </r>
  <r>
    <s v="ORD-01477"/>
    <n v="45342"/>
    <n v="8601.6"/>
    <s v="R008"/>
    <x v="1"/>
    <s v="Retail"/>
    <n v="40"/>
    <x v="0"/>
  </r>
  <r>
    <s v="ORD-01478"/>
    <n v="45333"/>
    <n v="10387.08"/>
    <s v="R028"/>
    <x v="3"/>
    <s v="Corporate"/>
    <n v="35"/>
    <x v="2"/>
  </r>
  <r>
    <s v="ORD-01479"/>
    <n v="45516"/>
    <n v="9184.56"/>
    <s v="R016"/>
    <x v="5"/>
    <s v="Retail"/>
    <n v="42"/>
    <x v="1"/>
  </r>
  <r>
    <s v="ORD-01480"/>
    <n v="45343"/>
    <n v="15830.1"/>
    <s v="R001"/>
    <x v="4"/>
    <s v="Retail"/>
    <n v="31"/>
    <x v="0"/>
  </r>
  <r>
    <s v="ORD-01481"/>
    <n v="45522"/>
    <n v="14877.72"/>
    <s v="R012"/>
    <x v="1"/>
    <s v="Corporate"/>
    <n v="60"/>
    <x v="1"/>
  </r>
  <r>
    <s v="ORD-01482"/>
    <n v="45305"/>
    <n v="12868.56"/>
    <s v="R006"/>
    <x v="5"/>
    <s v="Retail"/>
    <n v="52"/>
    <x v="0"/>
  </r>
  <r>
    <s v="ORD-01483"/>
    <n v="45353"/>
    <n v="12186.05"/>
    <s v="R005"/>
    <x v="0"/>
    <s v="SMB"/>
    <n v="59"/>
    <x v="0"/>
  </r>
  <r>
    <s v="ORD-01484"/>
    <n v="45525"/>
    <n v="25725.599999999999"/>
    <s v="R020"/>
    <x v="4"/>
    <s v="Unknown"/>
    <s v=""/>
    <x v="3"/>
  </r>
  <r>
    <s v="ORD-01485"/>
    <n v="45593"/>
    <n v="1520.92"/>
    <s v="R027"/>
    <x v="1"/>
    <s v="Retail"/>
    <n v="44"/>
    <x v="2"/>
  </r>
  <r>
    <s v="ORD-01486"/>
    <n v="45550"/>
    <n v="30892.68"/>
    <s v="R025"/>
    <x v="4"/>
    <s v="Retail"/>
    <n v="29"/>
    <x v="2"/>
  </r>
  <r>
    <s v="ORD-01487"/>
    <n v="45511"/>
    <n v="4146.3599999999997"/>
    <s v="R012"/>
    <x v="3"/>
    <s v="SMB"/>
    <n v="46"/>
    <x v="1"/>
  </r>
  <r>
    <s v="ORD-01488"/>
    <n v="45456"/>
    <n v="1737.2"/>
    <s v="R009"/>
    <x v="1"/>
    <s v="SMB"/>
    <n v="30"/>
    <x v="1"/>
  </r>
  <r>
    <s v="ORD-01489"/>
    <n v="45343"/>
    <n v="31973.94"/>
    <s v="R016"/>
    <x v="4"/>
    <s v="Corporate"/>
    <n v="40"/>
    <x v="1"/>
  </r>
  <r>
    <s v="ORD-01490"/>
    <n v="45491"/>
    <n v="15659.42"/>
    <s v="R013"/>
    <x v="4"/>
    <s v="Retail"/>
    <n v="41"/>
    <x v="1"/>
  </r>
  <r>
    <s v="ORD-01491"/>
    <n v="45619"/>
    <n v="4255.68"/>
    <s v="R019"/>
    <x v="4"/>
    <s v="Corporate"/>
    <n v="55"/>
    <x v="3"/>
  </r>
  <r>
    <s v="ORD-01492"/>
    <n v="45374"/>
    <n v="15733.12"/>
    <s v="R023"/>
    <x v="5"/>
    <s v="Corporate"/>
    <n v="36"/>
    <x v="3"/>
  </r>
  <r>
    <s v="ORD-01493"/>
    <n v="45566"/>
    <n v="345.8"/>
    <s v="R001"/>
    <x v="1"/>
    <s v="Retail"/>
    <n v="55"/>
    <x v="0"/>
  </r>
  <r>
    <s v="ORD-01494"/>
    <n v="45415"/>
    <n v="2911.28"/>
    <s v="R019"/>
    <x v="5"/>
    <s v="Corporate"/>
    <n v="31"/>
    <x v="3"/>
  </r>
  <r>
    <s v="ORD-01495"/>
    <n v="45601"/>
    <n v="9564.7999999999993"/>
    <s v="R019"/>
    <x v="5"/>
    <s v="Corporate"/>
    <n v="57"/>
    <x v="3"/>
  </r>
  <r>
    <s v="ORD-01496"/>
    <n v="45319"/>
    <n v="8496"/>
    <s v="R027"/>
    <x v="1"/>
    <s v="Corporate"/>
    <n v="41"/>
    <x v="2"/>
  </r>
  <r>
    <s v="ORD-01497"/>
    <n v="45357"/>
    <n v="12099.2"/>
    <s v="R002"/>
    <x v="5"/>
    <s v="Retail"/>
    <n v="65"/>
    <x v="0"/>
  </r>
  <r>
    <s v="ORD-01498"/>
    <n v="45384"/>
    <n v="14610.82"/>
    <s v="R023"/>
    <x v="2"/>
    <s v="Retail"/>
    <n v="32"/>
    <x v="3"/>
  </r>
  <r>
    <s v="ORD-01499"/>
    <n v="45509"/>
    <n v="12227.6"/>
    <s v="R001"/>
    <x v="5"/>
    <s v="SMB"/>
    <n v="62"/>
    <x v="0"/>
  </r>
  <r>
    <s v="ORD-01500"/>
    <n v="45520"/>
    <n v="25437.51"/>
    <s v="R028"/>
    <x v="4"/>
    <s v="Retail"/>
    <n v="49"/>
    <x v="2"/>
  </r>
  <r>
    <s v="ORD-01501"/>
    <n v="45383"/>
    <n v="957.93"/>
    <s v="R021"/>
    <x v="3"/>
    <s v="Corporate"/>
    <n v="40"/>
    <x v="3"/>
  </r>
  <r>
    <s v="ORD-01502"/>
    <n v="45328"/>
    <n v="1516.96"/>
    <s v="R027"/>
    <x v="1"/>
    <s v="Retail"/>
    <n v="42"/>
    <x v="2"/>
  </r>
  <r>
    <s v="ORD-01503"/>
    <n v="45501"/>
    <n v="8571.42"/>
    <s v="R011"/>
    <x v="4"/>
    <s v="Retail"/>
    <n v="39"/>
    <x v="1"/>
  </r>
  <r>
    <s v="ORD-01504"/>
    <n v="45346"/>
    <n v="1823.6"/>
    <s v="R020"/>
    <x v="1"/>
    <s v="Corporate"/>
    <n v="35"/>
    <x v="3"/>
  </r>
  <r>
    <s v="ORD-01505"/>
    <n v="45446"/>
    <n v="14083.36"/>
    <s v="R004"/>
    <x v="0"/>
    <s v="Retail"/>
    <n v="49"/>
    <x v="0"/>
  </r>
  <r>
    <s v="ORD-01506"/>
    <n v="45521"/>
    <n v="20252"/>
    <s v="R012"/>
    <x v="5"/>
    <s v="Retail"/>
    <n v="49"/>
    <x v="1"/>
  </r>
  <r>
    <s v="ORD-01507"/>
    <n v="45483"/>
    <n v="28274.400000000001"/>
    <s v="R009"/>
    <x v="4"/>
    <s v="Retail"/>
    <n v="26"/>
    <x v="1"/>
  </r>
  <r>
    <s v="ORD-01508"/>
    <n v="45370"/>
    <n v="16001.1"/>
    <s v="R025"/>
    <x v="1"/>
    <s v="Retail"/>
    <n v="34"/>
    <x v="2"/>
  </r>
  <r>
    <s v="ORD-01509"/>
    <n v="45456"/>
    <n v="7840.8"/>
    <s v="R002"/>
    <x v="3"/>
    <s v="Corporate"/>
    <n v="55"/>
    <x v="0"/>
  </r>
  <r>
    <s v="ORD-01510"/>
    <n v="45605"/>
    <n v="7659.96"/>
    <s v="R025"/>
    <x v="5"/>
    <s v="SMB"/>
    <n v="59"/>
    <x v="2"/>
  </r>
  <r>
    <s v="ORD-01511"/>
    <n v="45556"/>
    <n v="11734.08"/>
    <s v="R013"/>
    <x v="0"/>
    <s v="Unknown"/>
    <s v=""/>
    <x v="1"/>
  </r>
  <r>
    <s v="ORD-01512"/>
    <n v="45569"/>
    <n v="9032.24"/>
    <s v="R005"/>
    <x v="3"/>
    <s v="Retail"/>
    <n v="27"/>
    <x v="0"/>
  </r>
  <r>
    <s v="ORD-01513"/>
    <n v="45329"/>
    <n v="2762.1"/>
    <s v="R008"/>
    <x v="0"/>
    <s v="Unknown"/>
    <s v=""/>
    <x v="0"/>
  </r>
  <r>
    <s v="ORD-01514"/>
    <n v="45377"/>
    <n v="7068"/>
    <s v="R003"/>
    <x v="0"/>
    <s v="SMB"/>
    <n v="54"/>
    <x v="0"/>
  </r>
  <r>
    <s v="ORD-01515"/>
    <n v="45537"/>
    <n v="7099.29"/>
    <s v="R005"/>
    <x v="1"/>
    <s v="Corporate"/>
    <n v="55"/>
    <x v="0"/>
  </r>
  <r>
    <s v="ORD-01516"/>
    <n v="45550"/>
    <n v="1976.4"/>
    <s v="R004"/>
    <x v="3"/>
    <s v="Retail"/>
    <n v="22"/>
    <x v="0"/>
  </r>
  <r>
    <s v="ORD-01517"/>
    <n v="45325"/>
    <n v="2162"/>
    <s v="R025"/>
    <x v="1"/>
    <s v="Retail"/>
    <n v="53"/>
    <x v="2"/>
  </r>
  <r>
    <s v="ORD-01518"/>
    <n v="45375"/>
    <n v="29119.95"/>
    <s v="R020"/>
    <x v="4"/>
    <s v="Retail"/>
    <n v="25"/>
    <x v="3"/>
  </r>
  <r>
    <s v="ORD-01519"/>
    <n v="45614"/>
    <n v="11954.25"/>
    <s v="R010"/>
    <x v="5"/>
    <s v="Retail"/>
    <n v="29"/>
    <x v="1"/>
  </r>
  <r>
    <s v="ORD-01520"/>
    <n v="45364"/>
    <n v="28913.85"/>
    <s v="R006"/>
    <x v="5"/>
    <s v="Retail"/>
    <n v="31"/>
    <x v="0"/>
  </r>
  <r>
    <s v="ORD-01521"/>
    <n v="45342"/>
    <n v="23454.76"/>
    <s v="R023"/>
    <x v="4"/>
    <s v="Corporate"/>
    <n v="55"/>
    <x v="3"/>
  </r>
  <r>
    <s v="ORD-01522"/>
    <n v="45454"/>
    <n v="21511.98"/>
    <s v="R018"/>
    <x v="2"/>
    <s v="Retail"/>
    <n v="36"/>
    <x v="3"/>
  </r>
  <r>
    <s v="ORD-01523"/>
    <n v="45625"/>
    <n v="2663.36"/>
    <s v="R013"/>
    <x v="0"/>
    <s v="Retail"/>
    <n v="49"/>
    <x v="1"/>
  </r>
  <r>
    <s v="ORD-01524"/>
    <n v="45600"/>
    <n v="1339.8"/>
    <s v="R022"/>
    <x v="5"/>
    <s v="Retail"/>
    <n v="56"/>
    <x v="3"/>
  </r>
  <r>
    <s v="ORD-01525"/>
    <n v="45397"/>
    <n v="7484.4"/>
    <s v="R021"/>
    <x v="2"/>
    <s v="Retail"/>
    <n v="25"/>
    <x v="3"/>
  </r>
  <r>
    <s v="ORD-01526"/>
    <n v="45417"/>
    <n v="9215.7000000000007"/>
    <s v="R027"/>
    <x v="2"/>
    <s v="Retail"/>
    <n v="41"/>
    <x v="2"/>
  </r>
  <r>
    <s v="ORD-01527"/>
    <n v="45487"/>
    <n v="62043.6"/>
    <s v="R010"/>
    <x v="1"/>
    <s v="Retail"/>
    <n v="27"/>
    <x v="1"/>
  </r>
  <r>
    <s v="ORD-01528"/>
    <n v="45454"/>
    <n v="16084.96"/>
    <s v="R005"/>
    <x v="5"/>
    <s v="SMB"/>
    <n v="62"/>
    <x v="0"/>
  </r>
  <r>
    <s v="ORD-01529"/>
    <n v="45529"/>
    <n v="7734.3"/>
    <s v="R025"/>
    <x v="3"/>
    <s v="Retail"/>
    <n v="26"/>
    <x v="2"/>
  </r>
  <r>
    <s v="ORD-01530"/>
    <n v="45546"/>
    <n v="10992.93"/>
    <s v="R029"/>
    <x v="4"/>
    <s v="SMB"/>
    <n v="30"/>
    <x v="2"/>
  </r>
  <r>
    <s v="ORD-01821"/>
    <n v="45481"/>
    <n v="775.72"/>
    <s v="R016"/>
    <x v="0"/>
    <s v="Corporate"/>
    <n v="51"/>
    <x v="1"/>
  </r>
  <r>
    <s v="ORD-01532"/>
    <n v="45472"/>
    <n v="11389.41"/>
    <s v="R025"/>
    <x v="4"/>
    <s v="Retail"/>
    <n v="31"/>
    <x v="2"/>
  </r>
  <r>
    <s v="ORD-01533"/>
    <n v="45296"/>
    <n v="4242.78"/>
    <s v="R022"/>
    <x v="2"/>
    <s v="Retail"/>
    <n v="44"/>
    <x v="3"/>
  </r>
  <r>
    <s v="ORD-01534"/>
    <n v="45567"/>
    <n v="3572.16"/>
    <s v="R025"/>
    <x v="5"/>
    <s v="SMB"/>
    <n v="43"/>
    <x v="2"/>
  </r>
  <r>
    <s v="ORD-01535"/>
    <n v="45337"/>
    <n v="1766.06"/>
    <s v="R023"/>
    <x v="2"/>
    <s v="Corporate"/>
    <n v="41"/>
    <x v="3"/>
  </r>
  <r>
    <s v="ORD-01536"/>
    <n v="45376"/>
    <n v="26944.5"/>
    <s v="R026"/>
    <x v="5"/>
    <s v="SMB"/>
    <n v="46"/>
    <x v="2"/>
  </r>
  <r>
    <s v="ORD-01537"/>
    <n v="45616"/>
    <n v="5509.29"/>
    <s v="R011"/>
    <x v="2"/>
    <s v="SMB"/>
    <n v="43"/>
    <x v="1"/>
  </r>
  <r>
    <s v="ORD-01538"/>
    <n v="45360"/>
    <n v="17171.7"/>
    <s v="R030"/>
    <x v="2"/>
    <s v="Retail"/>
    <n v="28"/>
    <x v="2"/>
  </r>
  <r>
    <s v="ORD-01539"/>
    <n v="45465"/>
    <n v="13739.04"/>
    <s v="R011"/>
    <x v="3"/>
    <s v="SMB"/>
    <n v="59"/>
    <x v="1"/>
  </r>
  <r>
    <s v="ORD-01540"/>
    <n v="45380"/>
    <n v="13701.5"/>
    <s v="R023"/>
    <x v="5"/>
    <s v="Retail"/>
    <n v="44"/>
    <x v="3"/>
  </r>
  <r>
    <s v="ORD-01541"/>
    <n v="45358"/>
    <n v="21810.880000000001"/>
    <s v="R008"/>
    <x v="0"/>
    <s v="Retail"/>
    <n v="35"/>
    <x v="0"/>
  </r>
  <r>
    <s v="ORD-01542"/>
    <n v="45385"/>
    <n v="24808.95"/>
    <s v="R018"/>
    <x v="1"/>
    <s v="Retail"/>
    <n v="37"/>
    <x v="3"/>
  </r>
  <r>
    <s v="ORD-01543"/>
    <n v="45443"/>
    <n v="16580.7"/>
    <s v="R003"/>
    <x v="5"/>
    <s v="SMB"/>
    <n v="38"/>
    <x v="0"/>
  </r>
  <r>
    <s v="ORD-01544"/>
    <n v="45599"/>
    <n v="8720.32"/>
    <s v="R022"/>
    <x v="5"/>
    <s v="Retail"/>
    <n v="31"/>
    <x v="3"/>
  </r>
  <r>
    <s v="ORD-01545"/>
    <n v="45479"/>
    <n v="8432.64"/>
    <s v="R010"/>
    <x v="1"/>
    <s v="Retail"/>
    <n v="65"/>
    <x v="1"/>
  </r>
  <r>
    <s v="ORD-01546"/>
    <n v="45489"/>
    <n v="32652.63"/>
    <s v="R025"/>
    <x v="3"/>
    <s v="SMB"/>
    <n v="26"/>
    <x v="2"/>
  </r>
  <r>
    <s v="ORD-01547"/>
    <n v="45514"/>
    <n v="3089.04"/>
    <s v="R003"/>
    <x v="2"/>
    <s v="SMB"/>
    <n v="53"/>
    <x v="0"/>
  </r>
  <r>
    <s v="ORD-01548"/>
    <n v="45653"/>
    <n v="10586.8"/>
    <s v="R012"/>
    <x v="4"/>
    <s v="Corporate"/>
    <n v="46"/>
    <x v="1"/>
  </r>
  <r>
    <s v="ORD-01549"/>
    <n v="45401"/>
    <n v="12258.4"/>
    <s v="R026"/>
    <x v="5"/>
    <s v="SMB"/>
    <n v="38"/>
    <x v="2"/>
  </r>
  <r>
    <s v="ORD-01550"/>
    <n v="45621"/>
    <n v="12307"/>
    <s v="R004"/>
    <x v="4"/>
    <s v="Retail"/>
    <n v="59"/>
    <x v="0"/>
  </r>
  <r>
    <s v="ORD-01551"/>
    <n v="45368"/>
    <n v="29090.880000000001"/>
    <s v="R007"/>
    <x v="1"/>
    <s v="SMB"/>
    <n v="62"/>
    <x v="0"/>
  </r>
  <r>
    <s v="ORD-01552"/>
    <n v="45550"/>
    <n v="8734.9599999999991"/>
    <s v="R004"/>
    <x v="2"/>
    <s v="SMB"/>
    <n v="28"/>
    <x v="0"/>
  </r>
  <r>
    <s v="ORD-01553"/>
    <n v="45304"/>
    <n v="9821"/>
    <s v="R009"/>
    <x v="4"/>
    <s v="SMB"/>
    <n v="65"/>
    <x v="1"/>
  </r>
  <r>
    <s v="ORD-01554"/>
    <n v="45321"/>
    <n v="30887"/>
    <s v="R015"/>
    <x v="5"/>
    <s v="Retail"/>
    <n v="29"/>
    <x v="1"/>
  </r>
  <r>
    <s v="ORD-01555"/>
    <n v="45358"/>
    <n v="20049.75"/>
    <s v="R030"/>
    <x v="5"/>
    <s v="Unknown"/>
    <s v=""/>
    <x v="2"/>
  </r>
  <r>
    <s v="ORD-01556"/>
    <n v="45440"/>
    <n v="30304.799999999999"/>
    <s v="R014"/>
    <x v="3"/>
    <s v="Retail"/>
    <n v="51"/>
    <x v="1"/>
  </r>
  <r>
    <s v="ORD-01557"/>
    <n v="45618"/>
    <n v="6872.58"/>
    <s v="R018"/>
    <x v="1"/>
    <s v="SMB"/>
    <n v="39"/>
    <x v="3"/>
  </r>
  <r>
    <s v="ORD-01558"/>
    <n v="45295"/>
    <n v="5599.44"/>
    <s v="R024"/>
    <x v="4"/>
    <s v="Retail"/>
    <n v="24"/>
    <x v="2"/>
  </r>
  <r>
    <s v="ORD-01559"/>
    <n v="45384"/>
    <n v="23404.799999999999"/>
    <s v="R029"/>
    <x v="0"/>
    <s v="Corporate"/>
    <n v="34"/>
    <x v="2"/>
  </r>
  <r>
    <s v="ORD-01560"/>
    <n v="45349"/>
    <n v="2064.6"/>
    <s v="R025"/>
    <x v="3"/>
    <s v="SMB"/>
    <n v="38"/>
    <x v="2"/>
  </r>
  <r>
    <s v="ORD-01561"/>
    <n v="45439"/>
    <n v="38691.800000000003"/>
    <s v="R029"/>
    <x v="2"/>
    <s v="SMB"/>
    <n v="22"/>
    <x v="2"/>
  </r>
  <r>
    <s v="ORD-01562"/>
    <n v="45426"/>
    <n v="3165.66"/>
    <s v="R024"/>
    <x v="4"/>
    <s v="Corporate"/>
    <n v="55"/>
    <x v="2"/>
  </r>
  <r>
    <s v="ORD-01563"/>
    <n v="45385"/>
    <n v="5122.13"/>
    <s v="R006"/>
    <x v="4"/>
    <s v="Corporate"/>
    <n v="42"/>
    <x v="0"/>
  </r>
  <r>
    <s v="ORD-01564"/>
    <n v="45312"/>
    <n v="2921.52"/>
    <s v="R020"/>
    <x v="3"/>
    <s v="Retail"/>
    <n v="27"/>
    <x v="3"/>
  </r>
  <r>
    <s v="ORD-01565"/>
    <n v="45622"/>
    <n v="1950.9"/>
    <s v="R020"/>
    <x v="4"/>
    <s v="Retail"/>
    <n v="61"/>
    <x v="3"/>
  </r>
  <r>
    <s v="ORD-01566"/>
    <n v="45508"/>
    <n v="23798.400000000001"/>
    <s v="R012"/>
    <x v="5"/>
    <s v="Retail"/>
    <n v="53"/>
    <x v="1"/>
  </r>
  <r>
    <s v="ORD-01567"/>
    <n v="45528"/>
    <n v="41515.08"/>
    <s v="R009"/>
    <x v="1"/>
    <s v="SMB"/>
    <n v="51"/>
    <x v="1"/>
  </r>
  <r>
    <s v="ORD-01568"/>
    <n v="45483"/>
    <n v="8707.2000000000007"/>
    <s v="R008"/>
    <x v="5"/>
    <s v="Retail"/>
    <n v="32"/>
    <x v="0"/>
  </r>
  <r>
    <s v="ORD-01569"/>
    <n v="45625"/>
    <n v="22852.799999999999"/>
    <s v="R021"/>
    <x v="2"/>
    <s v="Retail"/>
    <n v="38"/>
    <x v="3"/>
  </r>
  <r>
    <s v="ORD-01570"/>
    <n v="45358"/>
    <n v="6646.56"/>
    <s v="R026"/>
    <x v="2"/>
    <s v="SMB"/>
    <n v="64"/>
    <x v="2"/>
  </r>
  <r>
    <s v="ORD-01571"/>
    <n v="45342"/>
    <n v="3796"/>
    <s v="R021"/>
    <x v="4"/>
    <s v="Retail"/>
    <n v="22"/>
    <x v="3"/>
  </r>
  <r>
    <s v="ORD-01572"/>
    <n v="45304"/>
    <n v="12523.56"/>
    <s v="R024"/>
    <x v="4"/>
    <s v="SMB"/>
    <n v="36"/>
    <x v="2"/>
  </r>
  <r>
    <s v="ORD-01573"/>
    <n v="45316"/>
    <n v="25069.8"/>
    <s v="R016"/>
    <x v="3"/>
    <s v="Retail"/>
    <n v="65"/>
    <x v="1"/>
  </r>
  <r>
    <s v="ORD-01574"/>
    <n v="45340"/>
    <n v="3590.4"/>
    <s v="R016"/>
    <x v="5"/>
    <s v="Retail"/>
    <n v="40"/>
    <x v="1"/>
  </r>
  <r>
    <s v="ORD-01575"/>
    <n v="45604"/>
    <n v="2579.36"/>
    <s v="R010"/>
    <x v="1"/>
    <s v="Corporate"/>
    <n v="62"/>
    <x v="1"/>
  </r>
  <r>
    <s v="ORD-01576"/>
    <n v="45625"/>
    <n v="4265.12"/>
    <s v="R027"/>
    <x v="4"/>
    <s v="Retail"/>
    <n v="53"/>
    <x v="2"/>
  </r>
  <r>
    <s v="ORD-01577"/>
    <n v="45293"/>
    <n v="3583.48"/>
    <s v="R008"/>
    <x v="1"/>
    <s v="Retail"/>
    <n v="44"/>
    <x v="0"/>
  </r>
  <r>
    <s v="ORD-01578"/>
    <n v="45454"/>
    <n v="13585.92"/>
    <s v="R005"/>
    <x v="2"/>
    <s v="SMB"/>
    <n v="65"/>
    <x v="0"/>
  </r>
  <r>
    <s v="ORD-01579"/>
    <n v="45345"/>
    <n v="20203.2"/>
    <s v="R010"/>
    <x v="3"/>
    <s v="Retail"/>
    <n v="22"/>
    <x v="1"/>
  </r>
  <r>
    <s v="ORD-01580"/>
    <n v="45645"/>
    <n v="11290.98"/>
    <s v="R003"/>
    <x v="2"/>
    <s v="Corporate"/>
    <n v="48"/>
    <x v="0"/>
  </r>
  <r>
    <s v="ORD-01581"/>
    <n v="45588"/>
    <n v="15998.96"/>
    <s v="R015"/>
    <x v="2"/>
    <s v="Retail"/>
    <n v="25"/>
    <x v="1"/>
  </r>
  <r>
    <s v="ORD-01582"/>
    <n v="45592"/>
    <n v="14804.4"/>
    <s v="R018"/>
    <x v="4"/>
    <s v="SMB"/>
    <n v="60"/>
    <x v="3"/>
  </r>
  <r>
    <s v="ORD-01583"/>
    <n v="45403"/>
    <n v="34203.06"/>
    <s v="R027"/>
    <x v="4"/>
    <s v="Retail"/>
    <n v="34"/>
    <x v="2"/>
  </r>
  <r>
    <s v="ORD-01584"/>
    <n v="45459"/>
    <n v="10933.38"/>
    <s v="R006"/>
    <x v="4"/>
    <s v="SMB"/>
    <n v="53"/>
    <x v="0"/>
  </r>
  <r>
    <s v="ORD-01585"/>
    <n v="45438"/>
    <n v="6765.12"/>
    <s v="R028"/>
    <x v="5"/>
    <s v="Retail"/>
    <n v="28"/>
    <x v="2"/>
  </r>
  <r>
    <s v="ORD-01586"/>
    <n v="45632"/>
    <n v="12935.31"/>
    <s v="R025"/>
    <x v="1"/>
    <s v="Retail"/>
    <n v="63"/>
    <x v="2"/>
  </r>
  <r>
    <s v="ORD-01587"/>
    <n v="45579"/>
    <n v="9149.4"/>
    <s v="R005"/>
    <x v="0"/>
    <s v="Corporate"/>
    <n v="44"/>
    <x v="0"/>
  </r>
  <r>
    <s v="ORD-01588"/>
    <n v="45392"/>
    <n v="4783.68"/>
    <s v="R008"/>
    <x v="5"/>
    <s v="Retail"/>
    <n v="53"/>
    <x v="0"/>
  </r>
  <r>
    <s v="ORD-01589"/>
    <n v="45563"/>
    <n v="509.01"/>
    <s v="R002"/>
    <x v="1"/>
    <s v="SMB"/>
    <n v="54"/>
    <x v="0"/>
  </r>
  <r>
    <s v="ORD-01590"/>
    <n v="45294"/>
    <n v="13890.52"/>
    <s v="R012"/>
    <x v="3"/>
    <s v="SMB"/>
    <n v="44"/>
    <x v="1"/>
  </r>
  <r>
    <s v="ORD-01591"/>
    <n v="45503"/>
    <n v="24156.9"/>
    <s v="R025"/>
    <x v="1"/>
    <s v="SMB"/>
    <n v="47"/>
    <x v="2"/>
  </r>
  <r>
    <s v="ORD-01592"/>
    <n v="45336"/>
    <n v="11100.12"/>
    <s v="R002"/>
    <x v="4"/>
    <s v="Corporate"/>
    <n v="36"/>
    <x v="0"/>
  </r>
  <r>
    <s v="ORD-01593"/>
    <n v="45462"/>
    <n v="2495.0100000000002"/>
    <s v="R022"/>
    <x v="3"/>
    <s v="Retail"/>
    <n v="52"/>
    <x v="3"/>
  </r>
  <r>
    <s v="ORD-01594"/>
    <n v="45300"/>
    <n v="4945.08"/>
    <s v="R023"/>
    <x v="3"/>
    <s v="SMB"/>
    <n v="49"/>
    <x v="3"/>
  </r>
  <r>
    <s v="ORD-01595"/>
    <n v="45367"/>
    <n v="6975.98"/>
    <s v="R008"/>
    <x v="2"/>
    <s v="Corporate"/>
    <n v="22"/>
    <x v="0"/>
  </r>
  <r>
    <s v="ORD-01596"/>
    <n v="45410"/>
    <n v="9393.9"/>
    <s v="R028"/>
    <x v="0"/>
    <s v="Corporate"/>
    <n v="49"/>
    <x v="2"/>
  </r>
  <r>
    <s v="ORD-01597"/>
    <n v="45623"/>
    <n v="3906.68"/>
    <s v="R001"/>
    <x v="1"/>
    <s v="Retail"/>
    <n v="31"/>
    <x v="0"/>
  </r>
  <r>
    <s v="ORD-01598"/>
    <n v="45491"/>
    <n v="6783.21"/>
    <s v="R005"/>
    <x v="2"/>
    <s v="SMB"/>
    <n v="38"/>
    <x v="0"/>
  </r>
  <r>
    <s v="ORD-01599"/>
    <n v="45571"/>
    <n v="1919.95"/>
    <s v="R027"/>
    <x v="1"/>
    <s v="Retail"/>
    <n v="47"/>
    <x v="2"/>
  </r>
  <r>
    <s v="ORD-01600"/>
    <n v="45393"/>
    <n v="26192.400000000001"/>
    <s v="R010"/>
    <x v="0"/>
    <s v="Retail"/>
    <n v="37"/>
    <x v="1"/>
  </r>
  <r>
    <s v="ORD-01601"/>
    <n v="45465"/>
    <n v="2484.2399999999998"/>
    <s v="R022"/>
    <x v="4"/>
    <s v="Corporate"/>
    <n v="40"/>
    <x v="3"/>
  </r>
  <r>
    <s v="ORD-01602"/>
    <n v="45354"/>
    <n v="28024.5"/>
    <s v="R020"/>
    <x v="4"/>
    <s v="Retail"/>
    <n v="26"/>
    <x v="3"/>
  </r>
  <r>
    <s v="ORD-01603"/>
    <n v="45581"/>
    <n v="12669.8"/>
    <s v="R016"/>
    <x v="4"/>
    <s v="Retail"/>
    <n v="22"/>
    <x v="1"/>
  </r>
  <r>
    <s v="ORD-01604"/>
    <n v="45643"/>
    <n v="5181.12"/>
    <s v="R013"/>
    <x v="1"/>
    <s v="Retail"/>
    <n v="32"/>
    <x v="1"/>
  </r>
  <r>
    <s v="ORD-01605"/>
    <n v="45606"/>
    <n v="25506"/>
    <s v="R010"/>
    <x v="3"/>
    <s v="Retail"/>
    <n v="27"/>
    <x v="1"/>
  </r>
  <r>
    <s v="ORD-01606"/>
    <n v="45356"/>
    <n v="25461"/>
    <s v="R018"/>
    <x v="1"/>
    <s v="Corporate"/>
    <n v="22"/>
    <x v="3"/>
  </r>
  <r>
    <s v="ORD-01607"/>
    <n v="45343"/>
    <n v="10044.75"/>
    <s v="R016"/>
    <x v="2"/>
    <s v="SMB"/>
    <n v="40"/>
    <x v="1"/>
  </r>
  <r>
    <s v="ORD-01608"/>
    <n v="45449"/>
    <n v="15836.88"/>
    <s v="R019"/>
    <x v="5"/>
    <s v="Retail"/>
    <n v="46"/>
    <x v="3"/>
  </r>
  <r>
    <s v="ORD-01609"/>
    <n v="45317"/>
    <n v="18057.599999999999"/>
    <s v="R008"/>
    <x v="4"/>
    <s v="Retail"/>
    <n v="55"/>
    <x v="0"/>
  </r>
  <r>
    <s v="ORD-01610"/>
    <n v="45561"/>
    <n v="3314.2"/>
    <s v="R027"/>
    <x v="2"/>
    <s v="Retail"/>
    <n v="42"/>
    <x v="2"/>
  </r>
  <r>
    <s v="ORD-01611"/>
    <n v="45636"/>
    <n v="18105.599999999999"/>
    <s v="R027"/>
    <x v="2"/>
    <s v="Retail"/>
    <n v="36"/>
    <x v="2"/>
  </r>
  <r>
    <s v="ORD-01612"/>
    <n v="45398"/>
    <n v="26903.84"/>
    <s v="R023"/>
    <x v="0"/>
    <s v="Retail"/>
    <n v="31"/>
    <x v="3"/>
  </r>
  <r>
    <s v="ORD-01613"/>
    <n v="45477"/>
    <n v="15315.52"/>
    <s v="R021"/>
    <x v="5"/>
    <s v="Retail"/>
    <n v="54"/>
    <x v="3"/>
  </r>
  <r>
    <s v="ORD-01614"/>
    <n v="45462"/>
    <n v="4860.8999999999996"/>
    <s v="R019"/>
    <x v="5"/>
    <s v="Corporate"/>
    <n v="41"/>
    <x v="3"/>
  </r>
  <r>
    <s v="ORD-01615"/>
    <n v="45642"/>
    <n v="12440.22"/>
    <s v="R018"/>
    <x v="4"/>
    <s v="Corporate"/>
    <n v="35"/>
    <x v="3"/>
  </r>
  <r>
    <s v="ORD-01616"/>
    <n v="45534"/>
    <n v="6206.76"/>
    <s v="R022"/>
    <x v="3"/>
    <s v="Retail"/>
    <n v="35"/>
    <x v="3"/>
  </r>
  <r>
    <s v="ORD-01617"/>
    <n v="45460"/>
    <n v="11504.6"/>
    <s v="R022"/>
    <x v="4"/>
    <s v="Corporate"/>
    <n v="46"/>
    <x v="3"/>
  </r>
  <r>
    <s v="ORD-01618"/>
    <n v="45648"/>
    <n v="6105"/>
    <s v="R030"/>
    <x v="3"/>
    <s v="Corporate"/>
    <n v="46"/>
    <x v="2"/>
  </r>
  <r>
    <s v="ORD-01619"/>
    <n v="45557"/>
    <n v="4607.28"/>
    <s v="R020"/>
    <x v="3"/>
    <s v="Retail"/>
    <n v="65"/>
    <x v="3"/>
  </r>
  <r>
    <s v="ORD-01620"/>
    <n v="45584"/>
    <n v="15667.54"/>
    <s v="R020"/>
    <x v="2"/>
    <s v="Corporate"/>
    <n v="30"/>
    <x v="3"/>
  </r>
  <r>
    <s v="ORD-01621"/>
    <n v="45475"/>
    <n v="1003.44"/>
    <s v="R028"/>
    <x v="3"/>
    <s v="SMB"/>
    <n v="29"/>
    <x v="2"/>
  </r>
  <r>
    <s v="ORD-01622"/>
    <n v="45365"/>
    <n v="6137.19"/>
    <s v="R009"/>
    <x v="2"/>
    <s v="Retail"/>
    <n v="57"/>
    <x v="1"/>
  </r>
  <r>
    <s v="ORD-00613"/>
    <n v="45405"/>
    <n v="555.52"/>
    <s v="R003"/>
    <x v="0"/>
    <s v="Retail"/>
    <n v="54"/>
    <x v="0"/>
  </r>
  <r>
    <s v="ORD-01624"/>
    <n v="45533"/>
    <n v="16836"/>
    <s v="R029"/>
    <x v="2"/>
    <s v="Corporate"/>
    <n v="62"/>
    <x v="2"/>
  </r>
  <r>
    <s v="ORD-01625"/>
    <n v="45628"/>
    <n v="13350.61"/>
    <s v="R024"/>
    <x v="2"/>
    <s v="Corporate"/>
    <n v="46"/>
    <x v="2"/>
  </r>
  <r>
    <s v="ORD-01626"/>
    <n v="45631"/>
    <n v="3345.3"/>
    <s v="R028"/>
    <x v="1"/>
    <s v="Retail"/>
    <n v="53"/>
    <x v="2"/>
  </r>
  <r>
    <s v="ORD-01627"/>
    <n v="45601"/>
    <n v="18356"/>
    <s v="R005"/>
    <x v="4"/>
    <s v="Retail"/>
    <n v="35"/>
    <x v="0"/>
  </r>
  <r>
    <s v="ORD-01628"/>
    <n v="45365"/>
    <n v="9707.0400000000009"/>
    <s v="R017"/>
    <x v="2"/>
    <s v="Corporate"/>
    <n v="60"/>
    <x v="3"/>
  </r>
  <r>
    <s v="ORD-01629"/>
    <n v="45421"/>
    <n v="19324.8"/>
    <s v="R003"/>
    <x v="4"/>
    <s v="SMB"/>
    <n v="34"/>
    <x v="0"/>
  </r>
  <r>
    <s v="ORD-01630"/>
    <n v="45347"/>
    <n v="2972.43"/>
    <s v="R013"/>
    <x v="3"/>
    <s v="Retail"/>
    <n v="35"/>
    <x v="1"/>
  </r>
  <r>
    <s v="ORD-01631"/>
    <n v="45574"/>
    <n v="7969.5"/>
    <s v="R024"/>
    <x v="0"/>
    <s v="SMB"/>
    <n v="46"/>
    <x v="2"/>
  </r>
  <r>
    <s v="ORD-01632"/>
    <n v="45365"/>
    <n v="949.44"/>
    <s v="R015"/>
    <x v="5"/>
    <s v="Retail"/>
    <n v="42"/>
    <x v="1"/>
  </r>
  <r>
    <s v="ORD-01633"/>
    <n v="45577"/>
    <n v="29975.4"/>
    <s v="R030"/>
    <x v="2"/>
    <s v="SMB"/>
    <n v="49"/>
    <x v="2"/>
  </r>
  <r>
    <s v="ORD-01634"/>
    <n v="45420"/>
    <n v="9421.98"/>
    <s v="R008"/>
    <x v="3"/>
    <s v="Retail"/>
    <n v="43"/>
    <x v="0"/>
  </r>
  <r>
    <s v="ORD-01635"/>
    <n v="45347"/>
    <n v="22905.96"/>
    <s v="R004"/>
    <x v="2"/>
    <s v="Corporate"/>
    <n v="60"/>
    <x v="0"/>
  </r>
  <r>
    <s v="ORD-01636"/>
    <n v="45329"/>
    <n v="2271.64"/>
    <s v="R022"/>
    <x v="4"/>
    <s v="SMB"/>
    <n v="65"/>
    <x v="3"/>
  </r>
  <r>
    <s v="ORD-01637"/>
    <n v="45378"/>
    <n v="5280.03"/>
    <s v="R003"/>
    <x v="3"/>
    <s v="Retail"/>
    <n v="63"/>
    <x v="0"/>
  </r>
  <r>
    <s v="ORD-01638"/>
    <n v="45393"/>
    <n v="14317.92"/>
    <s v="R001"/>
    <x v="2"/>
    <s v="Retail"/>
    <n v="28"/>
    <x v="0"/>
  </r>
  <r>
    <s v="ORD-01639"/>
    <n v="45364"/>
    <n v="4936.96"/>
    <s v="R006"/>
    <x v="4"/>
    <s v="Retail"/>
    <n v="42"/>
    <x v="0"/>
  </r>
  <r>
    <s v="ORD-01640"/>
    <n v="45624"/>
    <n v="7437.12"/>
    <s v="R013"/>
    <x v="5"/>
    <s v="SMB"/>
    <n v="48"/>
    <x v="1"/>
  </r>
  <r>
    <s v="ORD-01641"/>
    <n v="45411"/>
    <n v="3391.35"/>
    <s v="R011"/>
    <x v="0"/>
    <s v="Retail"/>
    <n v="36"/>
    <x v="1"/>
  </r>
  <r>
    <s v="ORD-01642"/>
    <n v="45550"/>
    <n v="9929.76"/>
    <s v="R023"/>
    <x v="5"/>
    <s v="SMB"/>
    <n v="54"/>
    <x v="3"/>
  </r>
  <r>
    <s v="ORD-01643"/>
    <n v="45512"/>
    <n v="37934.04"/>
    <s v="R021"/>
    <x v="1"/>
    <s v="Retail"/>
    <n v="47"/>
    <x v="3"/>
  </r>
  <r>
    <s v="ORD-01644"/>
    <n v="45523"/>
    <n v="25143.599999999999"/>
    <s v="R023"/>
    <x v="2"/>
    <s v="SMB"/>
    <n v="64"/>
    <x v="3"/>
  </r>
  <r>
    <s v="ORD-01645"/>
    <n v="45310"/>
    <n v="6074.88"/>
    <s v="R020"/>
    <x v="5"/>
    <s v="Corporate"/>
    <n v="48"/>
    <x v="3"/>
  </r>
  <r>
    <s v="ORD-01646"/>
    <n v="45498"/>
    <n v="2722.56"/>
    <s v="R012"/>
    <x v="5"/>
    <s v="Retail"/>
    <n v="52"/>
    <x v="1"/>
  </r>
  <r>
    <s v="ORD-01647"/>
    <n v="45410"/>
    <n v="888.52"/>
    <s v="R021"/>
    <x v="2"/>
    <s v="Retail"/>
    <n v="55"/>
    <x v="3"/>
  </r>
  <r>
    <s v="ORD-01648"/>
    <n v="45400"/>
    <n v="25049.599999999999"/>
    <s v="R023"/>
    <x v="5"/>
    <s v="Retail"/>
    <n v="57"/>
    <x v="3"/>
  </r>
  <r>
    <s v="ORD-01649"/>
    <n v="45525"/>
    <n v="11448.48"/>
    <s v="R013"/>
    <x v="2"/>
    <s v="Retail"/>
    <n v="47"/>
    <x v="1"/>
  </r>
  <r>
    <s v="ORD-01650"/>
    <n v="45462"/>
    <n v="19403.46"/>
    <s v="R008"/>
    <x v="3"/>
    <s v="SMB"/>
    <n v="57"/>
    <x v="0"/>
  </r>
  <r>
    <s v="ORD-01651"/>
    <n v="45625"/>
    <n v="24396.48"/>
    <s v="R029"/>
    <x v="4"/>
    <s v="SMB"/>
    <n v="55"/>
    <x v="2"/>
  </r>
  <r>
    <s v="ORD-01652"/>
    <n v="45390"/>
    <n v="9494.4"/>
    <s v="R016"/>
    <x v="2"/>
    <s v="Corporate"/>
    <n v="42"/>
    <x v="1"/>
  </r>
  <r>
    <s v="ORD-01653"/>
    <n v="45597"/>
    <n v="9948.4"/>
    <s v="R020"/>
    <x v="2"/>
    <s v="Retail"/>
    <n v="26"/>
    <x v="3"/>
  </r>
  <r>
    <s v="ORD-01654"/>
    <n v="45307"/>
    <n v="9715.84"/>
    <s v="R015"/>
    <x v="5"/>
    <s v="Unknown"/>
    <s v=""/>
    <x v="1"/>
  </r>
  <r>
    <s v="ORD-01655"/>
    <n v="45568"/>
    <n v="1186.68"/>
    <s v="R016"/>
    <x v="0"/>
    <s v="Retail"/>
    <n v="38"/>
    <x v="1"/>
  </r>
  <r>
    <s v="ORD-01656"/>
    <n v="45654"/>
    <n v="25491.69"/>
    <s v="R012"/>
    <x v="4"/>
    <s v="Corporate"/>
    <n v="35"/>
    <x v="1"/>
  </r>
  <r>
    <s v="ORD-01657"/>
    <n v="45412"/>
    <n v="21534.240000000002"/>
    <s v="R020"/>
    <x v="4"/>
    <s v="SMB"/>
    <n v="44"/>
    <x v="3"/>
  </r>
  <r>
    <s v="ORD-01658"/>
    <n v="45653"/>
    <n v="2885.63"/>
    <s v="R010"/>
    <x v="2"/>
    <s v="Retail"/>
    <n v="34"/>
    <x v="1"/>
  </r>
  <r>
    <s v="ORD-01659"/>
    <n v="45568"/>
    <n v="673.22"/>
    <s v="R017"/>
    <x v="0"/>
    <s v="SMB"/>
    <n v="26"/>
    <x v="3"/>
  </r>
  <r>
    <s v="ORD-01660"/>
    <n v="45643"/>
    <n v="11143.8"/>
    <s v="R029"/>
    <x v="5"/>
    <s v="Retail"/>
    <n v="29"/>
    <x v="2"/>
  </r>
  <r>
    <s v="ORD-01661"/>
    <n v="45411"/>
    <n v="30117.599999999999"/>
    <s v="R022"/>
    <x v="0"/>
    <s v="Corporate"/>
    <n v="22"/>
    <x v="3"/>
  </r>
  <r>
    <s v="ORD-01662"/>
    <n v="45467"/>
    <n v="9235.9500000000007"/>
    <s v="R001"/>
    <x v="5"/>
    <s v="Corporate"/>
    <n v="29"/>
    <x v="0"/>
  </r>
  <r>
    <s v="ORD-01663"/>
    <n v="45542"/>
    <n v="21297"/>
    <s v="R025"/>
    <x v="5"/>
    <s v="Retail"/>
    <n v="48"/>
    <x v="2"/>
  </r>
  <r>
    <s v="ORD-01664"/>
    <n v="45483"/>
    <n v="15393.96"/>
    <s v="R003"/>
    <x v="2"/>
    <s v="Retail"/>
    <n v="61"/>
    <x v="0"/>
  </r>
  <r>
    <s v="ORD-01665"/>
    <n v="45426"/>
    <n v="20232.96"/>
    <s v="R013"/>
    <x v="4"/>
    <s v="Corporate"/>
    <n v="55"/>
    <x v="1"/>
  </r>
  <r>
    <s v="ORD-01666"/>
    <n v="45386"/>
    <n v="1739"/>
    <s v="R006"/>
    <x v="3"/>
    <s v="Retail"/>
    <n v="63"/>
    <x v="0"/>
  </r>
  <r>
    <s v="ORD-01667"/>
    <n v="45377"/>
    <n v="19469.79"/>
    <s v="R007"/>
    <x v="2"/>
    <s v="Retail"/>
    <n v="49"/>
    <x v="0"/>
  </r>
  <r>
    <s v="ORD-01668"/>
    <n v="45414"/>
    <n v="2607"/>
    <s v="R011"/>
    <x v="3"/>
    <s v="Retail"/>
    <n v="37"/>
    <x v="1"/>
  </r>
  <r>
    <s v="ORD-01669"/>
    <n v="45407"/>
    <n v="1779.84"/>
    <s v="R003"/>
    <x v="1"/>
    <s v="Unknown"/>
    <s v=""/>
    <x v="0"/>
  </r>
  <r>
    <s v="ORD-01670"/>
    <n v="45509"/>
    <n v="12087"/>
    <s v="R009"/>
    <x v="5"/>
    <s v="Retail"/>
    <n v="32"/>
    <x v="1"/>
  </r>
  <r>
    <s v="ORD-01671"/>
    <n v="45566"/>
    <n v="8200.2000000000007"/>
    <s v="R004"/>
    <x v="0"/>
    <s v="Retail"/>
    <n v="25"/>
    <x v="0"/>
  </r>
  <r>
    <s v="ORD-01672"/>
    <n v="45524"/>
    <n v="11337.48"/>
    <s v="R005"/>
    <x v="5"/>
    <s v="Unknown"/>
    <s v=""/>
    <x v="0"/>
  </r>
  <r>
    <s v="ORD-01673"/>
    <n v="45431"/>
    <n v="10156.799999999999"/>
    <s v="R024"/>
    <x v="5"/>
    <s v="SMB"/>
    <n v="46"/>
    <x v="2"/>
  </r>
  <r>
    <s v="ORD-01674"/>
    <n v="45598"/>
    <n v="8863.1200000000008"/>
    <s v="R026"/>
    <x v="2"/>
    <s v="Retail"/>
    <n v="61"/>
    <x v="2"/>
  </r>
  <r>
    <s v="ORD-01675"/>
    <n v="45419"/>
    <n v="5751.66"/>
    <s v="R003"/>
    <x v="3"/>
    <s v="Retail"/>
    <n v="25"/>
    <x v="0"/>
  </r>
  <r>
    <s v="ORD-01676"/>
    <n v="45549"/>
    <n v="21385"/>
    <s v="R002"/>
    <x v="3"/>
    <s v="Retail"/>
    <n v="43"/>
    <x v="0"/>
  </r>
  <r>
    <s v="ORD-01677"/>
    <n v="45519"/>
    <n v="3739.32"/>
    <s v="R020"/>
    <x v="1"/>
    <s v="Retail"/>
    <n v="35"/>
    <x v="3"/>
  </r>
  <r>
    <s v="ORD-01678"/>
    <n v="45574"/>
    <n v="8289.7999999999993"/>
    <s v="R026"/>
    <x v="5"/>
    <s v="Corporate"/>
    <n v="43"/>
    <x v="2"/>
  </r>
  <r>
    <s v="ORD-01679"/>
    <n v="45462"/>
    <n v="7001.28"/>
    <s v="R029"/>
    <x v="4"/>
    <s v="Retail"/>
    <n v="31"/>
    <x v="2"/>
  </r>
  <r>
    <s v="ORD-01680"/>
    <n v="45336"/>
    <n v="16116.1"/>
    <s v="R002"/>
    <x v="1"/>
    <s v="Retail"/>
    <n v="54"/>
    <x v="0"/>
  </r>
  <r>
    <s v="ORD-01681"/>
    <n v="45439"/>
    <n v="20562"/>
    <s v="R020"/>
    <x v="5"/>
    <s v="Retail"/>
    <n v="65"/>
    <x v="3"/>
  </r>
  <r>
    <s v="ORD-01682"/>
    <n v="45578"/>
    <n v="32113.759999999998"/>
    <s v="R019"/>
    <x v="1"/>
    <s v="Retail"/>
    <n v="62"/>
    <x v="3"/>
  </r>
  <r>
    <s v="ORD-01683"/>
    <n v="45588"/>
    <n v="2397.6"/>
    <s v="R025"/>
    <x v="3"/>
    <s v="Retail"/>
    <n v="62"/>
    <x v="2"/>
  </r>
  <r>
    <s v="ORD-01684"/>
    <n v="45354"/>
    <n v="19493.759999999998"/>
    <s v="R019"/>
    <x v="1"/>
    <s v="Retail"/>
    <n v="46"/>
    <x v="3"/>
  </r>
  <r>
    <s v="ORD-01685"/>
    <n v="45332"/>
    <n v="11101.52"/>
    <s v="R013"/>
    <x v="5"/>
    <s v="Unknown"/>
    <s v=""/>
    <x v="1"/>
  </r>
  <r>
    <s v="ORD-01686"/>
    <n v="45649"/>
    <n v="3594.24"/>
    <s v="R025"/>
    <x v="1"/>
    <s v="SMB"/>
    <n v="54"/>
    <x v="2"/>
  </r>
  <r>
    <s v="ORD-01687"/>
    <n v="45596"/>
    <n v="13018.68"/>
    <s v="R029"/>
    <x v="4"/>
    <s v="Corporate"/>
    <n v="60"/>
    <x v="2"/>
  </r>
  <r>
    <s v="ORD-01688"/>
    <n v="45378"/>
    <n v="11091.6"/>
    <s v="R020"/>
    <x v="0"/>
    <s v="Retail"/>
    <n v="39"/>
    <x v="3"/>
  </r>
  <r>
    <s v="ORD-01689"/>
    <n v="45403"/>
    <n v="12178.5"/>
    <s v="R027"/>
    <x v="5"/>
    <s v="SMB"/>
    <n v="30"/>
    <x v="2"/>
  </r>
  <r>
    <s v="ORD-01690"/>
    <n v="45535"/>
    <n v="7008"/>
    <s v="R018"/>
    <x v="5"/>
    <s v="SMB"/>
    <n v="26"/>
    <x v="3"/>
  </r>
  <r>
    <s v="ORD-01691"/>
    <n v="45429"/>
    <n v="55450.6"/>
    <s v="R018"/>
    <x v="1"/>
    <s v="Retail"/>
    <n v="27"/>
    <x v="3"/>
  </r>
  <r>
    <s v="ORD-01692"/>
    <n v="45436"/>
    <n v="19915.2"/>
    <s v="R009"/>
    <x v="1"/>
    <s v="Corporate"/>
    <n v="26"/>
    <x v="1"/>
  </r>
  <r>
    <s v="ORD-01693"/>
    <n v="45397"/>
    <n v="4176.5200000000004"/>
    <s v="R017"/>
    <x v="1"/>
    <s v="Retail"/>
    <n v="38"/>
    <x v="3"/>
  </r>
  <r>
    <s v="ORD-01694"/>
    <n v="45629"/>
    <n v="6934.48"/>
    <s v="R004"/>
    <x v="4"/>
    <s v="Retail"/>
    <n v="54"/>
    <x v="0"/>
  </r>
  <r>
    <s v="ORD-01695"/>
    <n v="45595"/>
    <n v="833.85"/>
    <s v="R019"/>
    <x v="3"/>
    <s v="Retail"/>
    <n v="31"/>
    <x v="3"/>
  </r>
  <r>
    <s v="ORD-01696"/>
    <n v="45531"/>
    <n v="5393.04"/>
    <s v="R023"/>
    <x v="2"/>
    <s v="Retail"/>
    <n v="28"/>
    <x v="3"/>
  </r>
  <r>
    <s v="ORD-01697"/>
    <n v="45626"/>
    <n v="8739.36"/>
    <s v="R026"/>
    <x v="4"/>
    <s v="SMB"/>
    <n v="43"/>
    <x v="2"/>
  </r>
  <r>
    <s v="ORD-01698"/>
    <n v="45502"/>
    <n v="6336.68"/>
    <s v="R004"/>
    <x v="4"/>
    <s v="Retail"/>
    <n v="28"/>
    <x v="0"/>
  </r>
  <r>
    <s v="ORD-01699"/>
    <n v="45501"/>
    <n v="17988.3"/>
    <s v="R029"/>
    <x v="1"/>
    <s v="Retail"/>
    <n v="39"/>
    <x v="2"/>
  </r>
  <r>
    <s v="ORD-01700"/>
    <n v="45435"/>
    <n v="18431.400000000001"/>
    <s v="R004"/>
    <x v="2"/>
    <s v="Retail"/>
    <n v="36"/>
    <x v="0"/>
  </r>
  <r>
    <s v="ORD-01701"/>
    <n v="45295"/>
    <n v="20460"/>
    <s v="R027"/>
    <x v="0"/>
    <s v="Corporate"/>
    <n v="42"/>
    <x v="2"/>
  </r>
  <r>
    <s v="ORD-01702"/>
    <n v="45566"/>
    <n v="21674.25"/>
    <s v="R019"/>
    <x v="3"/>
    <s v="Retail"/>
    <n v="39"/>
    <x v="3"/>
  </r>
  <r>
    <s v="ORD-01703"/>
    <n v="45474"/>
    <n v="5940"/>
    <s v="R008"/>
    <x v="1"/>
    <s v="Retail"/>
    <n v="37"/>
    <x v="0"/>
  </r>
  <r>
    <s v="ORD-01704"/>
    <n v="45372"/>
    <n v="39687.760000000002"/>
    <s v="R006"/>
    <x v="1"/>
    <s v="Retail"/>
    <n v="35"/>
    <x v="0"/>
  </r>
  <r>
    <s v="ORD-01705"/>
    <n v="45622"/>
    <n v="2446.6"/>
    <s v="R018"/>
    <x v="4"/>
    <s v="Retail"/>
    <n v="52"/>
    <x v="3"/>
  </r>
  <r>
    <s v="ORD-01706"/>
    <n v="45603"/>
    <n v="39666.199999999997"/>
    <s v="R003"/>
    <x v="2"/>
    <s v="Retail"/>
    <n v="25"/>
    <x v="0"/>
  </r>
  <r>
    <s v="ORD-01707"/>
    <n v="45352"/>
    <n v="36697.050000000003"/>
    <s v="R020"/>
    <x v="4"/>
    <s v="Retail"/>
    <n v="56"/>
    <x v="3"/>
  </r>
  <r>
    <s v="ORD-01708"/>
    <n v="45600"/>
    <n v="20307.7"/>
    <s v="R025"/>
    <x v="5"/>
    <s v="Retail"/>
    <n v="29"/>
    <x v="2"/>
  </r>
  <r>
    <s v="ORD-01709"/>
    <n v="45631"/>
    <n v="7369.36"/>
    <s v="R014"/>
    <x v="0"/>
    <s v="SMB"/>
    <n v="61"/>
    <x v="1"/>
  </r>
  <r>
    <s v="ORD-01710"/>
    <n v="45456"/>
    <n v="2560.96"/>
    <s v="R021"/>
    <x v="5"/>
    <s v="SMB"/>
    <n v="44"/>
    <x v="3"/>
  </r>
  <r>
    <s v="ORD-01711"/>
    <n v="45539"/>
    <n v="768.34"/>
    <s v="R029"/>
    <x v="0"/>
    <s v="Retail"/>
    <n v="40"/>
    <x v="2"/>
  </r>
  <r>
    <s v="ORD-01712"/>
    <n v="45488"/>
    <n v="12184.96"/>
    <s v="R027"/>
    <x v="0"/>
    <s v="Retail"/>
    <n v="47"/>
    <x v="2"/>
  </r>
  <r>
    <s v="ORD-01713"/>
    <n v="45370"/>
    <n v="2627.88"/>
    <s v="R012"/>
    <x v="2"/>
    <s v="SMB"/>
    <n v="55"/>
    <x v="1"/>
  </r>
  <r>
    <s v="ORD-01714"/>
    <n v="45394"/>
    <n v="1525.2"/>
    <s v="R026"/>
    <x v="0"/>
    <s v="Retail"/>
    <n v="52"/>
    <x v="2"/>
  </r>
  <r>
    <s v="ORD-01715"/>
    <n v="45446"/>
    <n v="9163"/>
    <s v="R022"/>
    <x v="2"/>
    <s v="Retail"/>
    <n v="53"/>
    <x v="3"/>
  </r>
  <r>
    <s v="ORD-01716"/>
    <n v="45612"/>
    <n v="2813.49"/>
    <s v="R013"/>
    <x v="4"/>
    <s v="SMB"/>
    <n v="43"/>
    <x v="1"/>
  </r>
  <r>
    <s v="ORD-01717"/>
    <n v="45301"/>
    <n v="2577"/>
    <s v="R007"/>
    <x v="4"/>
    <s v="Corporate"/>
    <n v="41"/>
    <x v="0"/>
  </r>
  <r>
    <s v="ORD-01718"/>
    <n v="45647"/>
    <n v="44523"/>
    <s v="R027"/>
    <x v="5"/>
    <s v="Retail"/>
    <n v="46"/>
    <x v="2"/>
  </r>
  <r>
    <s v="ORD-01719"/>
    <n v="45589"/>
    <n v="2268.7199999999998"/>
    <s v="R013"/>
    <x v="2"/>
    <s v="Retail"/>
    <n v="37"/>
    <x v="1"/>
  </r>
  <r>
    <s v="ORD-01720"/>
    <n v="45382"/>
    <n v="35647.040000000001"/>
    <s v="R002"/>
    <x v="4"/>
    <s v="SMB"/>
    <n v="65"/>
    <x v="0"/>
  </r>
  <r>
    <s v="ORD-01721"/>
    <n v="45457"/>
    <n v="803.96"/>
    <s v="R016"/>
    <x v="1"/>
    <s v="Corporate"/>
    <n v="41"/>
    <x v="1"/>
  </r>
  <r>
    <s v="ORD-01722"/>
    <n v="45376"/>
    <n v="18806.2"/>
    <s v="R019"/>
    <x v="4"/>
    <s v="Retail"/>
    <n v="36"/>
    <x v="3"/>
  </r>
  <r>
    <s v="ORD-01723"/>
    <n v="45506"/>
    <n v="32014.080000000002"/>
    <s v="R011"/>
    <x v="4"/>
    <s v="Retail"/>
    <n v="34"/>
    <x v="1"/>
  </r>
  <r>
    <s v="ORD-01724"/>
    <n v="45472"/>
    <n v="8470.7999999999993"/>
    <s v="R008"/>
    <x v="0"/>
    <s v="SMB"/>
    <n v="43"/>
    <x v="0"/>
  </r>
  <r>
    <s v="ORD-01725"/>
    <n v="45383"/>
    <n v="12108.18"/>
    <s v="R018"/>
    <x v="2"/>
    <s v="Retail"/>
    <n v="38"/>
    <x v="3"/>
  </r>
  <r>
    <s v="ORD-01726"/>
    <n v="45543"/>
    <n v="6610.24"/>
    <s v="R014"/>
    <x v="2"/>
    <s v="Retail"/>
    <n v="34"/>
    <x v="1"/>
  </r>
  <r>
    <s v="ORD-01727"/>
    <n v="45576"/>
    <n v="27844.400000000001"/>
    <s v="R012"/>
    <x v="3"/>
    <s v="Retail"/>
    <n v="41"/>
    <x v="1"/>
  </r>
  <r>
    <s v="ORD-01728"/>
    <n v="45366"/>
    <n v="1040.82"/>
    <s v="R020"/>
    <x v="1"/>
    <s v="Retail"/>
    <n v="41"/>
    <x v="3"/>
  </r>
  <r>
    <s v="ORD-01729"/>
    <n v="45617"/>
    <n v="10058.65"/>
    <s v="R026"/>
    <x v="3"/>
    <s v="Corporate"/>
    <n v="52"/>
    <x v="2"/>
  </r>
  <r>
    <s v="ORD-01730"/>
    <n v="45614"/>
    <n v="3691.49"/>
    <s v="R020"/>
    <x v="2"/>
    <s v="SMB"/>
    <n v="30"/>
    <x v="3"/>
  </r>
  <r>
    <s v="ORD-01731"/>
    <n v="45460"/>
    <n v="6038.73"/>
    <s v="R001"/>
    <x v="5"/>
    <s v="SMB"/>
    <n v="48"/>
    <x v="0"/>
  </r>
  <r>
    <s v="ORD-01732"/>
    <n v="45514"/>
    <n v="24935.05"/>
    <s v="R020"/>
    <x v="3"/>
    <s v="Retail"/>
    <n v="22"/>
    <x v="3"/>
  </r>
  <r>
    <s v="ORD-01733"/>
    <n v="45306"/>
    <n v="2867.5"/>
    <s v="R005"/>
    <x v="0"/>
    <s v="Retail"/>
    <n v="22"/>
    <x v="0"/>
  </r>
  <r>
    <s v="ORD-01734"/>
    <n v="45455"/>
    <n v="17656.32"/>
    <s v="R010"/>
    <x v="4"/>
    <s v="Corporate"/>
    <n v="27"/>
    <x v="1"/>
  </r>
  <r>
    <s v="ORD-01735"/>
    <n v="45564"/>
    <n v="20598.48"/>
    <s v="R004"/>
    <x v="2"/>
    <s v="SMB"/>
    <n v="57"/>
    <x v="0"/>
  </r>
  <r>
    <s v="ORD-01736"/>
    <n v="45507"/>
    <n v="1223.44"/>
    <s v="R020"/>
    <x v="0"/>
    <s v="Retail"/>
    <n v="50"/>
    <x v="3"/>
  </r>
  <r>
    <s v="ORD-01737"/>
    <n v="45596"/>
    <n v="5304.72"/>
    <s v="R021"/>
    <x v="0"/>
    <s v="Retail"/>
    <n v="29"/>
    <x v="3"/>
  </r>
  <r>
    <s v="ORD-01738"/>
    <n v="45534"/>
    <n v="49308.800000000003"/>
    <s v="R028"/>
    <x v="5"/>
    <s v="Retail"/>
    <n v="32"/>
    <x v="2"/>
  </r>
  <r>
    <s v="ORD-01739"/>
    <n v="45336"/>
    <n v="179.17"/>
    <s v="R022"/>
    <x v="1"/>
    <s v="SMB"/>
    <n v="39"/>
    <x v="3"/>
  </r>
  <r>
    <s v="ORD-01740"/>
    <n v="45463"/>
    <n v="6667.92"/>
    <s v="R026"/>
    <x v="1"/>
    <s v="Retail"/>
    <n v="41"/>
    <x v="2"/>
  </r>
  <r>
    <s v="ORD-01741"/>
    <n v="45602"/>
    <n v="13016.25"/>
    <s v="R001"/>
    <x v="3"/>
    <s v="Retail"/>
    <n v="34"/>
    <x v="0"/>
  </r>
  <r>
    <s v="ORD-01742"/>
    <n v="45365"/>
    <n v="13627.39"/>
    <s v="R008"/>
    <x v="3"/>
    <s v="SMB"/>
    <n v="34"/>
    <x v="0"/>
  </r>
  <r>
    <s v="ORD-01743"/>
    <n v="45651"/>
    <n v="18812.400000000001"/>
    <s v="R012"/>
    <x v="5"/>
    <s v="Retail"/>
    <n v="65"/>
    <x v="1"/>
  </r>
  <r>
    <s v="ORD-01744"/>
    <n v="45297"/>
    <n v="8522.4"/>
    <s v="R020"/>
    <x v="5"/>
    <s v="SMB"/>
    <n v="29"/>
    <x v="3"/>
  </r>
  <r>
    <s v="ORD-01745"/>
    <n v="45425"/>
    <n v="24310"/>
    <s v="R029"/>
    <x v="1"/>
    <s v="Retail"/>
    <n v="59"/>
    <x v="2"/>
  </r>
  <r>
    <s v="ORD-01746"/>
    <n v="45444"/>
    <n v="16853.25"/>
    <s v="R018"/>
    <x v="5"/>
    <s v="Retail"/>
    <n v="42"/>
    <x v="3"/>
  </r>
  <r>
    <s v="ORD-01747"/>
    <n v="45397"/>
    <n v="6619.32"/>
    <s v="R015"/>
    <x v="2"/>
    <s v="SMB"/>
    <n v="44"/>
    <x v="1"/>
  </r>
  <r>
    <s v="ORD-01748"/>
    <n v="45354"/>
    <n v="24360.959999999999"/>
    <s v="R007"/>
    <x v="2"/>
    <s v="SMB"/>
    <n v="29"/>
    <x v="0"/>
  </r>
  <r>
    <s v="ORD-01749"/>
    <n v="45469"/>
    <n v="17377.080000000002"/>
    <s v="R008"/>
    <x v="5"/>
    <s v="Retail"/>
    <n v="53"/>
    <x v="0"/>
  </r>
  <r>
    <s v="ORD-01750"/>
    <n v="45587"/>
    <n v="6584.76"/>
    <s v="R014"/>
    <x v="3"/>
    <s v="Retail"/>
    <n v="54"/>
    <x v="1"/>
  </r>
  <r>
    <s v="ORD-01751"/>
    <n v="45494"/>
    <n v="4149.5600000000004"/>
    <s v="R012"/>
    <x v="2"/>
    <s v="SMB"/>
    <n v="61"/>
    <x v="1"/>
  </r>
  <r>
    <s v="ORD-01752"/>
    <n v="45445"/>
    <n v="4581.8"/>
    <s v="R012"/>
    <x v="0"/>
    <s v="SMB"/>
    <n v="54"/>
    <x v="1"/>
  </r>
  <r>
    <s v="ORD-01753"/>
    <n v="45561"/>
    <n v="7811.44"/>
    <s v="R015"/>
    <x v="2"/>
    <s v="Retail"/>
    <n v="52"/>
    <x v="1"/>
  </r>
  <r>
    <s v="ORD-01754"/>
    <n v="45488"/>
    <n v="2725.38"/>
    <s v="R012"/>
    <x v="2"/>
    <s v="Corporate"/>
    <n v="29"/>
    <x v="1"/>
  </r>
  <r>
    <s v="ORD-01755"/>
    <n v="45617"/>
    <n v="18316.48"/>
    <s v="R022"/>
    <x v="2"/>
    <s v="SMB"/>
    <n v="55"/>
    <x v="3"/>
  </r>
  <r>
    <s v="ORD-01756"/>
    <n v="45378"/>
    <n v="28404.53"/>
    <s v="R024"/>
    <x v="2"/>
    <s v="Retail"/>
    <n v="38"/>
    <x v="2"/>
  </r>
  <r>
    <s v="ORD-01757"/>
    <n v="45459"/>
    <n v="15301.44"/>
    <s v="R020"/>
    <x v="4"/>
    <s v="Retail"/>
    <n v="29"/>
    <x v="3"/>
  </r>
  <r>
    <s v="ORD-01758"/>
    <n v="45377"/>
    <n v="32772.6"/>
    <s v="R030"/>
    <x v="1"/>
    <s v="Retail"/>
    <n v="31"/>
    <x v="2"/>
  </r>
  <r>
    <s v="ORD-01759"/>
    <n v="45302"/>
    <n v="26290.799999999999"/>
    <s v="R009"/>
    <x v="5"/>
    <s v="Corporate"/>
    <n v="62"/>
    <x v="1"/>
  </r>
  <r>
    <s v="ORD-01760"/>
    <n v="45459"/>
    <n v="18735.64"/>
    <s v="R024"/>
    <x v="0"/>
    <s v="SMB"/>
    <n v="35"/>
    <x v="2"/>
  </r>
  <r>
    <s v="ORD-01761"/>
    <n v="45428"/>
    <n v="14157"/>
    <s v="R004"/>
    <x v="1"/>
    <s v="SMB"/>
    <n v="36"/>
    <x v="0"/>
  </r>
  <r>
    <s v="ORD-01762"/>
    <n v="45341"/>
    <n v="2019.6"/>
    <s v="R010"/>
    <x v="4"/>
    <s v="Corporate"/>
    <n v="43"/>
    <x v="1"/>
  </r>
  <r>
    <s v="ORD-01763"/>
    <n v="45296"/>
    <n v="932.9"/>
    <s v="R020"/>
    <x v="1"/>
    <s v="Corporate"/>
    <n v="29"/>
    <x v="3"/>
  </r>
  <r>
    <s v="ORD-01764"/>
    <n v="45533"/>
    <n v="6278.16"/>
    <s v="R021"/>
    <x v="1"/>
    <s v="Retail"/>
    <n v="65"/>
    <x v="3"/>
  </r>
  <r>
    <s v="ORD-01765"/>
    <n v="45515"/>
    <n v="25281.599999999999"/>
    <s v="R001"/>
    <x v="1"/>
    <s v="SMB"/>
    <n v="50"/>
    <x v="0"/>
  </r>
  <r>
    <s v="ORD-01766"/>
    <n v="45597"/>
    <n v="832.5"/>
    <s v="R001"/>
    <x v="4"/>
    <s v="Corporate"/>
    <n v="52"/>
    <x v="0"/>
  </r>
  <r>
    <s v="ORD-01767"/>
    <n v="45370"/>
    <n v="11219.84"/>
    <s v="R018"/>
    <x v="3"/>
    <s v="SMB"/>
    <n v="54"/>
    <x v="3"/>
  </r>
  <r>
    <s v="ORD-01768"/>
    <n v="45462"/>
    <n v="10896"/>
    <s v="R020"/>
    <x v="1"/>
    <s v="Corporate"/>
    <n v="55"/>
    <x v="3"/>
  </r>
  <r>
    <s v="ORD-01769"/>
    <n v="45609"/>
    <n v="8081.28"/>
    <s v="R001"/>
    <x v="2"/>
    <s v="Retail"/>
    <n v="59"/>
    <x v="0"/>
  </r>
  <r>
    <s v="ORD-01770"/>
    <n v="45548"/>
    <n v="2827.52"/>
    <s v="R009"/>
    <x v="1"/>
    <s v="Retail"/>
    <n v="26"/>
    <x v="1"/>
  </r>
  <r>
    <s v="ORD-01771"/>
    <n v="45633"/>
    <n v="1147.74"/>
    <s v="R027"/>
    <x v="1"/>
    <s v="Retail"/>
    <n v="61"/>
    <x v="2"/>
  </r>
  <r>
    <s v="ORD-01772"/>
    <n v="45580"/>
    <n v="562.4"/>
    <s v="R028"/>
    <x v="3"/>
    <s v="Retail"/>
    <n v="59"/>
    <x v="2"/>
  </r>
  <r>
    <s v="ORD-01773"/>
    <n v="45329"/>
    <n v="9507.42"/>
    <s v="R001"/>
    <x v="2"/>
    <s v="Retail"/>
    <n v="29"/>
    <x v="0"/>
  </r>
  <r>
    <s v="ORD-01774"/>
    <n v="45549"/>
    <n v="15156.96"/>
    <s v="R002"/>
    <x v="1"/>
    <s v="SMB"/>
    <n v="43"/>
    <x v="0"/>
  </r>
  <r>
    <s v="ORD-01775"/>
    <n v="45423"/>
    <n v="15103.2"/>
    <s v="R018"/>
    <x v="3"/>
    <s v="Retail"/>
    <n v="54"/>
    <x v="3"/>
  </r>
  <r>
    <s v="ORD-01776"/>
    <n v="45533"/>
    <n v="8244.6299999999992"/>
    <s v="R017"/>
    <x v="1"/>
    <s v="Retail"/>
    <n v="54"/>
    <x v="3"/>
  </r>
  <r>
    <s v="ORD-01777"/>
    <n v="45571"/>
    <n v="9763.9"/>
    <s v="R002"/>
    <x v="0"/>
    <s v="Retail"/>
    <n v="28"/>
    <x v="0"/>
  </r>
  <r>
    <s v="ORD-01778"/>
    <n v="45441"/>
    <n v="2627"/>
    <s v="R002"/>
    <x v="3"/>
    <s v="Retail"/>
    <n v="29"/>
    <x v="0"/>
  </r>
  <r>
    <s v="ORD-01779"/>
    <n v="45403"/>
    <n v="6725.76"/>
    <s v="R021"/>
    <x v="0"/>
    <s v="Retail"/>
    <n v="25"/>
    <x v="3"/>
  </r>
  <r>
    <s v="ORD-01780"/>
    <n v="45644"/>
    <n v="7112.16"/>
    <s v="R017"/>
    <x v="4"/>
    <s v="Retail"/>
    <n v="22"/>
    <x v="3"/>
  </r>
  <r>
    <s v="ORD-01781"/>
    <n v="45504"/>
    <n v="854.56"/>
    <s v="R020"/>
    <x v="3"/>
    <s v="Retail"/>
    <n v="26"/>
    <x v="3"/>
  </r>
  <r>
    <s v="ORD-01782"/>
    <n v="45606"/>
    <n v="29446.5"/>
    <s v="R002"/>
    <x v="5"/>
    <s v="Retail"/>
    <n v="38"/>
    <x v="0"/>
  </r>
  <r>
    <s v="ORD-01783"/>
    <n v="45562"/>
    <n v="17826.560000000001"/>
    <s v="R015"/>
    <x v="5"/>
    <s v="Retail"/>
    <n v="26"/>
    <x v="1"/>
  </r>
  <r>
    <s v="ORD-01784"/>
    <n v="45372"/>
    <n v="2499.84"/>
    <s v="R002"/>
    <x v="5"/>
    <s v="Retail"/>
    <n v="65"/>
    <x v="0"/>
  </r>
  <r>
    <s v="ORD-01785"/>
    <n v="45610"/>
    <n v="29876.58"/>
    <s v="R007"/>
    <x v="2"/>
    <s v="SMB"/>
    <n v="24"/>
    <x v="0"/>
  </r>
  <r>
    <s v="ORD-01786"/>
    <n v="45388"/>
    <n v="19002.599999999999"/>
    <s v="R019"/>
    <x v="5"/>
    <s v="Corporate"/>
    <n v="24"/>
    <x v="3"/>
  </r>
  <r>
    <s v="ORD-01787"/>
    <n v="45421"/>
    <n v="28913.919999999998"/>
    <s v="R020"/>
    <x v="3"/>
    <s v="Retail"/>
    <n v="35"/>
    <x v="3"/>
  </r>
  <r>
    <s v="ORD-01788"/>
    <n v="45529"/>
    <n v="1603.2"/>
    <s v="R009"/>
    <x v="1"/>
    <s v="Retail"/>
    <n v="55"/>
    <x v="1"/>
  </r>
  <r>
    <s v="ORD-01789"/>
    <n v="45553"/>
    <n v="2553.7399999999998"/>
    <s v="R023"/>
    <x v="3"/>
    <s v="SMB"/>
    <n v="64"/>
    <x v="3"/>
  </r>
  <r>
    <s v="ORD-01790"/>
    <n v="45535"/>
    <n v="5951.94"/>
    <s v="R004"/>
    <x v="2"/>
    <s v="Corporate"/>
    <n v="22"/>
    <x v="0"/>
  </r>
  <r>
    <s v="ORD-00268"/>
    <n v="45301"/>
    <n v="2671.5"/>
    <s v="R014"/>
    <x v="3"/>
    <s v="Corporate"/>
    <n v="42"/>
    <x v="1"/>
  </r>
  <r>
    <s v="ORD-01792"/>
    <n v="45404"/>
    <n v="2498.6"/>
    <s v="R018"/>
    <x v="0"/>
    <s v="Corporate"/>
    <n v="54"/>
    <x v="3"/>
  </r>
  <r>
    <s v="ORD-01793"/>
    <n v="45600"/>
    <n v="13581.96"/>
    <s v="R005"/>
    <x v="4"/>
    <s v="SMB"/>
    <n v="54"/>
    <x v="0"/>
  </r>
  <r>
    <s v="ORD-01794"/>
    <n v="45526"/>
    <n v="14299"/>
    <s v="R001"/>
    <x v="0"/>
    <s v="Retail"/>
    <n v="47"/>
    <x v="0"/>
  </r>
  <r>
    <s v="ORD-01795"/>
    <n v="45580"/>
    <n v="3064.88"/>
    <s v="R021"/>
    <x v="0"/>
    <s v="Retail"/>
    <n v="48"/>
    <x v="3"/>
  </r>
  <r>
    <s v="ORD-01796"/>
    <n v="45444"/>
    <n v="1212.68"/>
    <s v="R007"/>
    <x v="4"/>
    <s v="Retail"/>
    <n v="52"/>
    <x v="0"/>
  </r>
  <r>
    <s v="ORD-01797"/>
    <n v="45350"/>
    <n v="24651.200000000001"/>
    <s v="R002"/>
    <x v="0"/>
    <s v="SMB"/>
    <n v="46"/>
    <x v="0"/>
  </r>
  <r>
    <s v="ORD-01798"/>
    <n v="45634"/>
    <n v="10870.2"/>
    <s v="R027"/>
    <x v="5"/>
    <s v="Retail"/>
    <n v="61"/>
    <x v="2"/>
  </r>
  <r>
    <s v="ORD-01799"/>
    <n v="45560"/>
    <n v="29414.799999999999"/>
    <s v="R008"/>
    <x v="5"/>
    <s v="Retail"/>
    <n v="24"/>
    <x v="0"/>
  </r>
  <r>
    <s v="ORD-01800"/>
    <n v="45544"/>
    <n v="12885.75"/>
    <s v="R014"/>
    <x v="0"/>
    <s v="Retail"/>
    <n v="47"/>
    <x v="1"/>
  </r>
  <r>
    <s v="ORD-01801"/>
    <n v="45457"/>
    <n v="7421.26"/>
    <s v="R019"/>
    <x v="4"/>
    <s v="Retail"/>
    <n v="26"/>
    <x v="3"/>
  </r>
  <r>
    <s v="ORD-01802"/>
    <n v="45578"/>
    <n v="28841.4"/>
    <s v="R005"/>
    <x v="2"/>
    <s v="SMB"/>
    <n v="40"/>
    <x v="0"/>
  </r>
  <r>
    <s v="ORD-01803"/>
    <n v="45405"/>
    <n v="17853.919999999998"/>
    <s v="R002"/>
    <x v="4"/>
    <s v="Retail"/>
    <n v="44"/>
    <x v="0"/>
  </r>
  <r>
    <s v="ORD-01804"/>
    <n v="45338"/>
    <n v="5232"/>
    <s v="R008"/>
    <x v="3"/>
    <s v="Retail"/>
    <n v="46"/>
    <x v="0"/>
  </r>
  <r>
    <s v="ORD-01805"/>
    <n v="45324"/>
    <n v="1073.1600000000001"/>
    <s v="R016"/>
    <x v="3"/>
    <s v="Unknown"/>
    <s v=""/>
    <x v="1"/>
  </r>
  <r>
    <s v="ORD-01806"/>
    <n v="45332"/>
    <n v="6149.78"/>
    <s v="R015"/>
    <x v="3"/>
    <s v="SMB"/>
    <n v="53"/>
    <x v="1"/>
  </r>
  <r>
    <s v="ORD-01807"/>
    <n v="45429"/>
    <n v="5900.7"/>
    <s v="R015"/>
    <x v="2"/>
    <s v="Retail"/>
    <n v="42"/>
    <x v="1"/>
  </r>
  <r>
    <s v="ORD-01808"/>
    <n v="45420"/>
    <n v="5962.94"/>
    <s v="R029"/>
    <x v="4"/>
    <s v="Corporate"/>
    <n v="55"/>
    <x v="2"/>
  </r>
  <r>
    <s v="ORD-01809"/>
    <n v="45403"/>
    <n v="30236.99"/>
    <s v="R021"/>
    <x v="3"/>
    <s v="Retail"/>
    <n v="59"/>
    <x v="3"/>
  </r>
  <r>
    <s v="ORD-01810"/>
    <n v="45403"/>
    <n v="8198.4"/>
    <s v="R026"/>
    <x v="5"/>
    <s v="SMB"/>
    <n v="55"/>
    <x v="2"/>
  </r>
  <r>
    <s v="ORD-01811"/>
    <n v="45600"/>
    <n v="20656.8"/>
    <s v="R016"/>
    <x v="5"/>
    <s v="SMB"/>
    <n v="64"/>
    <x v="1"/>
  </r>
  <r>
    <s v="ORD-01812"/>
    <n v="45629"/>
    <n v="14356.72"/>
    <s v="R026"/>
    <x v="0"/>
    <s v="SMB"/>
    <n v="39"/>
    <x v="2"/>
  </r>
  <r>
    <s v="ORD-01813"/>
    <n v="45330"/>
    <n v="30031.200000000001"/>
    <s v="R013"/>
    <x v="4"/>
    <s v="Retail"/>
    <n v="22"/>
    <x v="1"/>
  </r>
  <r>
    <s v="ORD-01814"/>
    <n v="45551"/>
    <n v="2878.92"/>
    <s v="R022"/>
    <x v="3"/>
    <s v="Corporate"/>
    <n v="62"/>
    <x v="3"/>
  </r>
  <r>
    <s v="ORD-01815"/>
    <n v="45321"/>
    <n v="10727.64"/>
    <s v="R026"/>
    <x v="4"/>
    <s v="Unknown"/>
    <s v=""/>
    <x v="2"/>
  </r>
  <r>
    <s v="ORD-01816"/>
    <n v="45542"/>
    <n v="19468"/>
    <s v="R006"/>
    <x v="0"/>
    <s v="SMB"/>
    <n v="44"/>
    <x v="0"/>
  </r>
  <r>
    <s v="ORD-01817"/>
    <n v="45643"/>
    <n v="16410.240000000002"/>
    <s v="R001"/>
    <x v="4"/>
    <s v="Retail"/>
    <n v="61"/>
    <x v="0"/>
  </r>
  <r>
    <s v="ORD-01818"/>
    <n v="45559"/>
    <n v="6743.44"/>
    <s v="R001"/>
    <x v="2"/>
    <s v="SMB"/>
    <n v="25"/>
    <x v="0"/>
  </r>
  <r>
    <s v="ORD-01819"/>
    <n v="45416"/>
    <n v="5575.68"/>
    <s v="R001"/>
    <x v="1"/>
    <s v="Retail"/>
    <n v="39"/>
    <x v="0"/>
  </r>
  <r>
    <s v="ORD-01820"/>
    <n v="45469"/>
    <n v="15967.98"/>
    <s v="R008"/>
    <x v="3"/>
    <s v="Retail"/>
    <n v="31"/>
    <x v="0"/>
  </r>
  <r>
    <s v="ORD-01821"/>
    <n v="45387"/>
    <n v="17816.2"/>
    <s v="R024"/>
    <x v="5"/>
    <s v="SMB"/>
    <n v="29"/>
    <x v="2"/>
  </r>
  <r>
    <s v="ORD-01822"/>
    <n v="45373"/>
    <n v="5372.64"/>
    <s v="R027"/>
    <x v="0"/>
    <s v="Retail"/>
    <n v="26"/>
    <x v="2"/>
  </r>
  <r>
    <s v="ORD-01823"/>
    <n v="45614"/>
    <n v="5076"/>
    <s v="R030"/>
    <x v="3"/>
    <s v="SMB"/>
    <n v="65"/>
    <x v="2"/>
  </r>
  <r>
    <s v="ORD-01824"/>
    <n v="45310"/>
    <n v="712.12"/>
    <s v="R028"/>
    <x v="1"/>
    <s v="SMB"/>
    <n v="49"/>
    <x v="2"/>
  </r>
  <r>
    <s v="ORD-01825"/>
    <n v="45319"/>
    <n v="13328.1"/>
    <s v="R029"/>
    <x v="0"/>
    <s v="SMB"/>
    <n v="55"/>
    <x v="2"/>
  </r>
  <r>
    <s v="ORD-01826"/>
    <n v="45299"/>
    <n v="6372.4"/>
    <s v="R015"/>
    <x v="0"/>
    <s v="Retail"/>
    <n v="36"/>
    <x v="1"/>
  </r>
  <r>
    <s v="ORD-01827"/>
    <n v="45556"/>
    <n v="2140.1999999999998"/>
    <s v="R013"/>
    <x v="0"/>
    <s v="Corporate"/>
    <n v="41"/>
    <x v="1"/>
  </r>
  <r>
    <s v="ORD-01828"/>
    <n v="45500"/>
    <n v="18782.400000000001"/>
    <s v="R003"/>
    <x v="0"/>
    <s v="Corporate"/>
    <n v="42"/>
    <x v="0"/>
  </r>
  <r>
    <s v="ORD-01829"/>
    <n v="45370"/>
    <n v="13047.9"/>
    <s v="R019"/>
    <x v="2"/>
    <s v="Retail"/>
    <n v="54"/>
    <x v="3"/>
  </r>
  <r>
    <s v="ORD-01830"/>
    <n v="45521"/>
    <n v="4513.08"/>
    <s v="R030"/>
    <x v="1"/>
    <s v="SMB"/>
    <n v="29"/>
    <x v="2"/>
  </r>
  <r>
    <s v="ORD-01831"/>
    <n v="45481"/>
    <n v="2118.88"/>
    <s v="R019"/>
    <x v="0"/>
    <s v="Retail"/>
    <n v="43"/>
    <x v="3"/>
  </r>
  <r>
    <s v="ORD-01832"/>
    <n v="45633"/>
    <n v="15358.2"/>
    <s v="R004"/>
    <x v="1"/>
    <s v="Retail"/>
    <n v="46"/>
    <x v="0"/>
  </r>
  <r>
    <s v="ORD-01833"/>
    <n v="45305"/>
    <n v="2208.8000000000002"/>
    <s v="R020"/>
    <x v="0"/>
    <s v="Retail"/>
    <n v="37"/>
    <x v="3"/>
  </r>
  <r>
    <s v="ORD-01834"/>
    <n v="45593"/>
    <n v="7710.72"/>
    <s v="R020"/>
    <x v="0"/>
    <s v="SMB"/>
    <n v="59"/>
    <x v="3"/>
  </r>
  <r>
    <s v="ORD-01835"/>
    <n v="45555"/>
    <n v="6120.96"/>
    <s v="R005"/>
    <x v="5"/>
    <s v="Retail"/>
    <n v="49"/>
    <x v="0"/>
  </r>
  <r>
    <s v="ORD-01836"/>
    <n v="45406"/>
    <n v="12319.56"/>
    <s v="R010"/>
    <x v="3"/>
    <s v="SMB"/>
    <n v="39"/>
    <x v="1"/>
  </r>
  <r>
    <s v="ORD-01837"/>
    <n v="45647"/>
    <n v="3604.36"/>
    <s v="R006"/>
    <x v="0"/>
    <s v="Retail"/>
    <n v="54"/>
    <x v="0"/>
  </r>
  <r>
    <s v="ORD-01838"/>
    <n v="45386"/>
    <n v="781.46"/>
    <s v="R011"/>
    <x v="0"/>
    <s v="Retail"/>
    <n v="63"/>
    <x v="1"/>
  </r>
  <r>
    <s v="ORD-01839"/>
    <n v="45453"/>
    <n v="1560.6"/>
    <s v="R018"/>
    <x v="4"/>
    <s v="SMB"/>
    <n v="22"/>
    <x v="3"/>
  </r>
  <r>
    <s v="ORD-01840"/>
    <n v="45492"/>
    <n v="12622.8"/>
    <s v="R016"/>
    <x v="5"/>
    <s v="Retail"/>
    <n v="36"/>
    <x v="1"/>
  </r>
  <r>
    <s v="ORD-01841"/>
    <n v="45605"/>
    <n v="7839"/>
    <s v="R025"/>
    <x v="3"/>
    <s v="Retail"/>
    <n v="62"/>
    <x v="2"/>
  </r>
  <r>
    <s v="ORD-01842"/>
    <n v="45344"/>
    <n v="12787.5"/>
    <s v="R027"/>
    <x v="5"/>
    <s v="SMB"/>
    <n v="46"/>
    <x v="2"/>
  </r>
  <r>
    <s v="ORD-01843"/>
    <n v="45506"/>
    <n v="2183.8000000000002"/>
    <s v="R026"/>
    <x v="4"/>
    <s v="Retail"/>
    <n v="32"/>
    <x v="2"/>
  </r>
  <r>
    <s v="ORD-01844"/>
    <n v="45521"/>
    <n v="6357.12"/>
    <s v="R026"/>
    <x v="5"/>
    <s v="Retail"/>
    <n v="46"/>
    <x v="2"/>
  </r>
  <r>
    <s v="ORD-01845"/>
    <n v="45389"/>
    <n v="12136.56"/>
    <s v="R014"/>
    <x v="5"/>
    <s v="SMB"/>
    <n v="43"/>
    <x v="1"/>
  </r>
  <r>
    <s v="ORD-01846"/>
    <n v="45390"/>
    <n v="9942.6"/>
    <s v="R028"/>
    <x v="2"/>
    <s v="SMB"/>
    <n v="59"/>
    <x v="2"/>
  </r>
  <r>
    <s v="ORD-01847"/>
    <n v="45413"/>
    <n v="901.43"/>
    <s v="R028"/>
    <x v="3"/>
    <s v="Retail"/>
    <n v="44"/>
    <x v="2"/>
  </r>
  <r>
    <s v="ORD-01848"/>
    <n v="45535"/>
    <n v="40274.239999999998"/>
    <s v="R029"/>
    <x v="3"/>
    <s v="Retail"/>
    <n v="28"/>
    <x v="2"/>
  </r>
  <r>
    <s v="ORD-01849"/>
    <n v="45569"/>
    <n v="31979.57"/>
    <s v="R017"/>
    <x v="3"/>
    <s v="SMB"/>
    <n v="59"/>
    <x v="3"/>
  </r>
  <r>
    <s v="ORD-01850"/>
    <n v="45527"/>
    <n v="2708.94"/>
    <s v="R028"/>
    <x v="5"/>
    <s v="SMB"/>
    <n v="65"/>
    <x v="2"/>
  </r>
  <r>
    <s v="ORD-01851"/>
    <n v="45453"/>
    <n v="10473.780000000001"/>
    <s v="R028"/>
    <x v="2"/>
    <s v="Retail"/>
    <n v="43"/>
    <x v="2"/>
  </r>
  <r>
    <s v="ORD-01852"/>
    <n v="45605"/>
    <n v="17362.62"/>
    <s v="R010"/>
    <x v="2"/>
    <s v="SMB"/>
    <n v="39"/>
    <x v="1"/>
  </r>
  <r>
    <s v="ORD-01853"/>
    <n v="45650"/>
    <n v="4959.3"/>
    <s v="R017"/>
    <x v="4"/>
    <s v="Corporate"/>
    <n v="34"/>
    <x v="3"/>
  </r>
  <r>
    <s v="ORD-01854"/>
    <n v="45412"/>
    <n v="19205.12"/>
    <s v="R024"/>
    <x v="0"/>
    <s v="Retail"/>
    <n v="23"/>
    <x v="2"/>
  </r>
  <r>
    <s v="ORD-01855"/>
    <n v="45554"/>
    <n v="18338.32"/>
    <s v="R007"/>
    <x v="1"/>
    <s v="Corporate"/>
    <n v="37"/>
    <x v="0"/>
  </r>
  <r>
    <s v="ORD-01856"/>
    <n v="45365"/>
    <n v="3163.86"/>
    <s v="R024"/>
    <x v="2"/>
    <s v="Retail"/>
    <n v="31"/>
    <x v="2"/>
  </r>
  <r>
    <s v="ORD-01857"/>
    <n v="45504"/>
    <n v="15323.88"/>
    <s v="R025"/>
    <x v="1"/>
    <s v="Corporate"/>
    <n v="29"/>
    <x v="2"/>
  </r>
  <r>
    <s v="ORD-01858"/>
    <n v="45652"/>
    <n v="5709.6"/>
    <s v="R027"/>
    <x v="1"/>
    <s v="SMB"/>
    <n v="29"/>
    <x v="2"/>
  </r>
  <r>
    <s v="ORD-01859"/>
    <n v="45330"/>
    <n v="14794.08"/>
    <s v="R025"/>
    <x v="2"/>
    <s v="Retail"/>
    <n v="54"/>
    <x v="2"/>
  </r>
  <r>
    <s v="ORD-01860"/>
    <n v="45533"/>
    <n v="27524.7"/>
    <s v="R006"/>
    <x v="5"/>
    <s v="Retail"/>
    <n v="29"/>
    <x v="0"/>
  </r>
  <r>
    <s v="ORD-01861"/>
    <n v="45463"/>
    <n v="1778.7"/>
    <s v="R015"/>
    <x v="4"/>
    <s v="Corporate"/>
    <n v="29"/>
    <x v="1"/>
  </r>
  <r>
    <s v="ORD-01862"/>
    <n v="45428"/>
    <n v="14352"/>
    <s v="R010"/>
    <x v="1"/>
    <s v="SMB"/>
    <n v="27"/>
    <x v="1"/>
  </r>
  <r>
    <s v="ORD-01863"/>
    <n v="45634"/>
    <n v="9804.08"/>
    <s v="R014"/>
    <x v="1"/>
    <s v="Retail"/>
    <n v="35"/>
    <x v="1"/>
  </r>
  <r>
    <s v="ORD-01864"/>
    <n v="45627"/>
    <n v="12223.68"/>
    <s v="R001"/>
    <x v="0"/>
    <s v="Retail"/>
    <n v="44"/>
    <x v="0"/>
  </r>
  <r>
    <s v="ORD-01865"/>
    <n v="45429"/>
    <n v="8414.8799999999992"/>
    <s v="R028"/>
    <x v="3"/>
    <s v="Corporate"/>
    <n v="51"/>
    <x v="2"/>
  </r>
  <r>
    <s v="ORD-01866"/>
    <n v="45648"/>
    <n v="7202.44"/>
    <s v="R002"/>
    <x v="2"/>
    <s v="Retail"/>
    <n v="38"/>
    <x v="0"/>
  </r>
  <r>
    <s v="ORD-01867"/>
    <n v="45295"/>
    <n v="10057.68"/>
    <s v="R018"/>
    <x v="5"/>
    <s v="Retail"/>
    <n v="28"/>
    <x v="3"/>
  </r>
  <r>
    <s v="ORD-01868"/>
    <n v="45418"/>
    <n v="5850.42"/>
    <s v="R013"/>
    <x v="1"/>
    <s v="Retail"/>
    <n v="60"/>
    <x v="1"/>
  </r>
  <r>
    <s v="ORD-01869"/>
    <n v="45623"/>
    <n v="9164.61"/>
    <s v="R009"/>
    <x v="3"/>
    <s v="Retail"/>
    <n v="61"/>
    <x v="1"/>
  </r>
  <r>
    <s v="ORD-01870"/>
    <n v="45528"/>
    <n v="26110"/>
    <s v="R002"/>
    <x v="3"/>
    <s v="Retail"/>
    <n v="26"/>
    <x v="0"/>
  </r>
  <r>
    <s v="ORD-01871"/>
    <n v="45644"/>
    <n v="19684.98"/>
    <s v="R015"/>
    <x v="2"/>
    <s v="Retail"/>
    <n v="62"/>
    <x v="1"/>
  </r>
  <r>
    <s v="ORD-01872"/>
    <n v="45475"/>
    <n v="5909.76"/>
    <s v="R002"/>
    <x v="3"/>
    <s v="Retail"/>
    <n v="44"/>
    <x v="0"/>
  </r>
  <r>
    <s v="ORD-01712"/>
    <n v="45401"/>
    <n v="2319.4499999999998"/>
    <s v="R013"/>
    <x v="1"/>
    <s v="Retail"/>
    <n v="22"/>
    <x v="1"/>
  </r>
  <r>
    <s v="ORD-01874"/>
    <n v="45516"/>
    <n v="1286.1199999999999"/>
    <s v="R026"/>
    <x v="3"/>
    <s v="Retail"/>
    <n v="54"/>
    <x v="2"/>
  </r>
  <r>
    <s v="ORD-01875"/>
    <n v="45517"/>
    <n v="19399.240000000002"/>
    <s v="R007"/>
    <x v="0"/>
    <s v="SMB"/>
    <n v="65"/>
    <x v="0"/>
  </r>
  <r>
    <s v="ORD-01876"/>
    <n v="45645"/>
    <n v="13528"/>
    <s v="R024"/>
    <x v="0"/>
    <s v="Retail"/>
    <n v="59"/>
    <x v="2"/>
  </r>
  <r>
    <s v="ORD-01877"/>
    <n v="45417"/>
    <n v="9683.1"/>
    <s v="R021"/>
    <x v="3"/>
    <s v="SMB"/>
    <n v="64"/>
    <x v="3"/>
  </r>
  <r>
    <s v="ORD-01878"/>
    <n v="45351"/>
    <n v="10388.4"/>
    <s v="R018"/>
    <x v="4"/>
    <s v="Corporate"/>
    <n v="35"/>
    <x v="3"/>
  </r>
  <r>
    <s v="ORD-01879"/>
    <n v="45629"/>
    <n v="7645.36"/>
    <s v="R002"/>
    <x v="2"/>
    <s v="Retail"/>
    <n v="37"/>
    <x v="0"/>
  </r>
  <r>
    <s v="ORD-01880"/>
    <n v="45588"/>
    <n v="270.10000000000002"/>
    <s v="R002"/>
    <x v="3"/>
    <s v="Retail"/>
    <n v="44"/>
    <x v="0"/>
  </r>
  <r>
    <s v="ORD-01881"/>
    <n v="45366"/>
    <n v="44798.400000000001"/>
    <s v="R017"/>
    <x v="5"/>
    <s v="SMB"/>
    <n v="55"/>
    <x v="3"/>
  </r>
  <r>
    <s v="ORD-01882"/>
    <n v="45322"/>
    <n v="1804.86"/>
    <s v="R023"/>
    <x v="3"/>
    <s v="Retail"/>
    <n v="22"/>
    <x v="3"/>
  </r>
  <r>
    <s v="ORD-01883"/>
    <n v="45465"/>
    <n v="4562.88"/>
    <s v="R004"/>
    <x v="2"/>
    <s v="SMB"/>
    <n v="24"/>
    <x v="0"/>
  </r>
  <r>
    <s v="ORD-01884"/>
    <n v="45622"/>
    <n v="6066.45"/>
    <s v="R029"/>
    <x v="2"/>
    <s v="Unknown"/>
    <s v=""/>
    <x v="2"/>
  </r>
  <r>
    <s v="ORD-01885"/>
    <n v="45457"/>
    <n v="1324.95"/>
    <s v="R002"/>
    <x v="5"/>
    <s v="Corporate"/>
    <n v="27"/>
    <x v="0"/>
  </r>
  <r>
    <s v="ORD-01886"/>
    <n v="45480"/>
    <n v="32028.1"/>
    <s v="R003"/>
    <x v="1"/>
    <s v="Retail"/>
    <n v="65"/>
    <x v="0"/>
  </r>
  <r>
    <s v="ORD-01887"/>
    <n v="45392"/>
    <n v="4172.4799999999996"/>
    <s v="R022"/>
    <x v="2"/>
    <s v="Corporate"/>
    <n v="29"/>
    <x v="3"/>
  </r>
  <r>
    <s v="ORD-01888"/>
    <n v="45380"/>
    <n v="22674.6"/>
    <s v="R014"/>
    <x v="4"/>
    <s v="SMB"/>
    <n v="60"/>
    <x v="1"/>
  </r>
  <r>
    <s v="ORD-01889"/>
    <n v="45494"/>
    <n v="22940.82"/>
    <s v="R003"/>
    <x v="1"/>
    <s v="Retail"/>
    <n v="35"/>
    <x v="0"/>
  </r>
  <r>
    <s v="ORD-01890"/>
    <n v="45621"/>
    <n v="8006.4"/>
    <s v="R013"/>
    <x v="1"/>
    <s v="Corporate"/>
    <n v="55"/>
    <x v="1"/>
  </r>
  <r>
    <s v="ORD-01891"/>
    <n v="45603"/>
    <n v="2283"/>
    <s v="R005"/>
    <x v="4"/>
    <s v="Retail"/>
    <n v="25"/>
    <x v="0"/>
  </r>
  <r>
    <s v="ORD-01892"/>
    <n v="45640"/>
    <n v="3605.1"/>
    <s v="R010"/>
    <x v="2"/>
    <s v="Corporate"/>
    <n v="55"/>
    <x v="1"/>
  </r>
  <r>
    <s v="ORD-01893"/>
    <n v="45534"/>
    <n v="24281.1"/>
    <s v="R011"/>
    <x v="1"/>
    <s v="Retail"/>
    <n v="42"/>
    <x v="1"/>
  </r>
  <r>
    <s v="ORD-01894"/>
    <n v="45410"/>
    <n v="29083.5"/>
    <s v="R007"/>
    <x v="0"/>
    <s v="SMB"/>
    <n v="65"/>
    <x v="0"/>
  </r>
  <r>
    <s v="ORD-01895"/>
    <n v="45412"/>
    <n v="7260.88"/>
    <s v="R008"/>
    <x v="2"/>
    <s v="Corporate"/>
    <n v="46"/>
    <x v="0"/>
  </r>
  <r>
    <s v="ORD-01896"/>
    <n v="45372"/>
    <n v="12534.48"/>
    <s v="R023"/>
    <x v="1"/>
    <s v="SMB"/>
    <n v="62"/>
    <x v="3"/>
  </r>
  <r>
    <s v="ORD-01897"/>
    <n v="45622"/>
    <n v="2691"/>
    <s v="R004"/>
    <x v="2"/>
    <s v="Retail"/>
    <n v="35"/>
    <x v="0"/>
  </r>
  <r>
    <s v="ORD-01898"/>
    <n v="45493"/>
    <n v="8686.4"/>
    <s v="R030"/>
    <x v="5"/>
    <s v="Corporate"/>
    <n v="32"/>
    <x v="2"/>
  </r>
  <r>
    <s v="ORD-01899"/>
    <n v="45580"/>
    <n v="17064.599999999999"/>
    <s v="R022"/>
    <x v="2"/>
    <s v="Retail"/>
    <n v="52"/>
    <x v="3"/>
  </r>
  <r>
    <s v="ORD-01900"/>
    <n v="45449"/>
    <n v="6107.43"/>
    <s v="R003"/>
    <x v="5"/>
    <s v="Corporate"/>
    <n v="31"/>
    <x v="0"/>
  </r>
  <r>
    <s v="ORD-01901"/>
    <n v="45417"/>
    <n v="13827.6"/>
    <s v="R004"/>
    <x v="2"/>
    <s v="Corporate"/>
    <n v="32"/>
    <x v="0"/>
  </r>
  <r>
    <s v="ORD-01902"/>
    <n v="45523"/>
    <n v="15732.5"/>
    <s v="R027"/>
    <x v="2"/>
    <s v="Retail"/>
    <n v="49"/>
    <x v="2"/>
  </r>
  <r>
    <s v="ORD-01903"/>
    <n v="45367"/>
    <n v="18627.84"/>
    <s v="R006"/>
    <x v="4"/>
    <s v="Retail"/>
    <n v="28"/>
    <x v="0"/>
  </r>
  <r>
    <s v="ORD-01904"/>
    <n v="45309"/>
    <n v="8261.1200000000008"/>
    <s v="R005"/>
    <x v="3"/>
    <s v="Retail"/>
    <n v="36"/>
    <x v="0"/>
  </r>
  <r>
    <s v="ORD-01905"/>
    <n v="45383"/>
    <n v="10276.5"/>
    <s v="R028"/>
    <x v="2"/>
    <s v="Corporate"/>
    <n v="29"/>
    <x v="2"/>
  </r>
  <r>
    <s v="ORD-01906"/>
    <n v="45420"/>
    <n v="6939.4"/>
    <s v="R011"/>
    <x v="2"/>
    <s v="SMB"/>
    <n v="29"/>
    <x v="1"/>
  </r>
  <r>
    <s v="ORD-01907"/>
    <n v="45400"/>
    <n v="4689.18"/>
    <s v="R013"/>
    <x v="3"/>
    <s v="SMB"/>
    <n v="44"/>
    <x v="1"/>
  </r>
  <r>
    <s v="ORD-01908"/>
    <n v="45625"/>
    <n v="2870.46"/>
    <s v="R003"/>
    <x v="3"/>
    <s v="Retail"/>
    <n v="44"/>
    <x v="0"/>
  </r>
  <r>
    <s v="ORD-01909"/>
    <n v="45555"/>
    <n v="34629"/>
    <s v="R025"/>
    <x v="4"/>
    <s v="Retail"/>
    <n v="57"/>
    <x v="2"/>
  </r>
  <r>
    <s v="ORD-01910"/>
    <n v="45509"/>
    <n v="25902.5"/>
    <s v="R016"/>
    <x v="3"/>
    <s v="Retail"/>
    <n v="42"/>
    <x v="1"/>
  </r>
  <r>
    <s v="ORD-01911"/>
    <n v="45436"/>
    <n v="14469"/>
    <s v="R028"/>
    <x v="3"/>
    <s v="Corporate"/>
    <n v="62"/>
    <x v="2"/>
  </r>
  <r>
    <s v="ORD-01912"/>
    <n v="45610"/>
    <n v="6134.4"/>
    <s v="R024"/>
    <x v="1"/>
    <s v="Retail"/>
    <n v="49"/>
    <x v="2"/>
  </r>
  <r>
    <s v="ORD-01913"/>
    <n v="45535"/>
    <n v="43228.800000000003"/>
    <s v="R015"/>
    <x v="5"/>
    <s v="SMB"/>
    <n v="38"/>
    <x v="1"/>
  </r>
  <r>
    <s v="ORD-01914"/>
    <n v="45366"/>
    <n v="23925.9"/>
    <s v="R020"/>
    <x v="3"/>
    <s v="Retail"/>
    <n v="34"/>
    <x v="3"/>
  </r>
  <r>
    <s v="ORD-01915"/>
    <n v="45446"/>
    <n v="26527.759999999998"/>
    <s v="R021"/>
    <x v="3"/>
    <s v="Corporate"/>
    <n v="34"/>
    <x v="3"/>
  </r>
  <r>
    <s v="ORD-01916"/>
    <n v="45550"/>
    <n v="16381.5"/>
    <s v="R017"/>
    <x v="5"/>
    <s v="Retail"/>
    <n v="65"/>
    <x v="3"/>
  </r>
  <r>
    <s v="ORD-01917"/>
    <n v="45600"/>
    <n v="3262.14"/>
    <s v="R014"/>
    <x v="2"/>
    <s v="Retail"/>
    <n v="55"/>
    <x v="1"/>
  </r>
  <r>
    <s v="ORD-01918"/>
    <n v="45352"/>
    <n v="17255.68"/>
    <s v="R020"/>
    <x v="5"/>
    <s v="Corporate"/>
    <n v="55"/>
    <x v="3"/>
  </r>
  <r>
    <s v="ORD-01919"/>
    <n v="45385"/>
    <n v="11597.4"/>
    <s v="R029"/>
    <x v="5"/>
    <s v="Corporate"/>
    <n v="41"/>
    <x v="2"/>
  </r>
  <r>
    <s v="ORD-01920"/>
    <n v="45634"/>
    <n v="12674.9"/>
    <s v="R023"/>
    <x v="4"/>
    <s v="Retail"/>
    <n v="27"/>
    <x v="3"/>
  </r>
  <r>
    <s v="ORD-01921"/>
    <n v="45444"/>
    <n v="23562"/>
    <s v="R017"/>
    <x v="2"/>
    <s v="SMB"/>
    <n v="28"/>
    <x v="3"/>
  </r>
  <r>
    <s v="ORD-01922"/>
    <n v="45553"/>
    <n v="40757.760000000002"/>
    <s v="R002"/>
    <x v="5"/>
    <s v="Retail"/>
    <n v="36"/>
    <x v="0"/>
  </r>
  <r>
    <s v="ORD-01923"/>
    <n v="45411"/>
    <n v="3159.31"/>
    <s v="R014"/>
    <x v="3"/>
    <s v="SMB"/>
    <n v="25"/>
    <x v="1"/>
  </r>
  <r>
    <s v="ORD-01924"/>
    <n v="45442"/>
    <n v="36779.4"/>
    <s v="R003"/>
    <x v="1"/>
    <s v="Retail"/>
    <n v="27"/>
    <x v="0"/>
  </r>
  <r>
    <s v="ORD-01925"/>
    <n v="45381"/>
    <n v="5574.8"/>
    <s v="R023"/>
    <x v="0"/>
    <s v="SMB"/>
    <n v="51"/>
    <x v="3"/>
  </r>
  <r>
    <s v="ORD-01926"/>
    <n v="45536"/>
    <n v="36621.72"/>
    <s v="R021"/>
    <x v="3"/>
    <s v="Retail"/>
    <n v="33"/>
    <x v="3"/>
  </r>
  <r>
    <s v="ORD-01927"/>
    <n v="45561"/>
    <n v="6728.4"/>
    <s v="R024"/>
    <x v="0"/>
    <s v="SMB"/>
    <n v="28"/>
    <x v="2"/>
  </r>
  <r>
    <s v="ORD-01928"/>
    <n v="45349"/>
    <n v="4510.5"/>
    <s v="R001"/>
    <x v="2"/>
    <s v="Retail"/>
    <n v="37"/>
    <x v="0"/>
  </r>
  <r>
    <s v="ORD-01929"/>
    <n v="45650"/>
    <n v="28612.35"/>
    <s v="R014"/>
    <x v="5"/>
    <s v="Retail"/>
    <n v="49"/>
    <x v="1"/>
  </r>
  <r>
    <s v="ORD-01930"/>
    <n v="45525"/>
    <n v="1824.84"/>
    <s v="R011"/>
    <x v="3"/>
    <s v="Unknown"/>
    <s v=""/>
    <x v="1"/>
  </r>
  <r>
    <s v="ORD-01931"/>
    <n v="45365"/>
    <n v="6237.96"/>
    <s v="R011"/>
    <x v="2"/>
    <s v="Corporate"/>
    <n v="55"/>
    <x v="1"/>
  </r>
  <r>
    <s v="ORD-01932"/>
    <n v="45464"/>
    <n v="9604.7999999999993"/>
    <s v="R021"/>
    <x v="1"/>
    <s v="Corporate"/>
    <n v="41"/>
    <x v="3"/>
  </r>
  <r>
    <s v="ORD-01933"/>
    <n v="45633"/>
    <n v="7471.98"/>
    <s v="R008"/>
    <x v="1"/>
    <s v="Retail"/>
    <n v="29"/>
    <x v="0"/>
  </r>
  <r>
    <s v="ORD-01934"/>
    <n v="45373"/>
    <n v="16181.1"/>
    <s v="R003"/>
    <x v="3"/>
    <s v="Retail"/>
    <n v="33"/>
    <x v="0"/>
  </r>
  <r>
    <s v="ORD-01935"/>
    <n v="45497"/>
    <n v="1822.62"/>
    <s v="R003"/>
    <x v="3"/>
    <s v="Retail"/>
    <n v="59"/>
    <x v="0"/>
  </r>
  <r>
    <s v="ORD-01936"/>
    <n v="45352"/>
    <n v="12337.92"/>
    <s v="R026"/>
    <x v="2"/>
    <s v="Corporate"/>
    <n v="24"/>
    <x v="2"/>
  </r>
  <r>
    <s v="ORD-01937"/>
    <n v="45379"/>
    <n v="4896"/>
    <s v="R023"/>
    <x v="5"/>
    <s v="SMB"/>
    <n v="40"/>
    <x v="3"/>
  </r>
  <r>
    <s v="ORD-01938"/>
    <n v="45422"/>
    <n v="2525.7600000000002"/>
    <s v="R002"/>
    <x v="1"/>
    <s v="Retail"/>
    <n v="48"/>
    <x v="0"/>
  </r>
  <r>
    <s v="ORD-01939"/>
    <n v="45413"/>
    <n v="4088.28"/>
    <s v="R029"/>
    <x v="0"/>
    <s v="Retail"/>
    <n v="65"/>
    <x v="2"/>
  </r>
  <r>
    <s v="ORD-01940"/>
    <n v="45467"/>
    <n v="915.84"/>
    <s v="R020"/>
    <x v="1"/>
    <s v="Retail"/>
    <n v="54"/>
    <x v="3"/>
  </r>
  <r>
    <s v="ORD-01941"/>
    <n v="45520"/>
    <n v="11964.6"/>
    <s v="R028"/>
    <x v="5"/>
    <s v="Retail"/>
    <n v="57"/>
    <x v="2"/>
  </r>
  <r>
    <s v="ORD-01942"/>
    <n v="45626"/>
    <n v="26275.200000000001"/>
    <s v="R019"/>
    <x v="0"/>
    <s v="SMB"/>
    <n v="43"/>
    <x v="3"/>
  </r>
  <r>
    <s v="ORD-01943"/>
    <n v="45452"/>
    <n v="2435.6999999999998"/>
    <s v="R019"/>
    <x v="5"/>
    <s v="SMB"/>
    <n v="65"/>
    <x v="3"/>
  </r>
  <r>
    <s v="ORD-01944"/>
    <n v="45529"/>
    <n v="5824.5"/>
    <s v="R024"/>
    <x v="5"/>
    <s v="Retail"/>
    <n v="65"/>
    <x v="2"/>
  </r>
  <r>
    <s v="ORD-01945"/>
    <n v="45639"/>
    <n v="6110.56"/>
    <s v="R009"/>
    <x v="0"/>
    <s v="SMB"/>
    <n v="29"/>
    <x v="1"/>
  </r>
  <r>
    <s v="ORD-01946"/>
    <n v="45592"/>
    <n v="676.8"/>
    <s v="R012"/>
    <x v="4"/>
    <s v="Retail"/>
    <n v="52"/>
    <x v="1"/>
  </r>
  <r>
    <s v="ORD-01947"/>
    <n v="45338"/>
    <n v="3257.1"/>
    <s v="R001"/>
    <x v="5"/>
    <s v="SMB"/>
    <n v="55"/>
    <x v="0"/>
  </r>
  <r>
    <s v="ORD-01948"/>
    <n v="45551"/>
    <n v="21451.5"/>
    <s v="R019"/>
    <x v="2"/>
    <s v="Retail"/>
    <n v="27"/>
    <x v="3"/>
  </r>
  <r>
    <s v="ORD-01949"/>
    <n v="45350"/>
    <n v="5686.56"/>
    <s v="R008"/>
    <x v="4"/>
    <s v="SMB"/>
    <n v="59"/>
    <x v="0"/>
  </r>
  <r>
    <s v="ORD-01950"/>
    <n v="45507"/>
    <n v="19562.400000000001"/>
    <s v="R015"/>
    <x v="4"/>
    <s v="Retail"/>
    <n v="44"/>
    <x v="1"/>
  </r>
  <r>
    <s v="ORD-01951"/>
    <n v="45538"/>
    <n v="2717"/>
    <s v="R030"/>
    <x v="4"/>
    <s v="Retail"/>
    <n v="53"/>
    <x v="2"/>
  </r>
  <r>
    <s v="ORD-01952"/>
    <n v="45618"/>
    <n v="15315.3"/>
    <s v="R020"/>
    <x v="4"/>
    <s v="SMB"/>
    <n v="30"/>
    <x v="3"/>
  </r>
  <r>
    <s v="ORD-01953"/>
    <n v="45444"/>
    <n v="3295.11"/>
    <s v="R024"/>
    <x v="4"/>
    <s v="Retail"/>
    <n v="30"/>
    <x v="2"/>
  </r>
  <r>
    <s v="ORD-01954"/>
    <n v="45377"/>
    <n v="30685.23"/>
    <s v="R030"/>
    <x v="4"/>
    <s v="SMB"/>
    <n v="43"/>
    <x v="2"/>
  </r>
  <r>
    <s v="ORD-01955"/>
    <n v="45515"/>
    <n v="28662.2"/>
    <s v="R014"/>
    <x v="1"/>
    <s v="SMB"/>
    <n v="26"/>
    <x v="1"/>
  </r>
  <r>
    <s v="ORD-01956"/>
    <n v="45312"/>
    <n v="2040.18"/>
    <s v="R026"/>
    <x v="3"/>
    <s v="Retail"/>
    <n v="53"/>
    <x v="2"/>
  </r>
  <r>
    <s v="ORD-01957"/>
    <n v="45549"/>
    <n v="21844.16"/>
    <s v="R027"/>
    <x v="0"/>
    <s v="Corporate"/>
    <n v="55"/>
    <x v="2"/>
  </r>
  <r>
    <s v="ORD-01958"/>
    <n v="45633"/>
    <n v="4748.24"/>
    <s v="R028"/>
    <x v="4"/>
    <s v="Retail"/>
    <n v="44"/>
    <x v="2"/>
  </r>
  <r>
    <s v="ORD-01959"/>
    <n v="45598"/>
    <n v="35978.800000000003"/>
    <s v="R020"/>
    <x v="2"/>
    <s v="Retail"/>
    <n v="24"/>
    <x v="3"/>
  </r>
  <r>
    <s v="ORD-01960"/>
    <n v="45336"/>
    <n v="26059.200000000001"/>
    <s v="R019"/>
    <x v="2"/>
    <s v="Retail"/>
    <n v="63"/>
    <x v="3"/>
  </r>
  <r>
    <s v="ORD-01961"/>
    <n v="45449"/>
    <n v="22326.6"/>
    <s v="R018"/>
    <x v="3"/>
    <s v="Retail"/>
    <n v="53"/>
    <x v="3"/>
  </r>
  <r>
    <s v="ORD-01962"/>
    <n v="45338"/>
    <n v="35727.5"/>
    <s v="R013"/>
    <x v="3"/>
    <s v="Retail"/>
    <n v="63"/>
    <x v="1"/>
  </r>
  <r>
    <s v="ORD-01963"/>
    <n v="45317"/>
    <n v="6783"/>
    <s v="R007"/>
    <x v="4"/>
    <s v="Retail"/>
    <n v="27"/>
    <x v="0"/>
  </r>
  <r>
    <s v="ORD-01964"/>
    <n v="45384"/>
    <n v="15594.6"/>
    <s v="R006"/>
    <x v="0"/>
    <s v="SMB"/>
    <n v="48"/>
    <x v="0"/>
  </r>
  <r>
    <s v="ORD-01965"/>
    <n v="45325"/>
    <n v="2627"/>
    <s v="R004"/>
    <x v="3"/>
    <s v="Retail"/>
    <n v="41"/>
    <x v="0"/>
  </r>
  <r>
    <s v="ORD-01966"/>
    <n v="45358"/>
    <n v="8675.9"/>
    <s v="R008"/>
    <x v="1"/>
    <s v="Retail"/>
    <n v="54"/>
    <x v="0"/>
  </r>
  <r>
    <s v="ORD-01967"/>
    <n v="45586"/>
    <n v="8159.52"/>
    <s v="R030"/>
    <x v="0"/>
    <s v="SMB"/>
    <n v="65"/>
    <x v="2"/>
  </r>
  <r>
    <s v="ORD-01968"/>
    <n v="45340"/>
    <n v="9157.32"/>
    <s v="R028"/>
    <x v="4"/>
    <s v="Retail"/>
    <n v="28"/>
    <x v="2"/>
  </r>
  <r>
    <s v="ORD-01969"/>
    <n v="45343"/>
    <n v="1181.04"/>
    <s v="R008"/>
    <x v="1"/>
    <s v="Retail"/>
    <n v="42"/>
    <x v="0"/>
  </r>
  <r>
    <s v="ORD-01970"/>
    <n v="45468"/>
    <n v="1943.24"/>
    <s v="R002"/>
    <x v="1"/>
    <s v="Corporate"/>
    <n v="24"/>
    <x v="0"/>
  </r>
  <r>
    <s v="ORD-01971"/>
    <n v="45439"/>
    <n v="7373.6"/>
    <s v="R009"/>
    <x v="4"/>
    <s v="Retail"/>
    <n v="57"/>
    <x v="1"/>
  </r>
  <r>
    <s v="ORD-01972"/>
    <n v="45517"/>
    <n v="23184"/>
    <s v="R029"/>
    <x v="0"/>
    <s v="Retail"/>
    <n v="41"/>
    <x v="2"/>
  </r>
  <r>
    <s v="ORD-01973"/>
    <n v="45311"/>
    <n v="13147.38"/>
    <s v="R019"/>
    <x v="0"/>
    <s v="Corporate"/>
    <n v="52"/>
    <x v="3"/>
  </r>
  <r>
    <s v="ORD-01974"/>
    <n v="45560"/>
    <n v="912"/>
    <s v="R027"/>
    <x v="1"/>
    <s v="Retail"/>
    <n v="36"/>
    <x v="2"/>
  </r>
  <r>
    <s v="ORD-01975"/>
    <n v="45529"/>
    <n v="12952.5"/>
    <s v="R029"/>
    <x v="5"/>
    <s v="Retail"/>
    <n v="42"/>
    <x v="2"/>
  </r>
  <r>
    <s v="ORD-01976"/>
    <n v="45344"/>
    <n v="9701.1200000000008"/>
    <s v="R009"/>
    <x v="1"/>
    <s v="Corporate"/>
    <n v="57"/>
    <x v="1"/>
  </r>
  <r>
    <s v="ORD-01977"/>
    <n v="45589"/>
    <n v="1209.78"/>
    <s v="R028"/>
    <x v="1"/>
    <s v="Retail"/>
    <n v="54"/>
    <x v="2"/>
  </r>
  <r>
    <s v="ORD-01978"/>
    <n v="45469"/>
    <n v="4696.12"/>
    <s v="R030"/>
    <x v="1"/>
    <s v="Corporate"/>
    <n v="54"/>
    <x v="2"/>
  </r>
  <r>
    <s v="ORD-01979"/>
    <n v="45407"/>
    <n v="4389.6000000000004"/>
    <s v="R018"/>
    <x v="0"/>
    <s v="Retail"/>
    <n v="38"/>
    <x v="3"/>
  </r>
  <r>
    <s v="ORD-01980"/>
    <n v="45635"/>
    <n v="14372.4"/>
    <s v="R006"/>
    <x v="3"/>
    <s v="SMB"/>
    <n v="44"/>
    <x v="0"/>
  </r>
  <r>
    <s v="ORD-01981"/>
    <n v="45489"/>
    <n v="19975.5"/>
    <s v="R012"/>
    <x v="5"/>
    <s v="SMB"/>
    <n v="44"/>
    <x v="1"/>
  </r>
  <r>
    <s v="ORD-01982"/>
    <n v="45356"/>
    <n v="13799.5"/>
    <s v="R011"/>
    <x v="4"/>
    <s v="Retail"/>
    <n v="61"/>
    <x v="1"/>
  </r>
  <r>
    <s v="ORD-01983"/>
    <n v="45422"/>
    <n v="701.1"/>
    <s v="R017"/>
    <x v="0"/>
    <s v="Retail"/>
    <n v="26"/>
    <x v="3"/>
  </r>
  <r>
    <s v="ORD-01984"/>
    <n v="45333"/>
    <n v="23960.799999999999"/>
    <s v="R023"/>
    <x v="5"/>
    <s v="Corporate"/>
    <n v="55"/>
    <x v="3"/>
  </r>
  <r>
    <s v="ORD-01985"/>
    <n v="45385"/>
    <n v="19751.599999999999"/>
    <s v="R016"/>
    <x v="5"/>
    <s v="Retail"/>
    <n v="36"/>
    <x v="1"/>
  </r>
  <r>
    <s v="ORD-01986"/>
    <n v="45298"/>
    <n v="16896.240000000002"/>
    <s v="R022"/>
    <x v="0"/>
    <s v="Retail"/>
    <n v="32"/>
    <x v="3"/>
  </r>
  <r>
    <s v="ORD-01987"/>
    <n v="45500"/>
    <n v="37341"/>
    <s v="R024"/>
    <x v="3"/>
    <s v="SMB"/>
    <n v="64"/>
    <x v="2"/>
  </r>
  <r>
    <s v="ORD-01988"/>
    <n v="45409"/>
    <n v="3696.84"/>
    <s v="R004"/>
    <x v="2"/>
    <s v="Retail"/>
    <n v="54"/>
    <x v="0"/>
  </r>
  <r>
    <s v="ORD-01989"/>
    <n v="45401"/>
    <n v="7121.16"/>
    <s v="R026"/>
    <x v="5"/>
    <s v="Retail"/>
    <n v="53"/>
    <x v="2"/>
  </r>
  <r>
    <s v="ORD-01990"/>
    <n v="45645"/>
    <n v="7717.2"/>
    <s v="R006"/>
    <x v="3"/>
    <s v="Retail"/>
    <n v="32"/>
    <x v="0"/>
  </r>
  <r>
    <s v="ORD-01991"/>
    <n v="45616"/>
    <n v="18258"/>
    <s v="R013"/>
    <x v="5"/>
    <s v="Corporate"/>
    <n v="31"/>
    <x v="1"/>
  </r>
  <r>
    <s v="ORD-01992"/>
    <n v="45352"/>
    <n v="24360.959999999999"/>
    <s v="R008"/>
    <x v="5"/>
    <s v="SMB"/>
    <n v="59"/>
    <x v="0"/>
  </r>
  <r>
    <s v="ORD-01993"/>
    <n v="45451"/>
    <n v="3864.25"/>
    <s v="R027"/>
    <x v="4"/>
    <s v="Retail"/>
    <n v="65"/>
    <x v="2"/>
  </r>
  <r>
    <s v="ORD-01994"/>
    <n v="45477"/>
    <n v="13456.87"/>
    <s v="R029"/>
    <x v="3"/>
    <s v="SMB"/>
    <n v="39"/>
    <x v="2"/>
  </r>
  <r>
    <s v="ORD-01995"/>
    <n v="45360"/>
    <n v="23356.2"/>
    <s v="R024"/>
    <x v="5"/>
    <s v="Retail"/>
    <n v="42"/>
    <x v="2"/>
  </r>
  <r>
    <s v="ORD-01996"/>
    <n v="45292"/>
    <n v="19291.560000000001"/>
    <s v="R015"/>
    <x v="3"/>
    <s v="Retail"/>
    <n v="49"/>
    <x v="1"/>
  </r>
  <r>
    <s v="ORD-01997"/>
    <n v="45585"/>
    <n v="22438.44"/>
    <s v="R017"/>
    <x v="4"/>
    <s v="SMB"/>
    <n v="24"/>
    <x v="3"/>
  </r>
  <r>
    <s v="ORD-01998"/>
    <n v="45592"/>
    <n v="7231.12"/>
    <s v="R011"/>
    <x v="2"/>
    <s v="Corporate"/>
    <n v="43"/>
    <x v="1"/>
  </r>
  <r>
    <s v="ORD-01999"/>
    <n v="45370"/>
    <n v="27428.7"/>
    <s v="R008"/>
    <x v="1"/>
    <s v="Retail"/>
    <n v="43"/>
    <x v="0"/>
  </r>
  <r>
    <s v="ORD-02000"/>
    <n v="45325"/>
    <n v="21915.119999999999"/>
    <s v="R023"/>
    <x v="3"/>
    <s v="Retail"/>
    <n v="4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n v="45549"/>
    <n v="24500.16"/>
    <x v="0"/>
    <s v="Apparel"/>
    <s v="SMB"/>
    <n v="44"/>
    <s v="North"/>
    <x v="0"/>
  </r>
  <r>
    <s v="ORD-00002"/>
    <n v="45340"/>
    <n v="1462.88"/>
    <x v="1"/>
    <s v="Apparel"/>
    <s v="Retail"/>
    <n v="39"/>
    <s v="North"/>
    <x v="1"/>
  </r>
  <r>
    <s v="ORD-00003"/>
    <n v="45371"/>
    <n v="3635.92"/>
    <x v="2"/>
    <s v="Sports"/>
    <s v="Retail"/>
    <n v="52"/>
    <s v="South"/>
    <x v="2"/>
  </r>
  <r>
    <s v="ORD-00004"/>
    <n v="45413"/>
    <n v="3085.38"/>
    <x v="3"/>
    <s v="Grocery"/>
    <s v="Corporate"/>
    <n v="46"/>
    <s v="North"/>
    <x v="3"/>
  </r>
  <r>
    <s v="ORD-00005"/>
    <n v="45611"/>
    <n v="2338.4"/>
    <x v="4"/>
    <s v="Apparel"/>
    <s v="Retail"/>
    <n v="36"/>
    <s v="North"/>
    <x v="4"/>
  </r>
  <r>
    <s v="ORD-00006"/>
    <n v="45406"/>
    <n v="1050.8"/>
    <x v="5"/>
    <s v="Home"/>
    <s v="Retail"/>
    <n v="36"/>
    <s v="West"/>
    <x v="5"/>
  </r>
  <r>
    <s v="ORD-00007"/>
    <n v="45455"/>
    <n v="2712.96"/>
    <x v="6"/>
    <s v="Sports"/>
    <s v="Retail"/>
    <n v="27"/>
    <s v="West"/>
    <x v="6"/>
  </r>
  <r>
    <s v="ORD-00008"/>
    <n v="45617"/>
    <n v="11165.44"/>
    <x v="7"/>
    <s v="Electronics"/>
    <s v="Corporate"/>
    <n v="57"/>
    <s v="East"/>
    <x v="4"/>
  </r>
  <r>
    <s v="ORD-00009"/>
    <n v="45549"/>
    <n v="14131.26"/>
    <x v="4"/>
    <s v="Home"/>
    <s v="Retail"/>
    <n v="42"/>
    <s v="North"/>
    <x v="0"/>
  </r>
  <r>
    <s v="ORD-00010"/>
    <n v="45396"/>
    <n v="2875.08"/>
    <x v="8"/>
    <s v="Grocery"/>
    <s v="Retail"/>
    <n v="56"/>
    <s v="West"/>
    <x v="5"/>
  </r>
  <r>
    <s v="ORD-00011"/>
    <n v="45560"/>
    <n v="14761.81"/>
    <x v="9"/>
    <s v="Grocery"/>
    <s v="Retail"/>
    <n v="60"/>
    <s v="South"/>
    <x v="0"/>
  </r>
  <r>
    <s v="ORD-00012"/>
    <n v="45332"/>
    <n v="18604.080000000002"/>
    <x v="6"/>
    <s v="Electronics"/>
    <s v="Retail"/>
    <n v="56"/>
    <s v="West"/>
    <x v="1"/>
  </r>
  <r>
    <s v="ORD-00013"/>
    <n v="45507"/>
    <n v="7464.6"/>
    <x v="10"/>
    <s v="Electronics"/>
    <s v="SMB"/>
    <n v="27"/>
    <s v="North"/>
    <x v="7"/>
  </r>
  <r>
    <s v="ORD-00014"/>
    <n v="45466"/>
    <n v="8375.25"/>
    <x v="5"/>
    <s v="Home"/>
    <s v="SMB"/>
    <n v="39"/>
    <s v="West"/>
    <x v="6"/>
  </r>
  <r>
    <s v="ORD-00015"/>
    <n v="45365"/>
    <n v="150.66999999999999"/>
    <x v="11"/>
    <s v="Sports"/>
    <s v="Retail"/>
    <n v="38"/>
    <s v="North"/>
    <x v="2"/>
  </r>
  <r>
    <s v="ORD-00016"/>
    <n v="45546"/>
    <n v="15086.4"/>
    <x v="2"/>
    <s v="Sports"/>
    <s v="Retail"/>
    <n v="63"/>
    <s v="South"/>
    <x v="0"/>
  </r>
  <r>
    <s v="ORD-00017"/>
    <n v="45512"/>
    <n v="14259.36"/>
    <x v="12"/>
    <s v="Grocery"/>
    <s v="SMB"/>
    <n v="46"/>
    <s v="East"/>
    <x v="7"/>
  </r>
  <r>
    <s v="ORD-00018"/>
    <n v="45654"/>
    <n v="22494"/>
    <x v="13"/>
    <s v="Beauty"/>
    <s v="Corporate"/>
    <n v="32"/>
    <s v="East"/>
    <x v="8"/>
  </r>
  <r>
    <s v="ORD-00019"/>
    <n v="45626"/>
    <n v="15990.75"/>
    <x v="12"/>
    <s v="Sports"/>
    <s v="Retail"/>
    <n v="54"/>
    <s v="East"/>
    <x v="4"/>
  </r>
  <r>
    <s v="ORD-00020"/>
    <n v="45394"/>
    <n v="8449.92"/>
    <x v="12"/>
    <s v="Home"/>
    <s v="Retail"/>
    <n v="49"/>
    <s v="East"/>
    <x v="5"/>
  </r>
  <r>
    <s v="ORD-00021"/>
    <n v="45470"/>
    <n v="12377.68"/>
    <x v="3"/>
    <s v="Apparel"/>
    <s v="Retail"/>
    <n v="32"/>
    <s v="North"/>
    <x v="6"/>
  </r>
  <r>
    <s v="ORD-00022"/>
    <n v="45354"/>
    <n v="9802"/>
    <x v="14"/>
    <s v="Home"/>
    <s v="Retail"/>
    <n v="34"/>
    <s v="West"/>
    <x v="2"/>
  </r>
  <r>
    <s v="ORD-00023"/>
    <n v="45530"/>
    <n v="18066.240000000002"/>
    <x v="14"/>
    <s v="Apparel"/>
    <s v="Retail"/>
    <n v="50"/>
    <s v="West"/>
    <x v="7"/>
  </r>
  <r>
    <s v="ORD-00024"/>
    <n v="45472"/>
    <n v="2989.8"/>
    <x v="11"/>
    <s v="Beauty"/>
    <s v="SMB"/>
    <n v="40"/>
    <s v="North"/>
    <x v="6"/>
  </r>
  <r>
    <s v="ORD-00025"/>
    <n v="45394"/>
    <n v="18873.900000000001"/>
    <x v="12"/>
    <s v="Beauty"/>
    <s v="Corporate"/>
    <n v="55"/>
    <s v="East"/>
    <x v="5"/>
  </r>
  <r>
    <s v="ORD-00026"/>
    <n v="45570"/>
    <n v="1686.7"/>
    <x v="7"/>
    <s v="Sports"/>
    <s v="Retail"/>
    <n v="31"/>
    <s v="East"/>
    <x v="9"/>
  </r>
  <r>
    <s v="ORD-00027"/>
    <n v="45401"/>
    <n v="18641.599999999999"/>
    <x v="3"/>
    <s v="Beauty"/>
    <s v="Retail"/>
    <n v="52"/>
    <s v="North"/>
    <x v="5"/>
  </r>
  <r>
    <s v="ORD-00028"/>
    <n v="45517"/>
    <n v="23540.58"/>
    <x v="15"/>
    <s v="Electronics"/>
    <s v="SMB"/>
    <n v="52"/>
    <s v="South"/>
    <x v="7"/>
  </r>
  <r>
    <s v="ORD-00029"/>
    <n v="45363"/>
    <n v="38234.699999999997"/>
    <x v="16"/>
    <s v="Beauty"/>
    <s v="Corporate"/>
    <n v="56"/>
    <s v="East"/>
    <x v="2"/>
  </r>
  <r>
    <s v="ORD-00030"/>
    <n v="45367"/>
    <n v="6366.36"/>
    <x v="1"/>
    <s v="Sports"/>
    <s v="SMB"/>
    <n v="44"/>
    <s v="North"/>
    <x v="2"/>
  </r>
  <r>
    <s v="ORD-00031"/>
    <n v="45569"/>
    <n v="4766.58"/>
    <x v="3"/>
    <s v="Grocery"/>
    <s v="Corporate"/>
    <n v="47"/>
    <s v="North"/>
    <x v="9"/>
  </r>
  <r>
    <s v="ORD-00032"/>
    <n v="45641"/>
    <n v="10388.64"/>
    <x v="17"/>
    <s v="Grocery"/>
    <s v="Retail"/>
    <n v="53"/>
    <s v="West"/>
    <x v="8"/>
  </r>
  <r>
    <s v="ORD-00033"/>
    <n v="45343"/>
    <n v="5392.2"/>
    <x v="18"/>
    <s v="Home"/>
    <s v="Corporate"/>
    <n v="32"/>
    <s v="South"/>
    <x v="1"/>
  </r>
  <r>
    <s v="ORD-00034"/>
    <n v="45576"/>
    <n v="2902.25"/>
    <x v="7"/>
    <s v="Home"/>
    <s v="SMB"/>
    <n v="40"/>
    <s v="East"/>
    <x v="9"/>
  </r>
  <r>
    <s v="ORD-00035"/>
    <n v="45462"/>
    <n v="30028.799999999999"/>
    <x v="7"/>
    <s v="Beauty"/>
    <s v="Retail"/>
    <n v="26"/>
    <s v="East"/>
    <x v="6"/>
  </r>
  <r>
    <s v="ORD-00036"/>
    <n v="45442"/>
    <n v="1024.92"/>
    <x v="13"/>
    <s v="Home"/>
    <s v="Retail"/>
    <n v="41"/>
    <s v="East"/>
    <x v="3"/>
  </r>
  <r>
    <s v="ORD-00037"/>
    <n v="45646"/>
    <n v="8663.2199999999993"/>
    <x v="18"/>
    <s v="Home"/>
    <s v="SMB"/>
    <n v="36"/>
    <s v="South"/>
    <x v="8"/>
  </r>
  <r>
    <s v="ORD-00038"/>
    <n v="45478"/>
    <n v="948.29"/>
    <x v="19"/>
    <s v="Sports"/>
    <s v="Retail"/>
    <n v="42"/>
    <s v="North"/>
    <x v="10"/>
  </r>
  <r>
    <s v="ORD-00039"/>
    <n v="45355"/>
    <n v="14011.2"/>
    <x v="15"/>
    <s v="Sports"/>
    <s v="Retail"/>
    <n v="51"/>
    <s v="South"/>
    <x v="2"/>
  </r>
  <r>
    <s v="ORD-00040"/>
    <n v="45599"/>
    <n v="13127.4"/>
    <x v="12"/>
    <s v="Beauty"/>
    <s v="SMB"/>
    <n v="50"/>
    <s v="East"/>
    <x v="4"/>
  </r>
  <r>
    <s v="ORD-00041"/>
    <n v="45606"/>
    <n v="19149.12"/>
    <x v="3"/>
    <s v="Home"/>
    <s v="Unknown"/>
    <s v=""/>
    <s v="North"/>
    <x v="4"/>
  </r>
  <r>
    <s v="ORD-00042"/>
    <n v="45432"/>
    <n v="42602.400000000001"/>
    <x v="2"/>
    <s v="Beauty"/>
    <s v="Retail"/>
    <n v="53"/>
    <s v="South"/>
    <x v="3"/>
  </r>
  <r>
    <s v="ORD-00043"/>
    <n v="45392"/>
    <n v="5535.32"/>
    <x v="7"/>
    <s v="Home"/>
    <s v="Retail"/>
    <n v="37"/>
    <s v="East"/>
    <x v="5"/>
  </r>
  <r>
    <s v="ORD-00044"/>
    <n v="45396"/>
    <n v="10943.4"/>
    <x v="20"/>
    <s v="Beauty"/>
    <s v="SMB"/>
    <n v="54"/>
    <s v="West"/>
    <x v="5"/>
  </r>
  <r>
    <s v="ORD-00045"/>
    <n v="45373"/>
    <n v="4101.92"/>
    <x v="7"/>
    <s v="Apparel"/>
    <s v="SMB"/>
    <n v="64"/>
    <s v="East"/>
    <x v="2"/>
  </r>
  <r>
    <s v="ORD-00046"/>
    <n v="45312"/>
    <n v="31060.26"/>
    <x v="15"/>
    <s v="Grocery"/>
    <s v="SMB"/>
    <n v="29"/>
    <s v="South"/>
    <x v="11"/>
  </r>
  <r>
    <s v="ORD-00047"/>
    <n v="45340"/>
    <n v="11546.08"/>
    <x v="21"/>
    <s v="Apparel"/>
    <s v="Retail"/>
    <n v="64"/>
    <s v="East"/>
    <x v="1"/>
  </r>
  <r>
    <s v="ORD-00048"/>
    <n v="45370"/>
    <n v="36771.839999999997"/>
    <x v="11"/>
    <s v="Beauty"/>
    <s v="Unknown"/>
    <s v=""/>
    <s v="North"/>
    <x v="2"/>
  </r>
  <r>
    <s v="ORD-00049"/>
    <n v="45389"/>
    <n v="9641.7999999999993"/>
    <x v="0"/>
    <s v="Grocery"/>
    <s v="SMB"/>
    <n v="52"/>
    <s v="North"/>
    <x v="5"/>
  </r>
  <r>
    <s v="ORD-00050"/>
    <n v="45565"/>
    <n v="2008.95"/>
    <x v="8"/>
    <s v="Grocery"/>
    <s v="Corporate"/>
    <n v="52"/>
    <s v="West"/>
    <x v="0"/>
  </r>
  <r>
    <s v="ORD-00051"/>
    <n v="45323"/>
    <n v="27008.73"/>
    <x v="12"/>
    <s v="Electronics"/>
    <s v="Retail"/>
    <n v="34"/>
    <s v="East"/>
    <x v="1"/>
  </r>
  <r>
    <s v="ORD-00052"/>
    <n v="45506"/>
    <n v="3713.68"/>
    <x v="18"/>
    <s v="Beauty"/>
    <s v="SMB"/>
    <n v="34"/>
    <s v="South"/>
    <x v="7"/>
  </r>
  <r>
    <s v="ORD-00053"/>
    <n v="45616"/>
    <n v="15403.5"/>
    <x v="22"/>
    <s v="Grocery"/>
    <s v="Retail"/>
    <n v="36"/>
    <s v="South"/>
    <x v="4"/>
  </r>
  <r>
    <s v="ORD-00054"/>
    <n v="45428"/>
    <n v="24212.5"/>
    <x v="16"/>
    <s v="Home"/>
    <s v="Retail"/>
    <n v="24"/>
    <s v="East"/>
    <x v="3"/>
  </r>
  <r>
    <s v="ORD-00055"/>
    <n v="45515"/>
    <n v="13118.56"/>
    <x v="0"/>
    <s v="Apparel"/>
    <s v="Retail"/>
    <n v="27"/>
    <s v="North"/>
    <x v="7"/>
  </r>
  <r>
    <s v="ORD-00056"/>
    <n v="45649"/>
    <n v="4385.92"/>
    <x v="12"/>
    <s v="Beauty"/>
    <s v="SMB"/>
    <n v="55"/>
    <s v="East"/>
    <x v="8"/>
  </r>
  <r>
    <s v="ORD-00057"/>
    <n v="45616"/>
    <n v="831.6"/>
    <x v="21"/>
    <s v="Home"/>
    <s v="Retail"/>
    <n v="54"/>
    <s v="East"/>
    <x v="4"/>
  </r>
  <r>
    <s v="ORD-00058"/>
    <n v="45573"/>
    <n v="3797.31"/>
    <x v="0"/>
    <s v="Grocery"/>
    <s v="Retail"/>
    <n v="53"/>
    <s v="North"/>
    <x v="9"/>
  </r>
  <r>
    <s v="ORD-00059"/>
    <n v="45417"/>
    <n v="2154.52"/>
    <x v="14"/>
    <s v="Electronics"/>
    <s v="Corporate"/>
    <n v="55"/>
    <s v="West"/>
    <x v="3"/>
  </r>
  <r>
    <s v="ORD-00060"/>
    <n v="45425"/>
    <n v="13479.64"/>
    <x v="20"/>
    <s v="Home"/>
    <s v="Retail"/>
    <n v="40"/>
    <s v="West"/>
    <x v="3"/>
  </r>
  <r>
    <s v="ORD-00061"/>
    <n v="45589"/>
    <n v="6186.24"/>
    <x v="23"/>
    <s v="Home"/>
    <s v="SMB"/>
    <n v="55"/>
    <s v="South"/>
    <x v="9"/>
  </r>
  <r>
    <s v="ORD-00062"/>
    <n v="45488"/>
    <n v="22529.200000000001"/>
    <x v="3"/>
    <s v="Beauty"/>
    <s v="Retail"/>
    <n v="44"/>
    <s v="North"/>
    <x v="10"/>
  </r>
  <r>
    <s v="ORD-00063"/>
    <n v="45465"/>
    <n v="17633.14"/>
    <x v="21"/>
    <s v="Electronics"/>
    <s v="Corporate"/>
    <n v="29"/>
    <s v="East"/>
    <x v="6"/>
  </r>
  <r>
    <s v="ORD-00064"/>
    <n v="45599"/>
    <n v="2016.9"/>
    <x v="11"/>
    <s v="Electronics"/>
    <s v="Retail"/>
    <n v="25"/>
    <s v="North"/>
    <x v="4"/>
  </r>
  <r>
    <s v="ORD-00065"/>
    <n v="45317"/>
    <n v="21463.200000000001"/>
    <x v="24"/>
    <s v="Electronics"/>
    <s v="Retail"/>
    <n v="28"/>
    <s v="East"/>
    <x v="11"/>
  </r>
  <r>
    <s v="ORD-00066"/>
    <n v="45462"/>
    <n v="4985.6000000000004"/>
    <x v="16"/>
    <s v="Apparel"/>
    <s v="SMB"/>
    <n v="50"/>
    <s v="East"/>
    <x v="6"/>
  </r>
  <r>
    <s v="ORD-00067"/>
    <n v="45499"/>
    <n v="2627.52"/>
    <x v="8"/>
    <s v="Grocery"/>
    <s v="Retail"/>
    <n v="39"/>
    <s v="West"/>
    <x v="10"/>
  </r>
  <r>
    <s v="ORD-00068"/>
    <n v="45328"/>
    <n v="5857.16"/>
    <x v="21"/>
    <s v="Apparel"/>
    <s v="Retail"/>
    <n v="38"/>
    <s v="East"/>
    <x v="1"/>
  </r>
  <r>
    <s v="ORD-00069"/>
    <n v="45459"/>
    <n v="613.79999999999995"/>
    <x v="5"/>
    <s v="Apparel"/>
    <s v="Retail"/>
    <n v="35"/>
    <s v="West"/>
    <x v="6"/>
  </r>
  <r>
    <s v="ORD-00070"/>
    <n v="45398"/>
    <n v="1963.01"/>
    <x v="14"/>
    <s v="Home"/>
    <s v="SMB"/>
    <n v="43"/>
    <s v="West"/>
    <x v="5"/>
  </r>
  <r>
    <s v="ORD-00071"/>
    <n v="45470"/>
    <n v="26607.200000000001"/>
    <x v="25"/>
    <s v="Apparel"/>
    <s v="Retail"/>
    <n v="36"/>
    <s v="North"/>
    <x v="6"/>
  </r>
  <r>
    <s v="ORD-00072"/>
    <n v="45346"/>
    <n v="4258.3"/>
    <x v="19"/>
    <s v="Grocery"/>
    <s v="Retail"/>
    <n v="29"/>
    <s v="North"/>
    <x v="1"/>
  </r>
  <r>
    <s v="ORD-00073"/>
    <n v="45483"/>
    <n v="22371.3"/>
    <x v="11"/>
    <s v="Beauty"/>
    <s v="Retail"/>
    <n v="41"/>
    <s v="North"/>
    <x v="10"/>
  </r>
  <r>
    <s v="ORD-00074"/>
    <n v="45585"/>
    <n v="263.07"/>
    <x v="26"/>
    <s v="Home"/>
    <s v="SMB"/>
    <n v="55"/>
    <s v="East"/>
    <x v="9"/>
  </r>
  <r>
    <s v="ORD-00075"/>
    <n v="45500"/>
    <n v="2784.87"/>
    <x v="9"/>
    <s v="Grocery"/>
    <s v="Corporate"/>
    <n v="46"/>
    <s v="South"/>
    <x v="10"/>
  </r>
  <r>
    <s v="ORD-00076"/>
    <n v="45375"/>
    <n v="13264.56"/>
    <x v="24"/>
    <s v="Grocery"/>
    <s v="SMB"/>
    <n v="39"/>
    <s v="East"/>
    <x v="2"/>
  </r>
  <r>
    <s v="ORD-00077"/>
    <n v="45443"/>
    <n v="14451.36"/>
    <x v="7"/>
    <s v="Grocery"/>
    <s v="SMB"/>
    <n v="54"/>
    <s v="East"/>
    <x v="3"/>
  </r>
  <r>
    <s v="ORD-00078"/>
    <n v="45390"/>
    <n v="4470.08"/>
    <x v="24"/>
    <s v="Electronics"/>
    <s v="Retail"/>
    <n v="42"/>
    <s v="East"/>
    <x v="5"/>
  </r>
  <r>
    <s v="ORD-00079"/>
    <n v="45615"/>
    <n v="5101.2"/>
    <x v="8"/>
    <s v="Electronics"/>
    <s v="Retail"/>
    <n v="46"/>
    <s v="West"/>
    <x v="4"/>
  </r>
  <r>
    <s v="ORD-00080"/>
    <n v="45498"/>
    <n v="26080.560000000001"/>
    <x v="14"/>
    <s v="Grocery"/>
    <s v="Corporate"/>
    <n v="33"/>
    <s v="West"/>
    <x v="10"/>
  </r>
  <r>
    <s v="ORD-00081"/>
    <n v="45515"/>
    <n v="3722.8"/>
    <x v="1"/>
    <s v="Grocery"/>
    <s v="SMB"/>
    <n v="60"/>
    <s v="North"/>
    <x v="7"/>
  </r>
  <r>
    <s v="ORD-00082"/>
    <n v="45528"/>
    <n v="5163.4399999999996"/>
    <x v="21"/>
    <s v="Apparel"/>
    <s v="SMB"/>
    <n v="57"/>
    <s v="East"/>
    <x v="7"/>
  </r>
  <r>
    <s v="ORD-00083"/>
    <n v="45402"/>
    <n v="9810.8799999999992"/>
    <x v="0"/>
    <s v="Apparel"/>
    <s v="SMB"/>
    <n v="36"/>
    <s v="North"/>
    <x v="5"/>
  </r>
  <r>
    <s v="ORD-00084"/>
    <n v="45547"/>
    <n v="2101.4"/>
    <x v="17"/>
    <s v="Electronics"/>
    <s v="Retail"/>
    <n v="31"/>
    <s v="West"/>
    <x v="0"/>
  </r>
  <r>
    <s v="ORD-00085"/>
    <n v="45424"/>
    <n v="11747.8"/>
    <x v="27"/>
    <s v="Beauty"/>
    <s v="Retail"/>
    <n v="28"/>
    <s v="South"/>
    <x v="3"/>
  </r>
  <r>
    <s v="ORD-00086"/>
    <n v="45461"/>
    <n v="4279.8599999999997"/>
    <x v="14"/>
    <s v="Apparel"/>
    <s v="SMB"/>
    <n v="44"/>
    <s v="West"/>
    <x v="6"/>
  </r>
  <r>
    <s v="ORD-00087"/>
    <n v="45600"/>
    <n v="889.24"/>
    <x v="17"/>
    <s v="Sports"/>
    <s v="Retail"/>
    <n v="28"/>
    <s v="West"/>
    <x v="4"/>
  </r>
  <r>
    <s v="ORD-00088"/>
    <n v="45587"/>
    <n v="4011.15"/>
    <x v="9"/>
    <s v="Electronics"/>
    <s v="Retail"/>
    <n v="50"/>
    <s v="South"/>
    <x v="9"/>
  </r>
  <r>
    <s v="ORD-00089"/>
    <n v="45518"/>
    <n v="3623.28"/>
    <x v="10"/>
    <s v="Apparel"/>
    <s v="Corporate"/>
    <n v="59"/>
    <s v="North"/>
    <x v="7"/>
  </r>
  <r>
    <s v="ORD-00090"/>
    <n v="45533"/>
    <n v="13637.4"/>
    <x v="27"/>
    <s v="Electronics"/>
    <s v="SMB"/>
    <n v="65"/>
    <s v="South"/>
    <x v="7"/>
  </r>
  <r>
    <s v="ORD-00091"/>
    <n v="45622"/>
    <n v="13347.6"/>
    <x v="9"/>
    <s v="Grocery"/>
    <s v="Corporate"/>
    <n v="46"/>
    <s v="South"/>
    <x v="4"/>
  </r>
  <r>
    <s v="ORD-00092"/>
    <n v="45328"/>
    <n v="16107.84"/>
    <x v="2"/>
    <s v="Apparel"/>
    <s v="Retail"/>
    <n v="49"/>
    <s v="South"/>
    <x v="1"/>
  </r>
  <r>
    <s v="ORD-00093"/>
    <n v="45380"/>
    <n v="17423.64"/>
    <x v="19"/>
    <s v="Grocery"/>
    <s v="Retail"/>
    <n v="38"/>
    <s v="North"/>
    <x v="2"/>
  </r>
  <r>
    <s v="ORD-00094"/>
    <n v="45648"/>
    <n v="921.12"/>
    <x v="17"/>
    <s v="Sports"/>
    <s v="Retail"/>
    <n v="25"/>
    <s v="West"/>
    <x v="8"/>
  </r>
  <r>
    <s v="ORD-00095"/>
    <n v="45607"/>
    <n v="38046"/>
    <x v="28"/>
    <s v="Beauty"/>
    <s v="Retail"/>
    <n v="26"/>
    <s v="West"/>
    <x v="4"/>
  </r>
  <r>
    <s v="ORD-00096"/>
    <n v="45414"/>
    <n v="4969.2"/>
    <x v="29"/>
    <s v="Sports"/>
    <s v="Corporate"/>
    <n v="38"/>
    <s v="South"/>
    <x v="3"/>
  </r>
  <r>
    <s v="ORD-00097"/>
    <n v="45328"/>
    <n v="2883.29"/>
    <x v="5"/>
    <s v="Home"/>
    <s v="Retail"/>
    <n v="53"/>
    <s v="West"/>
    <x v="1"/>
  </r>
  <r>
    <s v="ORD-00098"/>
    <n v="45373"/>
    <n v="20618"/>
    <x v="8"/>
    <s v="Electronics"/>
    <s v="Retail"/>
    <n v="41"/>
    <s v="West"/>
    <x v="2"/>
  </r>
  <r>
    <s v="ORD-00099"/>
    <n v="45458"/>
    <n v="13982.64"/>
    <x v="3"/>
    <s v="Grocery"/>
    <s v="SMB"/>
    <n v="22"/>
    <s v="North"/>
    <x v="6"/>
  </r>
  <r>
    <s v="ORD-00100"/>
    <n v="45426"/>
    <n v="30460.799999999999"/>
    <x v="28"/>
    <s v="Beauty"/>
    <s v="Retail"/>
    <n v="60"/>
    <s v="West"/>
    <x v="3"/>
  </r>
  <r>
    <s v="ORD-00101"/>
    <n v="45557"/>
    <n v="13297.98"/>
    <x v="8"/>
    <s v="Apparel"/>
    <s v="SMB"/>
    <n v="44"/>
    <s v="West"/>
    <x v="0"/>
  </r>
  <r>
    <s v="ORD-00102"/>
    <n v="45509"/>
    <n v="13260"/>
    <x v="17"/>
    <s v="Home"/>
    <s v="SMB"/>
    <n v="38"/>
    <s v="West"/>
    <x v="7"/>
  </r>
  <r>
    <s v="ORD-00103"/>
    <n v="45329"/>
    <n v="19519.28"/>
    <x v="1"/>
    <s v="Sports"/>
    <s v="SMB"/>
    <n v="28"/>
    <s v="North"/>
    <x v="1"/>
  </r>
  <r>
    <s v="ORD-00104"/>
    <n v="45411"/>
    <n v="25389.84"/>
    <x v="26"/>
    <s v="Electronics"/>
    <s v="Corporate"/>
    <n v="51"/>
    <s v="East"/>
    <x v="5"/>
  </r>
  <r>
    <s v="ORD-00105"/>
    <n v="45297"/>
    <n v="42000.4"/>
    <x v="11"/>
    <s v="Electronics"/>
    <s v="SMB"/>
    <n v="22"/>
    <s v="North"/>
    <x v="11"/>
  </r>
  <r>
    <s v="ORD-00106"/>
    <n v="45640"/>
    <n v="7025.76"/>
    <x v="21"/>
    <s v="Grocery"/>
    <s v="Retail"/>
    <n v="25"/>
    <s v="East"/>
    <x v="8"/>
  </r>
  <r>
    <s v="ORD-00107"/>
    <n v="45322"/>
    <n v="813.05"/>
    <x v="28"/>
    <s v="Sports"/>
    <s v="SMB"/>
    <n v="62"/>
    <s v="West"/>
    <x v="11"/>
  </r>
  <r>
    <s v="ORD-00108"/>
    <n v="45414"/>
    <n v="3612.42"/>
    <x v="5"/>
    <s v="Grocery"/>
    <s v="Retail"/>
    <n v="42"/>
    <s v="West"/>
    <x v="3"/>
  </r>
  <r>
    <s v="ORD-00109"/>
    <n v="45592"/>
    <n v="5779.4"/>
    <x v="22"/>
    <s v="Grocery"/>
    <s v="Retail"/>
    <n v="43"/>
    <s v="South"/>
    <x v="9"/>
  </r>
  <r>
    <s v="ORD-00110"/>
    <n v="45439"/>
    <n v="3160.08"/>
    <x v="20"/>
    <s v="Home"/>
    <s v="Corporate"/>
    <n v="56"/>
    <s v="West"/>
    <x v="3"/>
  </r>
  <r>
    <s v="ORD-00111"/>
    <n v="45486"/>
    <n v="2277.7199999999998"/>
    <x v="6"/>
    <s v="Home"/>
    <s v="SMB"/>
    <n v="44"/>
    <s v="West"/>
    <x v="10"/>
  </r>
  <r>
    <s v="ORD-00112"/>
    <n v="45629"/>
    <n v="4965.1000000000004"/>
    <x v="3"/>
    <s v="Apparel"/>
    <s v="SMB"/>
    <n v="53"/>
    <s v="North"/>
    <x v="8"/>
  </r>
  <r>
    <s v="ORD-00113"/>
    <n v="45394"/>
    <n v="2841.6"/>
    <x v="28"/>
    <s v="Beauty"/>
    <s v="SMB"/>
    <n v="27"/>
    <s v="West"/>
    <x v="5"/>
  </r>
  <r>
    <s v="ORD-00114"/>
    <n v="45453"/>
    <n v="6380.4"/>
    <x v="2"/>
    <s v="Electronics"/>
    <s v="Corporate"/>
    <n v="27"/>
    <s v="South"/>
    <x v="6"/>
  </r>
  <r>
    <s v="ORD-00115"/>
    <n v="45370"/>
    <n v="13501.53"/>
    <x v="20"/>
    <s v="Home"/>
    <s v="Retail"/>
    <n v="63"/>
    <s v="West"/>
    <x v="2"/>
  </r>
  <r>
    <s v="ORD-00116"/>
    <n v="45597"/>
    <n v="14509.44"/>
    <x v="8"/>
    <s v="Beauty"/>
    <s v="Retail"/>
    <n v="23"/>
    <s v="West"/>
    <x v="4"/>
  </r>
  <r>
    <s v="ORD-00117"/>
    <n v="45531"/>
    <n v="10305.99"/>
    <x v="20"/>
    <s v="Home"/>
    <s v="Retail"/>
    <n v="44"/>
    <s v="West"/>
    <x v="7"/>
  </r>
  <r>
    <s v="ORD-00118"/>
    <n v="45596"/>
    <n v="249.3"/>
    <x v="2"/>
    <s v="Electronics"/>
    <s v="SMB"/>
    <n v="54"/>
    <s v="South"/>
    <x v="9"/>
  </r>
  <r>
    <s v="ORD-00119"/>
    <n v="45420"/>
    <n v="894.6"/>
    <x v="27"/>
    <s v="Electronics"/>
    <s v="Retail"/>
    <n v="50"/>
    <s v="South"/>
    <x v="3"/>
  </r>
  <r>
    <s v="ORD-00120"/>
    <n v="45329"/>
    <n v="19637.7"/>
    <x v="0"/>
    <s v="Beauty"/>
    <s v="SMB"/>
    <n v="28"/>
    <s v="North"/>
    <x v="1"/>
  </r>
  <r>
    <s v="ORD-00121"/>
    <n v="45416"/>
    <n v="15073.24"/>
    <x v="11"/>
    <s v="Electronics"/>
    <s v="SMB"/>
    <n v="46"/>
    <s v="North"/>
    <x v="3"/>
  </r>
  <r>
    <s v="ORD-00122"/>
    <n v="45614"/>
    <n v="19374.240000000002"/>
    <x v="25"/>
    <s v="Apparel"/>
    <s v="Retail"/>
    <n v="30"/>
    <s v="North"/>
    <x v="4"/>
  </r>
  <r>
    <s v="ORD-00123"/>
    <n v="45593"/>
    <n v="17006.759999999998"/>
    <x v="1"/>
    <s v="Apparel"/>
    <s v="SMB"/>
    <n v="53"/>
    <s v="North"/>
    <x v="9"/>
  </r>
  <r>
    <s v="ORD-00124"/>
    <n v="45360"/>
    <n v="5537.28"/>
    <x v="4"/>
    <s v="Sports"/>
    <s v="SMB"/>
    <n v="51"/>
    <s v="North"/>
    <x v="2"/>
  </r>
  <r>
    <s v="ORD-00125"/>
    <n v="45628"/>
    <n v="7845.75"/>
    <x v="5"/>
    <s v="Beauty"/>
    <s v="Retail"/>
    <n v="59"/>
    <s v="West"/>
    <x v="8"/>
  </r>
  <r>
    <s v="ORD-00126"/>
    <n v="45592"/>
    <n v="6471.36"/>
    <x v="9"/>
    <s v="Beauty"/>
    <s v="Corporate"/>
    <n v="24"/>
    <s v="South"/>
    <x v="9"/>
  </r>
  <r>
    <s v="ORD-00127"/>
    <n v="45453"/>
    <n v="23954.98"/>
    <x v="11"/>
    <s v="Electronics"/>
    <s v="SMB"/>
    <n v="53"/>
    <s v="North"/>
    <x v="6"/>
  </r>
  <r>
    <s v="ORD-00128"/>
    <n v="45612"/>
    <n v="5323.36"/>
    <x v="1"/>
    <s v="Grocery"/>
    <s v="Retail"/>
    <n v="29"/>
    <s v="North"/>
    <x v="4"/>
  </r>
  <r>
    <s v="ORD-00129"/>
    <n v="45541"/>
    <n v="20056.400000000001"/>
    <x v="19"/>
    <s v="Home"/>
    <s v="Retail"/>
    <n v="61"/>
    <s v="North"/>
    <x v="0"/>
  </r>
  <r>
    <s v="ORD-00130"/>
    <n v="45640"/>
    <n v="17733.240000000002"/>
    <x v="13"/>
    <s v="Grocery"/>
    <s v="Retail"/>
    <n v="22"/>
    <s v="East"/>
    <x v="8"/>
  </r>
  <r>
    <s v="ORD-00131"/>
    <n v="45524"/>
    <n v="33808.639999999999"/>
    <x v="11"/>
    <s v="Beauty"/>
    <s v="Corporate"/>
    <n v="32"/>
    <s v="North"/>
    <x v="7"/>
  </r>
  <r>
    <s v="ORD-00132"/>
    <n v="45344"/>
    <n v="29450.7"/>
    <x v="23"/>
    <s v="Electronics"/>
    <s v="Corporate"/>
    <n v="42"/>
    <s v="South"/>
    <x v="1"/>
  </r>
  <r>
    <s v="ORD-00133"/>
    <n v="45463"/>
    <n v="7767.68"/>
    <x v="25"/>
    <s v="Beauty"/>
    <s v="Retail"/>
    <n v="22"/>
    <s v="North"/>
    <x v="6"/>
  </r>
  <r>
    <s v="ORD-00134"/>
    <n v="45443"/>
    <n v="18240.32"/>
    <x v="16"/>
    <s v="Grocery"/>
    <s v="Retail"/>
    <n v="44"/>
    <s v="East"/>
    <x v="3"/>
  </r>
  <r>
    <s v="ORD-00135"/>
    <n v="45301"/>
    <n v="15646.8"/>
    <x v="22"/>
    <s v="Grocery"/>
    <s v="SMB"/>
    <n v="64"/>
    <s v="South"/>
    <x v="11"/>
  </r>
  <r>
    <s v="ORD-01445"/>
    <n v="45360"/>
    <n v="16501.68"/>
    <x v="24"/>
    <s v="Electronics"/>
    <s v="SMB"/>
    <n v="29"/>
    <s v="East"/>
    <x v="2"/>
  </r>
  <r>
    <s v="ORD-00137"/>
    <n v="45559"/>
    <n v="24836.32"/>
    <x v="24"/>
    <s v="Electronics"/>
    <s v="SMB"/>
    <n v="64"/>
    <s v="East"/>
    <x v="0"/>
  </r>
  <r>
    <s v="ORD-00138"/>
    <n v="45546"/>
    <n v="26512.400000000001"/>
    <x v="16"/>
    <s v="Apparel"/>
    <s v="Corporate"/>
    <n v="48"/>
    <s v="East"/>
    <x v="0"/>
  </r>
  <r>
    <s v="ORD-00139"/>
    <n v="45425"/>
    <n v="809.4"/>
    <x v="18"/>
    <s v="Sports"/>
    <s v="Retail"/>
    <n v="55"/>
    <s v="South"/>
    <x v="3"/>
  </r>
  <r>
    <s v="ORD-00140"/>
    <n v="45351"/>
    <n v="13281.12"/>
    <x v="0"/>
    <s v="Grocery"/>
    <s v="Retail"/>
    <n v="31"/>
    <s v="North"/>
    <x v="1"/>
  </r>
  <r>
    <s v="ORD-00141"/>
    <n v="45604"/>
    <n v="16180.56"/>
    <x v="7"/>
    <s v="Grocery"/>
    <s v="Retail"/>
    <n v="42"/>
    <s v="East"/>
    <x v="4"/>
  </r>
  <r>
    <s v="ORD-00142"/>
    <n v="45328"/>
    <n v="37696.879999999997"/>
    <x v="19"/>
    <s v="Sports"/>
    <s v="Retail"/>
    <n v="32"/>
    <s v="North"/>
    <x v="1"/>
  </r>
  <r>
    <s v="ORD-00143"/>
    <n v="45508"/>
    <n v="19040.759999999998"/>
    <x v="18"/>
    <s v="Grocery"/>
    <s v="Corporate"/>
    <n v="31"/>
    <s v="South"/>
    <x v="7"/>
  </r>
  <r>
    <s v="ORD-00144"/>
    <n v="45309"/>
    <n v="8266.56"/>
    <x v="19"/>
    <s v="Apparel"/>
    <s v="SMB"/>
    <n v="27"/>
    <s v="North"/>
    <x v="11"/>
  </r>
  <r>
    <s v="ORD-00145"/>
    <n v="45448"/>
    <n v="25691.68"/>
    <x v="8"/>
    <s v="Grocery"/>
    <s v="SMB"/>
    <n v="29"/>
    <s v="West"/>
    <x v="6"/>
  </r>
  <r>
    <s v="ORD-00146"/>
    <n v="45449"/>
    <n v="3726.9"/>
    <x v="26"/>
    <s v="Apparel"/>
    <s v="Unknown"/>
    <s v=""/>
    <s v="East"/>
    <x v="6"/>
  </r>
  <r>
    <s v="ORD-00147"/>
    <n v="45555"/>
    <n v="1637.25"/>
    <x v="0"/>
    <s v="Home"/>
    <s v="SMB"/>
    <n v="30"/>
    <s v="North"/>
    <x v="0"/>
  </r>
  <r>
    <s v="ORD-00148"/>
    <n v="45341"/>
    <n v="33147"/>
    <x v="25"/>
    <s v="Home"/>
    <s v="Retail"/>
    <n v="65"/>
    <s v="North"/>
    <x v="1"/>
  </r>
  <r>
    <s v="ORD-00149"/>
    <n v="45422"/>
    <n v="21367.5"/>
    <x v="27"/>
    <s v="Grocery"/>
    <s v="SMB"/>
    <n v="54"/>
    <s v="South"/>
    <x v="3"/>
  </r>
  <r>
    <s v="ORD-00150"/>
    <n v="45346"/>
    <n v="1113"/>
    <x v="6"/>
    <s v="Electronics"/>
    <s v="SMB"/>
    <n v="30"/>
    <s v="West"/>
    <x v="1"/>
  </r>
  <r>
    <s v="ORD-00151"/>
    <n v="45318"/>
    <n v="25418.400000000001"/>
    <x v="23"/>
    <s v="Beauty"/>
    <s v="Retail"/>
    <n v="41"/>
    <s v="South"/>
    <x v="11"/>
  </r>
  <r>
    <s v="ORD-00152"/>
    <n v="45521"/>
    <n v="10376.1"/>
    <x v="27"/>
    <s v="Home"/>
    <s v="Retail"/>
    <n v="37"/>
    <s v="South"/>
    <x v="7"/>
  </r>
  <r>
    <s v="ORD-00153"/>
    <n v="45595"/>
    <n v="6817.2"/>
    <x v="15"/>
    <s v="Apparel"/>
    <s v="SMB"/>
    <n v="34"/>
    <s v="South"/>
    <x v="9"/>
  </r>
  <r>
    <s v="ORD-00154"/>
    <n v="45530"/>
    <n v="17945.2"/>
    <x v="25"/>
    <s v="Grocery"/>
    <s v="Corporate"/>
    <n v="43"/>
    <s v="North"/>
    <x v="7"/>
  </r>
  <r>
    <s v="ORD-00155"/>
    <n v="45644"/>
    <n v="4797"/>
    <x v="22"/>
    <s v="Home"/>
    <s v="SMB"/>
    <n v="36"/>
    <s v="South"/>
    <x v="8"/>
  </r>
  <r>
    <s v="ORD-00156"/>
    <n v="45298"/>
    <n v="15657.8"/>
    <x v="19"/>
    <s v="Apparel"/>
    <s v="Retail"/>
    <n v="29"/>
    <s v="North"/>
    <x v="11"/>
  </r>
  <r>
    <s v="ORD-00157"/>
    <n v="45447"/>
    <n v="10897.92"/>
    <x v="14"/>
    <s v="Electronics"/>
    <s v="SMB"/>
    <n v="53"/>
    <s v="West"/>
    <x v="6"/>
  </r>
  <r>
    <s v="ORD-00158"/>
    <n v="45601"/>
    <n v="14590.8"/>
    <x v="24"/>
    <s v="Sports"/>
    <s v="Corporate"/>
    <n v="37"/>
    <s v="East"/>
    <x v="4"/>
  </r>
  <r>
    <s v="ORD-00159"/>
    <n v="45428"/>
    <n v="9796.8799999999992"/>
    <x v="13"/>
    <s v="Beauty"/>
    <s v="Retail"/>
    <n v="55"/>
    <s v="East"/>
    <x v="3"/>
  </r>
  <r>
    <s v="ORD-00160"/>
    <n v="45409"/>
    <n v="3327.16"/>
    <x v="15"/>
    <s v="Home"/>
    <s v="Retail"/>
    <n v="61"/>
    <s v="South"/>
    <x v="5"/>
  </r>
  <r>
    <s v="ORD-00161"/>
    <n v="45394"/>
    <n v="31114.880000000001"/>
    <x v="26"/>
    <s v="Beauty"/>
    <s v="SMB"/>
    <n v="65"/>
    <s v="East"/>
    <x v="5"/>
  </r>
  <r>
    <s v="ORD-00162"/>
    <n v="45579"/>
    <n v="7141.14"/>
    <x v="17"/>
    <s v="Grocery"/>
    <s v="Retail"/>
    <n v="63"/>
    <s v="West"/>
    <x v="9"/>
  </r>
  <r>
    <s v="ORD-00163"/>
    <n v="45442"/>
    <n v="17534.72"/>
    <x v="21"/>
    <s v="Electronics"/>
    <s v="SMB"/>
    <n v="43"/>
    <s v="East"/>
    <x v="3"/>
  </r>
  <r>
    <s v="ORD-00164"/>
    <n v="45414"/>
    <n v="1343.16"/>
    <x v="15"/>
    <s v="Apparel"/>
    <s v="SMB"/>
    <n v="27"/>
    <s v="South"/>
    <x v="3"/>
  </r>
  <r>
    <s v="ORD-00165"/>
    <n v="45349"/>
    <n v="10842.23"/>
    <x v="18"/>
    <s v="Home"/>
    <s v="Corporate"/>
    <n v="35"/>
    <s v="South"/>
    <x v="1"/>
  </r>
  <r>
    <s v="ORD-00166"/>
    <n v="45533"/>
    <n v="2672.2"/>
    <x v="18"/>
    <s v="Apparel"/>
    <s v="SMB"/>
    <n v="59"/>
    <s v="South"/>
    <x v="7"/>
  </r>
  <r>
    <s v="ORD-00167"/>
    <n v="45489"/>
    <n v="15016.05"/>
    <x v="24"/>
    <s v="Grocery"/>
    <s v="SMB"/>
    <n v="34"/>
    <s v="East"/>
    <x v="10"/>
  </r>
  <r>
    <s v="ORD-00168"/>
    <n v="45457"/>
    <n v="405.61"/>
    <x v="29"/>
    <s v="Sports"/>
    <s v="SMB"/>
    <n v="40"/>
    <s v="South"/>
    <x v="6"/>
  </r>
  <r>
    <s v="ORD-00169"/>
    <n v="45601"/>
    <n v="26255.58"/>
    <x v="0"/>
    <s v="Electronics"/>
    <s v="Retail"/>
    <n v="63"/>
    <s v="North"/>
    <x v="4"/>
  </r>
  <r>
    <s v="ORD-00170"/>
    <n v="45294"/>
    <n v="4529.6000000000004"/>
    <x v="25"/>
    <s v="Beauty"/>
    <s v="SMB"/>
    <n v="49"/>
    <s v="North"/>
    <x v="11"/>
  </r>
  <r>
    <s v="ORD-00171"/>
    <n v="45345"/>
    <n v="13494.6"/>
    <x v="24"/>
    <s v="Grocery"/>
    <s v="Retail"/>
    <n v="54"/>
    <s v="East"/>
    <x v="1"/>
  </r>
  <r>
    <s v="ORD-00172"/>
    <n v="45391"/>
    <n v="2886.1"/>
    <x v="9"/>
    <s v="Apparel"/>
    <s v="Corporate"/>
    <n v="52"/>
    <s v="South"/>
    <x v="5"/>
  </r>
  <r>
    <s v="ORD-00173"/>
    <n v="45419"/>
    <n v="19939.439999999999"/>
    <x v="28"/>
    <s v="Apparel"/>
    <s v="Corporate"/>
    <n v="48"/>
    <s v="West"/>
    <x v="3"/>
  </r>
  <r>
    <s v="ORD-00174"/>
    <n v="45306"/>
    <n v="2347.36"/>
    <x v="16"/>
    <s v="Apparel"/>
    <s v="Retail"/>
    <n v="49"/>
    <s v="East"/>
    <x v="11"/>
  </r>
  <r>
    <s v="ORD-00175"/>
    <n v="45546"/>
    <n v="3231.72"/>
    <x v="26"/>
    <s v="Sports"/>
    <s v="Corporate"/>
    <n v="29"/>
    <s v="East"/>
    <x v="0"/>
  </r>
  <r>
    <s v="ORD-00176"/>
    <n v="45633"/>
    <n v="25675"/>
    <x v="26"/>
    <s v="Home"/>
    <s v="Retail"/>
    <n v="46"/>
    <s v="East"/>
    <x v="8"/>
  </r>
  <r>
    <s v="ORD-00177"/>
    <n v="45649"/>
    <n v="25359.360000000001"/>
    <x v="8"/>
    <s v="Home"/>
    <s v="Retail"/>
    <n v="59"/>
    <s v="West"/>
    <x v="8"/>
  </r>
  <r>
    <s v="ORD-00178"/>
    <n v="45312"/>
    <n v="6661.62"/>
    <x v="27"/>
    <s v="Electronics"/>
    <s v="Retail"/>
    <n v="65"/>
    <s v="South"/>
    <x v="11"/>
  </r>
  <r>
    <s v="ORD-00179"/>
    <n v="45382"/>
    <n v="11880.96"/>
    <x v="27"/>
    <s v="Apparel"/>
    <s v="Retail"/>
    <n v="57"/>
    <s v="South"/>
    <x v="2"/>
  </r>
  <r>
    <s v="ORD-00180"/>
    <n v="45524"/>
    <n v="30411.040000000001"/>
    <x v="19"/>
    <s v="Grocery"/>
    <s v="Retail"/>
    <n v="63"/>
    <s v="North"/>
    <x v="7"/>
  </r>
  <r>
    <s v="ORD-00181"/>
    <n v="45392"/>
    <n v="17719.2"/>
    <x v="27"/>
    <s v="Apparel"/>
    <s v="Retail"/>
    <n v="34"/>
    <s v="South"/>
    <x v="5"/>
  </r>
  <r>
    <s v="ORD-00182"/>
    <n v="45443"/>
    <n v="26527.759999999998"/>
    <x v="20"/>
    <s v="Home"/>
    <s v="Retail"/>
    <n v="60"/>
    <s v="West"/>
    <x v="3"/>
  </r>
  <r>
    <s v="ORD-00183"/>
    <n v="45333"/>
    <n v="22052.400000000001"/>
    <x v="8"/>
    <s v="Grocery"/>
    <s v="Retail"/>
    <n v="28"/>
    <s v="West"/>
    <x v="1"/>
  </r>
  <r>
    <s v="ORD-00184"/>
    <n v="45456"/>
    <n v="8781.2999999999993"/>
    <x v="29"/>
    <s v="Beauty"/>
    <s v="Retail"/>
    <n v="61"/>
    <s v="South"/>
    <x v="6"/>
  </r>
  <r>
    <s v="ORD-00185"/>
    <n v="45295"/>
    <n v="25251.75"/>
    <x v="0"/>
    <s v="Electronics"/>
    <s v="SMB"/>
    <n v="43"/>
    <s v="North"/>
    <x v="11"/>
  </r>
  <r>
    <s v="ORD-00186"/>
    <n v="45532"/>
    <n v="1772.34"/>
    <x v="24"/>
    <s v="Home"/>
    <s v="SMB"/>
    <n v="65"/>
    <s v="East"/>
    <x v="7"/>
  </r>
  <r>
    <s v="ORD-00187"/>
    <n v="45564"/>
    <n v="2941.44"/>
    <x v="5"/>
    <s v="Beauty"/>
    <s v="Corporate"/>
    <n v="36"/>
    <s v="West"/>
    <x v="0"/>
  </r>
  <r>
    <s v="ORD-00188"/>
    <n v="45539"/>
    <n v="8251.0499999999993"/>
    <x v="13"/>
    <s v="Beauty"/>
    <s v="Retail"/>
    <n v="34"/>
    <s v="East"/>
    <x v="0"/>
  </r>
  <r>
    <s v="ORD-00189"/>
    <n v="45605"/>
    <n v="6446.8"/>
    <x v="1"/>
    <s v="Grocery"/>
    <s v="Retail"/>
    <n v="59"/>
    <s v="North"/>
    <x v="4"/>
  </r>
  <r>
    <s v="ORD-00190"/>
    <n v="45460"/>
    <n v="29748.33"/>
    <x v="12"/>
    <s v="Home"/>
    <s v="Retail"/>
    <n v="55"/>
    <s v="East"/>
    <x v="6"/>
  </r>
  <r>
    <s v="ORD-00191"/>
    <n v="45538"/>
    <n v="8787.9599999999991"/>
    <x v="18"/>
    <s v="Apparel"/>
    <s v="SMB"/>
    <n v="26"/>
    <s v="South"/>
    <x v="0"/>
  </r>
  <r>
    <s v="ORD-00192"/>
    <n v="45573"/>
    <n v="15327.04"/>
    <x v="10"/>
    <s v="Grocery"/>
    <s v="Retail"/>
    <n v="61"/>
    <s v="North"/>
    <x v="9"/>
  </r>
  <r>
    <s v="ORD-00193"/>
    <n v="45483"/>
    <n v="20221.919999999998"/>
    <x v="8"/>
    <s v="Beauty"/>
    <s v="Retail"/>
    <n v="56"/>
    <s v="West"/>
    <x v="10"/>
  </r>
  <r>
    <s v="ORD-00194"/>
    <n v="45617"/>
    <n v="44450.7"/>
    <x v="14"/>
    <s v="Sports"/>
    <s v="SMB"/>
    <n v="46"/>
    <s v="West"/>
    <x v="4"/>
  </r>
  <r>
    <s v="ORD-00195"/>
    <n v="45546"/>
    <n v="9732.7999999999993"/>
    <x v="27"/>
    <s v="Beauty"/>
    <s v="Corporate"/>
    <n v="29"/>
    <s v="South"/>
    <x v="0"/>
  </r>
  <r>
    <s v="ORD-00196"/>
    <n v="45380"/>
    <n v="10728.48"/>
    <x v="20"/>
    <s v="Apparel"/>
    <s v="Retail"/>
    <n v="49"/>
    <s v="West"/>
    <x v="2"/>
  </r>
  <r>
    <s v="ORD-00197"/>
    <n v="45320"/>
    <n v="596.6"/>
    <x v="24"/>
    <s v="Sports"/>
    <s v="Corporate"/>
    <n v="35"/>
    <s v="East"/>
    <x v="11"/>
  </r>
  <r>
    <s v="ORD-00198"/>
    <n v="45355"/>
    <n v="2422.42"/>
    <x v="2"/>
    <s v="Sports"/>
    <s v="SMB"/>
    <n v="55"/>
    <s v="South"/>
    <x v="2"/>
  </r>
  <r>
    <s v="ORD-00199"/>
    <n v="45350"/>
    <n v="9025.9599999999991"/>
    <x v="15"/>
    <s v="Apparel"/>
    <s v="Corporate"/>
    <n v="55"/>
    <s v="South"/>
    <x v="1"/>
  </r>
  <r>
    <s v="ORD-00200"/>
    <n v="45587"/>
    <n v="6311.76"/>
    <x v="11"/>
    <s v="Electronics"/>
    <s v="Retail"/>
    <n v="23"/>
    <s v="North"/>
    <x v="9"/>
  </r>
  <r>
    <s v="ORD-00201"/>
    <n v="45344"/>
    <n v="25457.25"/>
    <x v="29"/>
    <s v="Home"/>
    <s v="Retail"/>
    <n v="59"/>
    <s v="South"/>
    <x v="1"/>
  </r>
  <r>
    <s v="ORD-00202"/>
    <n v="45492"/>
    <n v="2000.22"/>
    <x v="14"/>
    <s v="Home"/>
    <s v="Retail"/>
    <n v="44"/>
    <s v="West"/>
    <x v="10"/>
  </r>
  <r>
    <s v="ORD-00203"/>
    <n v="45490"/>
    <n v="7479.92"/>
    <x v="2"/>
    <s v="Electronics"/>
    <s v="Retail"/>
    <n v="45"/>
    <s v="South"/>
    <x v="10"/>
  </r>
  <r>
    <s v="ORD-00204"/>
    <n v="45538"/>
    <n v="16410.96"/>
    <x v="15"/>
    <s v="Grocery"/>
    <s v="Retail"/>
    <n v="23"/>
    <s v="South"/>
    <x v="0"/>
  </r>
  <r>
    <s v="ORD-00205"/>
    <n v="45591"/>
    <n v="16502.099999999999"/>
    <x v="18"/>
    <s v="Beauty"/>
    <s v="SMB"/>
    <n v="48"/>
    <s v="South"/>
    <x v="9"/>
  </r>
  <r>
    <s v="ORD-00206"/>
    <n v="45319"/>
    <n v="1905.6"/>
    <x v="21"/>
    <s v="Electronics"/>
    <s v="SMB"/>
    <n v="30"/>
    <s v="East"/>
    <x v="11"/>
  </r>
  <r>
    <s v="ORD-00207"/>
    <n v="45527"/>
    <n v="11274.4"/>
    <x v="25"/>
    <s v="Apparel"/>
    <s v="Retail"/>
    <n v="44"/>
    <s v="North"/>
    <x v="7"/>
  </r>
  <r>
    <s v="ORD-00208"/>
    <n v="45572"/>
    <n v="2960.55"/>
    <x v="15"/>
    <s v="Electronics"/>
    <s v="SMB"/>
    <n v="48"/>
    <s v="South"/>
    <x v="9"/>
  </r>
  <r>
    <s v="ORD-00209"/>
    <n v="45637"/>
    <n v="11111.67"/>
    <x v="27"/>
    <s v="Home"/>
    <s v="Retail"/>
    <n v="38"/>
    <s v="South"/>
    <x v="8"/>
  </r>
  <r>
    <s v="ORD-00210"/>
    <n v="45315"/>
    <n v="16229.12"/>
    <x v="27"/>
    <s v="Apparel"/>
    <s v="Corporate"/>
    <n v="34"/>
    <s v="South"/>
    <x v="11"/>
  </r>
  <r>
    <s v="ORD-00211"/>
    <n v="45374"/>
    <n v="1877.76"/>
    <x v="7"/>
    <s v="Sports"/>
    <s v="Retail"/>
    <n v="44"/>
    <s v="East"/>
    <x v="2"/>
  </r>
  <r>
    <s v="ORD-00212"/>
    <n v="45335"/>
    <n v="34394.239999999998"/>
    <x v="26"/>
    <s v="Beauty"/>
    <s v="Retail"/>
    <n v="25"/>
    <s v="East"/>
    <x v="1"/>
  </r>
  <r>
    <s v="ORD-00213"/>
    <n v="45656"/>
    <n v="7160.36"/>
    <x v="14"/>
    <s v="Apparel"/>
    <s v="SMB"/>
    <n v="29"/>
    <s v="West"/>
    <x v="8"/>
  </r>
  <r>
    <s v="ORD-00214"/>
    <n v="45573"/>
    <n v="26011.439999999999"/>
    <x v="4"/>
    <s v="Electronics"/>
    <s v="Retail"/>
    <n v="35"/>
    <s v="North"/>
    <x v="9"/>
  </r>
  <r>
    <s v="ORD-00215"/>
    <n v="45534"/>
    <n v="14600.64"/>
    <x v="17"/>
    <s v="Grocery"/>
    <s v="Retail"/>
    <n v="32"/>
    <s v="West"/>
    <x v="7"/>
  </r>
  <r>
    <s v="ORD-00216"/>
    <n v="45639"/>
    <n v="2925.72"/>
    <x v="22"/>
    <s v="Grocery"/>
    <s v="Corporate"/>
    <n v="55"/>
    <s v="South"/>
    <x v="8"/>
  </r>
  <r>
    <s v="ORD-00217"/>
    <n v="45653"/>
    <n v="26300.34"/>
    <x v="24"/>
    <s v="Grocery"/>
    <s v="Corporate"/>
    <n v="60"/>
    <s v="East"/>
    <x v="8"/>
  </r>
  <r>
    <s v="ORD-00218"/>
    <n v="45424"/>
    <n v="20803.86"/>
    <x v="3"/>
    <s v="Electronics"/>
    <s v="Retail"/>
    <n v="65"/>
    <s v="North"/>
    <x v="3"/>
  </r>
  <r>
    <s v="ORD-00219"/>
    <n v="45400"/>
    <n v="14065.8"/>
    <x v="10"/>
    <s v="Electronics"/>
    <s v="Retail"/>
    <n v="37"/>
    <s v="North"/>
    <x v="5"/>
  </r>
  <r>
    <s v="ORD-00220"/>
    <n v="45531"/>
    <n v="1562.88"/>
    <x v="19"/>
    <s v="Beauty"/>
    <s v="Retail"/>
    <n v="65"/>
    <s v="North"/>
    <x v="7"/>
  </r>
  <r>
    <s v="ORD-00221"/>
    <n v="45546"/>
    <n v="6644.7"/>
    <x v="26"/>
    <s v="Beauty"/>
    <s v="Retail"/>
    <n v="62"/>
    <s v="East"/>
    <x v="0"/>
  </r>
  <r>
    <s v="ORD-00222"/>
    <n v="45608"/>
    <n v="30232.799999999999"/>
    <x v="0"/>
    <s v="Beauty"/>
    <s v="SMB"/>
    <n v="43"/>
    <s v="North"/>
    <x v="4"/>
  </r>
  <r>
    <s v="ORD-00223"/>
    <n v="45614"/>
    <n v="2014.2"/>
    <x v="1"/>
    <s v="Electronics"/>
    <s v="SMB"/>
    <n v="24"/>
    <s v="North"/>
    <x v="4"/>
  </r>
  <r>
    <s v="ORD-00224"/>
    <n v="45405"/>
    <n v="28386.959999999999"/>
    <x v="16"/>
    <s v="Beauty"/>
    <s v="SMB"/>
    <n v="61"/>
    <s v="East"/>
    <x v="5"/>
  </r>
  <r>
    <s v="ORD-00225"/>
    <n v="45504"/>
    <n v="26091"/>
    <x v="12"/>
    <s v="Home"/>
    <s v="Corporate"/>
    <n v="41"/>
    <s v="East"/>
    <x v="10"/>
  </r>
  <r>
    <s v="ORD-00226"/>
    <n v="45298"/>
    <n v="9791.1"/>
    <x v="3"/>
    <s v="Beauty"/>
    <s v="Retail"/>
    <n v="65"/>
    <s v="North"/>
    <x v="11"/>
  </r>
  <r>
    <s v="ORD-00227"/>
    <n v="45346"/>
    <n v="24928"/>
    <x v="13"/>
    <s v="Beauty"/>
    <s v="Corporate"/>
    <n v="47"/>
    <s v="East"/>
    <x v="1"/>
  </r>
  <r>
    <s v="ORD-00228"/>
    <n v="45487"/>
    <n v="38644.480000000003"/>
    <x v="24"/>
    <s v="Beauty"/>
    <s v="SMB"/>
    <n v="30"/>
    <s v="East"/>
    <x v="10"/>
  </r>
  <r>
    <s v="ORD-00229"/>
    <n v="45585"/>
    <n v="11304.6"/>
    <x v="2"/>
    <s v="Grocery"/>
    <s v="Retail"/>
    <n v="38"/>
    <s v="South"/>
    <x v="9"/>
  </r>
  <r>
    <s v="ORD-00230"/>
    <n v="45373"/>
    <n v="36844"/>
    <x v="29"/>
    <s v="Beauty"/>
    <s v="Retail"/>
    <n v="42"/>
    <s v="South"/>
    <x v="2"/>
  </r>
  <r>
    <s v="ORD-00231"/>
    <n v="45293"/>
    <n v="4650.5200000000004"/>
    <x v="25"/>
    <s v="Grocery"/>
    <s v="Corporate"/>
    <n v="55"/>
    <s v="North"/>
    <x v="11"/>
  </r>
  <r>
    <s v="ORD-00232"/>
    <n v="45498"/>
    <n v="708.01"/>
    <x v="5"/>
    <s v="Sports"/>
    <s v="Retail"/>
    <n v="38"/>
    <s v="West"/>
    <x v="10"/>
  </r>
  <r>
    <s v="ORD-00233"/>
    <n v="45643"/>
    <n v="36046.36"/>
    <x v="20"/>
    <s v="Sports"/>
    <s v="Retail"/>
    <n v="46"/>
    <s v="West"/>
    <x v="8"/>
  </r>
  <r>
    <s v="ORD-00234"/>
    <n v="45542"/>
    <n v="10181.34"/>
    <x v="6"/>
    <s v="Beauty"/>
    <s v="Retail"/>
    <n v="65"/>
    <s v="West"/>
    <x v="0"/>
  </r>
  <r>
    <s v="ORD-00235"/>
    <n v="45508"/>
    <n v="711.14"/>
    <x v="2"/>
    <s v="Home"/>
    <s v="SMB"/>
    <n v="27"/>
    <s v="South"/>
    <x v="7"/>
  </r>
  <r>
    <s v="ORD-00236"/>
    <n v="45353"/>
    <n v="1695.69"/>
    <x v="16"/>
    <s v="Grocery"/>
    <s v="Corporate"/>
    <n v="40"/>
    <s v="East"/>
    <x v="2"/>
  </r>
  <r>
    <s v="ORD-00237"/>
    <n v="45344"/>
    <n v="17315.84"/>
    <x v="25"/>
    <s v="Beauty"/>
    <s v="SMB"/>
    <n v="59"/>
    <s v="North"/>
    <x v="1"/>
  </r>
  <r>
    <s v="ORD-00238"/>
    <n v="45389"/>
    <n v="8122.92"/>
    <x v="26"/>
    <s v="Electronics"/>
    <s v="Retail"/>
    <n v="34"/>
    <s v="East"/>
    <x v="5"/>
  </r>
  <r>
    <s v="ORD-00239"/>
    <n v="45344"/>
    <n v="7789.98"/>
    <x v="6"/>
    <s v="Grocery"/>
    <s v="Retail"/>
    <n v="26"/>
    <s v="West"/>
    <x v="1"/>
  </r>
  <r>
    <s v="ORD-00240"/>
    <n v="45480"/>
    <n v="1486.8"/>
    <x v="10"/>
    <s v="Electronics"/>
    <s v="Corporate"/>
    <n v="37"/>
    <s v="North"/>
    <x v="10"/>
  </r>
  <r>
    <s v="ORD-00241"/>
    <n v="45488"/>
    <n v="4026"/>
    <x v="2"/>
    <s v="Beauty"/>
    <s v="Retail"/>
    <n v="56"/>
    <s v="South"/>
    <x v="10"/>
  </r>
  <r>
    <s v="ORD-00242"/>
    <n v="45326"/>
    <n v="6855.42"/>
    <x v="28"/>
    <s v="Sports"/>
    <s v="Corporate"/>
    <n v="30"/>
    <s v="West"/>
    <x v="1"/>
  </r>
  <r>
    <s v="ORD-00243"/>
    <n v="45627"/>
    <n v="3654.42"/>
    <x v="25"/>
    <s v="Beauty"/>
    <s v="SMB"/>
    <n v="54"/>
    <s v="North"/>
    <x v="8"/>
  </r>
  <r>
    <s v="ORD-00244"/>
    <n v="45576"/>
    <n v="23443.200000000001"/>
    <x v="9"/>
    <s v="Electronics"/>
    <s v="Retail"/>
    <n v="22"/>
    <s v="South"/>
    <x v="9"/>
  </r>
  <r>
    <s v="ORD-00245"/>
    <n v="45317"/>
    <n v="2796.6"/>
    <x v="22"/>
    <s v="Apparel"/>
    <s v="Corporate"/>
    <n v="42"/>
    <s v="South"/>
    <x v="11"/>
  </r>
  <r>
    <s v="ORD-00246"/>
    <n v="45650"/>
    <n v="3425.76"/>
    <x v="0"/>
    <s v="Home"/>
    <s v="SMB"/>
    <n v="48"/>
    <s v="North"/>
    <x v="8"/>
  </r>
  <r>
    <s v="ORD-00247"/>
    <n v="45585"/>
    <n v="2848.2"/>
    <x v="22"/>
    <s v="Sports"/>
    <s v="Retail"/>
    <n v="39"/>
    <s v="South"/>
    <x v="9"/>
  </r>
  <r>
    <s v="ORD-00248"/>
    <n v="45545"/>
    <n v="16998.8"/>
    <x v="28"/>
    <s v="Electronics"/>
    <s v="Corporate"/>
    <n v="26"/>
    <s v="West"/>
    <x v="0"/>
  </r>
  <r>
    <s v="ORD-00249"/>
    <n v="45395"/>
    <n v="9939.6"/>
    <x v="18"/>
    <s v="Apparel"/>
    <s v="SMB"/>
    <n v="55"/>
    <s v="South"/>
    <x v="5"/>
  </r>
  <r>
    <s v="ORD-00250"/>
    <n v="45636"/>
    <n v="34175.79"/>
    <x v="24"/>
    <s v="Grocery"/>
    <s v="Retail"/>
    <n v="61"/>
    <s v="East"/>
    <x v="8"/>
  </r>
  <r>
    <s v="ORD-00251"/>
    <n v="45612"/>
    <n v="4231.2"/>
    <x v="9"/>
    <s v="Apparel"/>
    <s v="Retail"/>
    <n v="34"/>
    <s v="South"/>
    <x v="4"/>
  </r>
  <r>
    <s v="ORD-00252"/>
    <n v="45495"/>
    <n v="1478.28"/>
    <x v="1"/>
    <s v="Grocery"/>
    <s v="Retail"/>
    <n v="52"/>
    <s v="North"/>
    <x v="10"/>
  </r>
  <r>
    <s v="ORD-00253"/>
    <n v="45337"/>
    <n v="13186.8"/>
    <x v="27"/>
    <s v="Grocery"/>
    <s v="Corporate"/>
    <n v="40"/>
    <s v="South"/>
    <x v="1"/>
  </r>
  <r>
    <s v="ORD-00254"/>
    <n v="45333"/>
    <n v="9894.6"/>
    <x v="21"/>
    <s v="Beauty"/>
    <s v="SMB"/>
    <n v="42"/>
    <s v="East"/>
    <x v="1"/>
  </r>
  <r>
    <s v="ORD-00255"/>
    <n v="45511"/>
    <n v="16348.5"/>
    <x v="9"/>
    <s v="Grocery"/>
    <s v="Retail"/>
    <n v="49"/>
    <s v="South"/>
    <x v="7"/>
  </r>
  <r>
    <s v="ORD-00256"/>
    <n v="45595"/>
    <n v="679.68"/>
    <x v="10"/>
    <s v="Sports"/>
    <s v="Retail"/>
    <n v="44"/>
    <s v="North"/>
    <x v="9"/>
  </r>
  <r>
    <s v="ORD-00257"/>
    <n v="45321"/>
    <n v="31880.1"/>
    <x v="24"/>
    <s v="Electronics"/>
    <s v="Retail"/>
    <n v="53"/>
    <s v="East"/>
    <x v="11"/>
  </r>
  <r>
    <s v="ORD-00258"/>
    <n v="45511"/>
    <n v="21941.22"/>
    <x v="6"/>
    <s v="Electronics"/>
    <s v="SMB"/>
    <n v="65"/>
    <s v="West"/>
    <x v="7"/>
  </r>
  <r>
    <s v="ORD-00259"/>
    <n v="45575"/>
    <n v="5196.96"/>
    <x v="2"/>
    <s v="Home"/>
    <s v="SMB"/>
    <n v="26"/>
    <s v="South"/>
    <x v="9"/>
  </r>
  <r>
    <s v="ORD-00260"/>
    <n v="45649"/>
    <n v="22356"/>
    <x v="9"/>
    <s v="Apparel"/>
    <s v="SMB"/>
    <n v="40"/>
    <s v="South"/>
    <x v="8"/>
  </r>
  <r>
    <s v="ORD-00261"/>
    <n v="45371"/>
    <n v="8639.68"/>
    <x v="12"/>
    <s v="Electronics"/>
    <s v="Corporate"/>
    <n v="22"/>
    <s v="East"/>
    <x v="2"/>
  </r>
  <r>
    <s v="ORD-00262"/>
    <n v="45522"/>
    <n v="9062.4"/>
    <x v="18"/>
    <s v="Sports"/>
    <s v="Corporate"/>
    <n v="46"/>
    <s v="South"/>
    <x v="7"/>
  </r>
  <r>
    <s v="ORD-00263"/>
    <n v="45513"/>
    <n v="19578"/>
    <x v="11"/>
    <s v="Electronics"/>
    <s v="Corporate"/>
    <n v="31"/>
    <s v="North"/>
    <x v="7"/>
  </r>
  <r>
    <s v="ORD-00264"/>
    <n v="45513"/>
    <n v="11339.58"/>
    <x v="10"/>
    <s v="Grocery"/>
    <s v="Retail"/>
    <n v="40"/>
    <s v="North"/>
    <x v="7"/>
  </r>
  <r>
    <s v="ORD-00265"/>
    <n v="45465"/>
    <n v="30173.040000000001"/>
    <x v="12"/>
    <s v="Home"/>
    <s v="Corporate"/>
    <n v="22"/>
    <s v="East"/>
    <x v="6"/>
  </r>
  <r>
    <s v="ORD-00266"/>
    <n v="45407"/>
    <n v="1884.78"/>
    <x v="26"/>
    <s v="Home"/>
    <s v="Retail"/>
    <n v="49"/>
    <s v="East"/>
    <x v="5"/>
  </r>
  <r>
    <s v="ORD-00267"/>
    <n v="45405"/>
    <n v="2693.9"/>
    <x v="12"/>
    <s v="Apparel"/>
    <s v="SMB"/>
    <n v="38"/>
    <s v="East"/>
    <x v="5"/>
  </r>
  <r>
    <s v="ORD-00268"/>
    <n v="45332"/>
    <n v="24423.75"/>
    <x v="20"/>
    <s v="Home"/>
    <s v="Retail"/>
    <n v="26"/>
    <s v="West"/>
    <x v="1"/>
  </r>
  <r>
    <s v="ORD-00269"/>
    <n v="45299"/>
    <n v="6073.92"/>
    <x v="23"/>
    <s v="Beauty"/>
    <s v="SMB"/>
    <n v="54"/>
    <s v="South"/>
    <x v="11"/>
  </r>
  <r>
    <s v="ORD-00270"/>
    <n v="45386"/>
    <n v="25188.799999999999"/>
    <x v="2"/>
    <s v="Apparel"/>
    <s v="Corporate"/>
    <n v="30"/>
    <s v="South"/>
    <x v="5"/>
  </r>
  <r>
    <s v="ORD-00271"/>
    <n v="45472"/>
    <n v="19993.32"/>
    <x v="1"/>
    <s v="Apparel"/>
    <s v="Retail"/>
    <n v="49"/>
    <s v="North"/>
    <x v="6"/>
  </r>
  <r>
    <s v="ORD-00272"/>
    <n v="45428"/>
    <n v="6339.06"/>
    <x v="0"/>
    <s v="Electronics"/>
    <s v="SMB"/>
    <n v="43"/>
    <s v="North"/>
    <x v="3"/>
  </r>
  <r>
    <s v="ORD-00273"/>
    <n v="45430"/>
    <n v="1797.84"/>
    <x v="14"/>
    <s v="Home"/>
    <s v="Retail"/>
    <n v="43"/>
    <s v="West"/>
    <x v="3"/>
  </r>
  <r>
    <s v="ORD-00274"/>
    <n v="45418"/>
    <n v="11692.8"/>
    <x v="22"/>
    <s v="Grocery"/>
    <s v="Corporate"/>
    <n v="24"/>
    <s v="South"/>
    <x v="3"/>
  </r>
  <r>
    <s v="ORD-00275"/>
    <n v="45360"/>
    <n v="9377.68"/>
    <x v="29"/>
    <s v="Home"/>
    <s v="SMB"/>
    <n v="38"/>
    <s v="South"/>
    <x v="2"/>
  </r>
  <r>
    <s v="ORD-00276"/>
    <n v="45296"/>
    <n v="9692.5499999999993"/>
    <x v="1"/>
    <s v="Electronics"/>
    <s v="Retail"/>
    <n v="46"/>
    <s v="North"/>
    <x v="11"/>
  </r>
  <r>
    <s v="ORD-00277"/>
    <n v="45460"/>
    <n v="874.2"/>
    <x v="16"/>
    <s v="Apparel"/>
    <s v="SMB"/>
    <n v="27"/>
    <s v="East"/>
    <x v="6"/>
  </r>
  <r>
    <s v="ORD-00278"/>
    <n v="45638"/>
    <n v="10039.5"/>
    <x v="22"/>
    <s v="Apparel"/>
    <s v="Retail"/>
    <n v="59"/>
    <s v="South"/>
    <x v="8"/>
  </r>
  <r>
    <s v="ORD-00279"/>
    <n v="45408"/>
    <n v="34164.9"/>
    <x v="3"/>
    <s v="Beauty"/>
    <s v="SMB"/>
    <n v="55"/>
    <s v="North"/>
    <x v="5"/>
  </r>
  <r>
    <s v="ORD-00280"/>
    <n v="45541"/>
    <n v="33158.160000000003"/>
    <x v="11"/>
    <s v="Electronics"/>
    <s v="Retail"/>
    <n v="55"/>
    <s v="North"/>
    <x v="0"/>
  </r>
  <r>
    <s v="ORD-00281"/>
    <n v="45633"/>
    <n v="5856"/>
    <x v="20"/>
    <s v="Electronics"/>
    <s v="Corporate"/>
    <n v="40"/>
    <s v="West"/>
    <x v="8"/>
  </r>
  <r>
    <s v="ORD-00282"/>
    <n v="45338"/>
    <n v="22014.9"/>
    <x v="12"/>
    <s v="Home"/>
    <s v="Retail"/>
    <n v="32"/>
    <s v="East"/>
    <x v="1"/>
  </r>
  <r>
    <s v="ORD-00283"/>
    <n v="45529"/>
    <n v="1217.7"/>
    <x v="19"/>
    <s v="Beauty"/>
    <s v="Retail"/>
    <n v="23"/>
    <s v="North"/>
    <x v="7"/>
  </r>
  <r>
    <s v="ORD-00284"/>
    <n v="45460"/>
    <n v="2101.4"/>
    <x v="11"/>
    <s v="Electronics"/>
    <s v="Retail"/>
    <n v="50"/>
    <s v="North"/>
    <x v="6"/>
  </r>
  <r>
    <s v="ORD-00285"/>
    <n v="45375"/>
    <n v="11960.52"/>
    <x v="11"/>
    <s v="Grocery"/>
    <s v="Corporate"/>
    <n v="59"/>
    <s v="North"/>
    <x v="2"/>
  </r>
  <r>
    <s v="ORD-00286"/>
    <n v="45310"/>
    <n v="19726.2"/>
    <x v="19"/>
    <s v="Electronics"/>
    <s v="SMB"/>
    <n v="55"/>
    <s v="North"/>
    <x v="11"/>
  </r>
  <r>
    <s v="ORD-00287"/>
    <n v="45314"/>
    <n v="7012.44"/>
    <x v="5"/>
    <s v="Beauty"/>
    <s v="Retail"/>
    <n v="27"/>
    <s v="West"/>
    <x v="11"/>
  </r>
  <r>
    <s v="ORD-00288"/>
    <n v="45459"/>
    <n v="1944.72"/>
    <x v="1"/>
    <s v="Home"/>
    <s v="Corporate"/>
    <n v="33"/>
    <s v="North"/>
    <x v="6"/>
  </r>
  <r>
    <s v="ORD-00289"/>
    <n v="45312"/>
    <n v="35732.32"/>
    <x v="3"/>
    <s v="Electronics"/>
    <s v="Retail"/>
    <n v="53"/>
    <s v="North"/>
    <x v="11"/>
  </r>
  <r>
    <s v="ORD-00290"/>
    <n v="45500"/>
    <n v="12744.8"/>
    <x v="14"/>
    <s v="Apparel"/>
    <s v="Retail"/>
    <n v="37"/>
    <s v="West"/>
    <x v="10"/>
  </r>
  <r>
    <s v="ORD-00291"/>
    <n v="45389"/>
    <n v="9009.2000000000007"/>
    <x v="14"/>
    <s v="Sports"/>
    <s v="Retail"/>
    <n v="34"/>
    <s v="West"/>
    <x v="5"/>
  </r>
  <r>
    <s v="ORD-00292"/>
    <n v="45619"/>
    <n v="53743.360000000001"/>
    <x v="3"/>
    <s v="Sports"/>
    <s v="Corporate"/>
    <n v="41"/>
    <s v="North"/>
    <x v="4"/>
  </r>
  <r>
    <s v="ORD-00335"/>
    <n v="45617"/>
    <n v="21323.68"/>
    <x v="15"/>
    <s v="Apparel"/>
    <s v="Retail"/>
    <n v="46"/>
    <s v="South"/>
    <x v="4"/>
  </r>
  <r>
    <s v="ORD-00294"/>
    <n v="45640"/>
    <n v="5124"/>
    <x v="4"/>
    <s v="Grocery"/>
    <s v="Retail"/>
    <n v="49"/>
    <s v="North"/>
    <x v="8"/>
  </r>
  <r>
    <s v="ORD-00295"/>
    <n v="45401"/>
    <n v="2161.04"/>
    <x v="1"/>
    <s v="Grocery"/>
    <s v="Retail"/>
    <n v="25"/>
    <s v="North"/>
    <x v="5"/>
  </r>
  <r>
    <s v="ORD-00296"/>
    <n v="45405"/>
    <n v="26308.799999999999"/>
    <x v="5"/>
    <s v="Sports"/>
    <s v="Retail"/>
    <n v="53"/>
    <s v="West"/>
    <x v="5"/>
  </r>
  <r>
    <s v="ORD-01770"/>
    <n v="45537"/>
    <n v="3083.08"/>
    <x v="27"/>
    <s v="Apparel"/>
    <s v="SMB"/>
    <n v="65"/>
    <s v="South"/>
    <x v="0"/>
  </r>
  <r>
    <s v="ORD-00298"/>
    <n v="45475"/>
    <n v="7007.68"/>
    <x v="18"/>
    <s v="Electronics"/>
    <s v="Retail"/>
    <n v="31"/>
    <s v="South"/>
    <x v="10"/>
  </r>
  <r>
    <s v="ORD-00299"/>
    <n v="45624"/>
    <n v="6219.78"/>
    <x v="14"/>
    <s v="Apparel"/>
    <s v="Retail"/>
    <n v="40"/>
    <s v="West"/>
    <x v="4"/>
  </r>
  <r>
    <s v="ORD-00300"/>
    <n v="45635"/>
    <n v="929.88"/>
    <x v="10"/>
    <s v="Home"/>
    <s v="SMB"/>
    <n v="61"/>
    <s v="North"/>
    <x v="8"/>
  </r>
  <r>
    <s v="ORD-00301"/>
    <n v="45395"/>
    <n v="10060.68"/>
    <x v="29"/>
    <s v="Home"/>
    <s v="Retail"/>
    <n v="35"/>
    <s v="South"/>
    <x v="5"/>
  </r>
  <r>
    <s v="ORD-00302"/>
    <n v="45415"/>
    <n v="17939.88"/>
    <x v="16"/>
    <s v="Sports"/>
    <s v="Retail"/>
    <n v="34"/>
    <s v="East"/>
    <x v="3"/>
  </r>
  <r>
    <s v="ORD-00303"/>
    <n v="45653"/>
    <n v="2821.88"/>
    <x v="29"/>
    <s v="Apparel"/>
    <s v="SMB"/>
    <n v="35"/>
    <s v="South"/>
    <x v="8"/>
  </r>
  <r>
    <s v="ORD-00881"/>
    <n v="45564"/>
    <n v="21618.400000000001"/>
    <x v="9"/>
    <s v="Beauty"/>
    <s v="SMB"/>
    <n v="43"/>
    <s v="South"/>
    <x v="0"/>
  </r>
  <r>
    <s v="ORD-00305"/>
    <n v="45633"/>
    <n v="30213"/>
    <x v="18"/>
    <s v="Home"/>
    <s v="Retail"/>
    <n v="43"/>
    <s v="South"/>
    <x v="8"/>
  </r>
  <r>
    <s v="ORD-00306"/>
    <n v="45309"/>
    <n v="21513.8"/>
    <x v="10"/>
    <s v="Home"/>
    <s v="Retail"/>
    <n v="26"/>
    <s v="North"/>
    <x v="11"/>
  </r>
  <r>
    <s v="ORD-00307"/>
    <n v="45403"/>
    <n v="19929.87"/>
    <x v="22"/>
    <s v="Beauty"/>
    <s v="Retail"/>
    <n v="54"/>
    <s v="South"/>
    <x v="5"/>
  </r>
  <r>
    <s v="ORD-00308"/>
    <n v="45554"/>
    <n v="12196.1"/>
    <x v="9"/>
    <s v="Electronics"/>
    <s v="SMB"/>
    <n v="29"/>
    <s v="South"/>
    <x v="0"/>
  </r>
  <r>
    <s v="ORD-00309"/>
    <n v="45529"/>
    <n v="16261.56"/>
    <x v="5"/>
    <s v="Grocery"/>
    <s v="Retail"/>
    <n v="41"/>
    <s v="West"/>
    <x v="7"/>
  </r>
  <r>
    <s v="ORD-00310"/>
    <n v="45300"/>
    <n v="13123.8"/>
    <x v="8"/>
    <s v="Grocery"/>
    <s v="Retail"/>
    <n v="35"/>
    <s v="West"/>
    <x v="11"/>
  </r>
  <r>
    <s v="ORD-00311"/>
    <n v="45368"/>
    <n v="8697.92"/>
    <x v="3"/>
    <s v="Beauty"/>
    <s v="SMB"/>
    <n v="65"/>
    <s v="North"/>
    <x v="2"/>
  </r>
  <r>
    <s v="ORD-00312"/>
    <n v="45374"/>
    <n v="3996.72"/>
    <x v="24"/>
    <s v="Beauty"/>
    <s v="Retail"/>
    <n v="28"/>
    <s v="East"/>
    <x v="2"/>
  </r>
  <r>
    <s v="ORD-00313"/>
    <n v="45592"/>
    <n v="14564.32"/>
    <x v="15"/>
    <s v="Grocery"/>
    <s v="Corporate"/>
    <n v="52"/>
    <s v="South"/>
    <x v="9"/>
  </r>
  <r>
    <s v="ORD-00314"/>
    <n v="45508"/>
    <n v="18748.8"/>
    <x v="9"/>
    <s v="Apparel"/>
    <s v="Retail"/>
    <n v="53"/>
    <s v="South"/>
    <x v="7"/>
  </r>
  <r>
    <s v="ORD-00315"/>
    <n v="45481"/>
    <n v="20487.68"/>
    <x v="2"/>
    <s v="Beauty"/>
    <s v="Retail"/>
    <n v="60"/>
    <s v="South"/>
    <x v="10"/>
  </r>
  <r>
    <s v="ORD-00316"/>
    <n v="45517"/>
    <n v="15307.6"/>
    <x v="7"/>
    <s v="Beauty"/>
    <s v="Retail"/>
    <n v="28"/>
    <s v="East"/>
    <x v="7"/>
  </r>
  <r>
    <s v="ORD-00317"/>
    <n v="45632"/>
    <n v="20151.32"/>
    <x v="19"/>
    <s v="Apparel"/>
    <s v="Retail"/>
    <n v="59"/>
    <s v="North"/>
    <x v="8"/>
  </r>
  <r>
    <s v="ORD-00318"/>
    <n v="45592"/>
    <n v="5278.26"/>
    <x v="22"/>
    <s v="Sports"/>
    <s v="Retail"/>
    <n v="41"/>
    <s v="South"/>
    <x v="9"/>
  </r>
  <r>
    <s v="ORD-00319"/>
    <n v="45450"/>
    <n v="15083.92"/>
    <x v="16"/>
    <s v="Home"/>
    <s v="Retail"/>
    <n v="65"/>
    <s v="East"/>
    <x v="6"/>
  </r>
  <r>
    <s v="ORD-00320"/>
    <n v="45343"/>
    <n v="18440.52"/>
    <x v="20"/>
    <s v="Grocery"/>
    <s v="Retail"/>
    <n v="53"/>
    <s v="West"/>
    <x v="1"/>
  </r>
  <r>
    <s v="ORD-00321"/>
    <n v="45509"/>
    <n v="2768.3"/>
    <x v="19"/>
    <s v="Apparel"/>
    <s v="SMB"/>
    <n v="46"/>
    <s v="North"/>
    <x v="7"/>
  </r>
  <r>
    <s v="ORD-00322"/>
    <n v="45513"/>
    <n v="10242.120000000001"/>
    <x v="11"/>
    <s v="Apparel"/>
    <s v="Corporate"/>
    <n v="43"/>
    <s v="North"/>
    <x v="7"/>
  </r>
  <r>
    <s v="ORD-00323"/>
    <n v="45500"/>
    <n v="4176"/>
    <x v="27"/>
    <s v="Sports"/>
    <s v="Corporate"/>
    <n v="52"/>
    <s v="South"/>
    <x v="10"/>
  </r>
  <r>
    <s v="ORD-00324"/>
    <n v="45407"/>
    <n v="46095.48"/>
    <x v="3"/>
    <s v="Sports"/>
    <s v="Retail"/>
    <n v="53"/>
    <s v="North"/>
    <x v="5"/>
  </r>
  <r>
    <s v="ORD-00325"/>
    <n v="45385"/>
    <n v="16557.66"/>
    <x v="5"/>
    <s v="Grocery"/>
    <s v="Retail"/>
    <n v="33"/>
    <s v="West"/>
    <x v="5"/>
  </r>
  <r>
    <s v="ORD-00326"/>
    <n v="45542"/>
    <n v="19721.759999999998"/>
    <x v="8"/>
    <s v="Apparel"/>
    <s v="Corporate"/>
    <n v="55"/>
    <s v="West"/>
    <x v="0"/>
  </r>
  <r>
    <s v="ORD-00327"/>
    <n v="45422"/>
    <n v="4292.4799999999996"/>
    <x v="10"/>
    <s v="Beauty"/>
    <s v="Corporate"/>
    <n v="43"/>
    <s v="North"/>
    <x v="3"/>
  </r>
  <r>
    <s v="ORD-00328"/>
    <n v="45343"/>
    <n v="3488.28"/>
    <x v="26"/>
    <s v="Apparel"/>
    <s v="Retail"/>
    <n v="26"/>
    <s v="East"/>
    <x v="1"/>
  </r>
  <r>
    <s v="ORD-00329"/>
    <n v="45646"/>
    <n v="25032.78"/>
    <x v="6"/>
    <s v="Beauty"/>
    <s v="Corporate"/>
    <n v="51"/>
    <s v="West"/>
    <x v="8"/>
  </r>
  <r>
    <s v="ORD-00330"/>
    <n v="45645"/>
    <n v="27275.759999999998"/>
    <x v="20"/>
    <s v="Electronics"/>
    <s v="Retail"/>
    <n v="24"/>
    <s v="West"/>
    <x v="8"/>
  </r>
  <r>
    <s v="ORD-00331"/>
    <n v="45528"/>
    <n v="17822.7"/>
    <x v="14"/>
    <s v="Beauty"/>
    <s v="SMB"/>
    <n v="30"/>
    <s v="West"/>
    <x v="7"/>
  </r>
  <r>
    <s v="ORD-00332"/>
    <n v="45655"/>
    <n v="44936.1"/>
    <x v="4"/>
    <s v="Beauty"/>
    <s v="Retail"/>
    <n v="24"/>
    <s v="North"/>
    <x v="8"/>
  </r>
  <r>
    <s v="ORD-00333"/>
    <n v="45518"/>
    <n v="5811.96"/>
    <x v="4"/>
    <s v="Grocery"/>
    <s v="SMB"/>
    <n v="53"/>
    <s v="North"/>
    <x v="7"/>
  </r>
  <r>
    <s v="ORD-00334"/>
    <n v="45339"/>
    <n v="44995.86"/>
    <x v="0"/>
    <s v="Electronics"/>
    <s v="SMB"/>
    <n v="35"/>
    <s v="North"/>
    <x v="1"/>
  </r>
  <r>
    <s v="ORD-00335"/>
    <n v="45319"/>
    <n v="10392.06"/>
    <x v="16"/>
    <s v="Grocery"/>
    <s v="Retail"/>
    <n v="48"/>
    <s v="East"/>
    <x v="11"/>
  </r>
  <r>
    <s v="ORD-00336"/>
    <n v="45618"/>
    <n v="9412.5"/>
    <x v="6"/>
    <s v="Apparel"/>
    <s v="SMB"/>
    <n v="39"/>
    <s v="West"/>
    <x v="4"/>
  </r>
  <r>
    <s v="ORD-00337"/>
    <n v="45335"/>
    <n v="17821.439999999999"/>
    <x v="7"/>
    <s v="Grocery"/>
    <s v="Retail"/>
    <n v="40"/>
    <s v="East"/>
    <x v="1"/>
  </r>
  <r>
    <s v="ORD-00338"/>
    <n v="45420"/>
    <n v="3398.25"/>
    <x v="4"/>
    <s v="Apparel"/>
    <s v="SMB"/>
    <n v="26"/>
    <s v="North"/>
    <x v="3"/>
  </r>
  <r>
    <s v="ORD-00339"/>
    <n v="45295"/>
    <n v="15565.2"/>
    <x v="25"/>
    <s v="Electronics"/>
    <s v="Corporate"/>
    <n v="57"/>
    <s v="North"/>
    <x v="11"/>
  </r>
  <r>
    <s v="ORD-00340"/>
    <n v="45590"/>
    <n v="13399.62"/>
    <x v="20"/>
    <s v="Electronics"/>
    <s v="Retail"/>
    <n v="27"/>
    <s v="West"/>
    <x v="9"/>
  </r>
  <r>
    <s v="ORD-00341"/>
    <n v="45341"/>
    <n v="8202.06"/>
    <x v="28"/>
    <s v="Grocery"/>
    <s v="Retail"/>
    <n v="56"/>
    <s v="West"/>
    <x v="1"/>
  </r>
  <r>
    <s v="ORD-00342"/>
    <n v="45600"/>
    <n v="1430.16"/>
    <x v="15"/>
    <s v="Sports"/>
    <s v="Retail"/>
    <n v="35"/>
    <s v="South"/>
    <x v="4"/>
  </r>
  <r>
    <s v="ORD-00343"/>
    <n v="45506"/>
    <n v="1060.56"/>
    <x v="15"/>
    <s v="Home"/>
    <s v="SMB"/>
    <n v="48"/>
    <s v="South"/>
    <x v="7"/>
  </r>
  <r>
    <s v="ORD-00344"/>
    <n v="45414"/>
    <n v="21969.599999999999"/>
    <x v="9"/>
    <s v="Sports"/>
    <s v="Retail"/>
    <n v="22"/>
    <s v="South"/>
    <x v="3"/>
  </r>
  <r>
    <s v="ORD-00593"/>
    <n v="45553"/>
    <n v="44749.120000000003"/>
    <x v="15"/>
    <s v="Sports"/>
    <s v="Retail"/>
    <n v="42"/>
    <s v="South"/>
    <x v="0"/>
  </r>
  <r>
    <s v="ORD-00346"/>
    <n v="45434"/>
    <n v="2793.56"/>
    <x v="11"/>
    <s v="Beauty"/>
    <s v="Retail"/>
    <n v="54"/>
    <s v="North"/>
    <x v="3"/>
  </r>
  <r>
    <s v="ORD-00347"/>
    <n v="45446"/>
    <n v="8110.08"/>
    <x v="15"/>
    <s v="Electronics"/>
    <s v="Corporate"/>
    <n v="47"/>
    <s v="South"/>
    <x v="6"/>
  </r>
  <r>
    <s v="ORD-00348"/>
    <n v="45626"/>
    <n v="22916.76"/>
    <x v="6"/>
    <s v="Sports"/>
    <s v="Retail"/>
    <n v="36"/>
    <s v="West"/>
    <x v="4"/>
  </r>
  <r>
    <s v="ORD-00349"/>
    <n v="45459"/>
    <n v="3416.49"/>
    <x v="28"/>
    <s v="Electronics"/>
    <s v="SMB"/>
    <n v="38"/>
    <s v="West"/>
    <x v="6"/>
  </r>
  <r>
    <s v="ORD-00350"/>
    <n v="45520"/>
    <n v="686.72"/>
    <x v="8"/>
    <s v="Home"/>
    <s v="SMB"/>
    <n v="29"/>
    <s v="West"/>
    <x v="7"/>
  </r>
  <r>
    <s v="ORD-00351"/>
    <n v="45314"/>
    <n v="2449.7600000000002"/>
    <x v="21"/>
    <s v="Apparel"/>
    <s v="Retail"/>
    <n v="39"/>
    <s v="East"/>
    <x v="11"/>
  </r>
  <r>
    <s v="ORD-00352"/>
    <n v="45480"/>
    <n v="20762.560000000001"/>
    <x v="24"/>
    <s v="Apparel"/>
    <s v="Retail"/>
    <n v="64"/>
    <s v="East"/>
    <x v="10"/>
  </r>
  <r>
    <s v="ORD-00353"/>
    <n v="45520"/>
    <n v="7144.5"/>
    <x v="20"/>
    <s v="Beauty"/>
    <s v="SMB"/>
    <n v="52"/>
    <s v="West"/>
    <x v="7"/>
  </r>
  <r>
    <s v="ORD-00354"/>
    <n v="45360"/>
    <n v="6168.96"/>
    <x v="6"/>
    <s v="Beauty"/>
    <s v="Retail"/>
    <n v="60"/>
    <s v="West"/>
    <x v="2"/>
  </r>
  <r>
    <s v="ORD-00355"/>
    <n v="45486"/>
    <n v="11294.64"/>
    <x v="13"/>
    <s v="Grocery"/>
    <s v="SMB"/>
    <n v="64"/>
    <s v="East"/>
    <x v="10"/>
  </r>
  <r>
    <s v="ORD-00356"/>
    <n v="45544"/>
    <n v="5695.8"/>
    <x v="2"/>
    <s v="Beauty"/>
    <s v="SMB"/>
    <n v="52"/>
    <s v="South"/>
    <x v="0"/>
  </r>
  <r>
    <s v="ORD-00357"/>
    <n v="45580"/>
    <n v="17093.64"/>
    <x v="27"/>
    <s v="Apparel"/>
    <s v="Retail"/>
    <n v="38"/>
    <s v="South"/>
    <x v="9"/>
  </r>
  <r>
    <s v="ORD-00358"/>
    <n v="45312"/>
    <n v="18682.099999999999"/>
    <x v="14"/>
    <s v="Grocery"/>
    <s v="SMB"/>
    <n v="59"/>
    <s v="West"/>
    <x v="11"/>
  </r>
  <r>
    <s v="ORD-00359"/>
    <n v="45447"/>
    <n v="12376.98"/>
    <x v="22"/>
    <s v="Beauty"/>
    <s v="Retail"/>
    <n v="32"/>
    <s v="South"/>
    <x v="6"/>
  </r>
  <r>
    <s v="ORD-00360"/>
    <n v="45607"/>
    <n v="22419.54"/>
    <x v="13"/>
    <s v="Sports"/>
    <s v="Retail"/>
    <n v="26"/>
    <s v="East"/>
    <x v="4"/>
  </r>
  <r>
    <s v="ORD-00361"/>
    <n v="45379"/>
    <n v="10486.45"/>
    <x v="29"/>
    <s v="Grocery"/>
    <s v="SMB"/>
    <n v="46"/>
    <s v="South"/>
    <x v="2"/>
  </r>
  <r>
    <s v="ORD-00362"/>
    <n v="45591"/>
    <n v="1023.58"/>
    <x v="20"/>
    <s v="Electronics"/>
    <s v="SMB"/>
    <n v="53"/>
    <s v="West"/>
    <x v="9"/>
  </r>
  <r>
    <s v="ORD-00363"/>
    <n v="45561"/>
    <n v="7061.46"/>
    <x v="3"/>
    <s v="Electronics"/>
    <s v="Corporate"/>
    <n v="43"/>
    <s v="North"/>
    <x v="0"/>
  </r>
  <r>
    <s v="ORD-00364"/>
    <n v="45308"/>
    <n v="30153"/>
    <x v="29"/>
    <s v="Apparel"/>
    <s v="Retail"/>
    <n v="29"/>
    <s v="South"/>
    <x v="11"/>
  </r>
  <r>
    <s v="ORD-00365"/>
    <n v="45563"/>
    <n v="8362.64"/>
    <x v="13"/>
    <s v="Grocery"/>
    <s v="Retail"/>
    <n v="36"/>
    <s v="East"/>
    <x v="0"/>
  </r>
  <r>
    <s v="ORD-00366"/>
    <n v="45476"/>
    <n v="6350.34"/>
    <x v="2"/>
    <s v="Home"/>
    <s v="Retail"/>
    <n v="52"/>
    <s v="South"/>
    <x v="10"/>
  </r>
  <r>
    <s v="ORD-00367"/>
    <n v="45364"/>
    <n v="10114.719999999999"/>
    <x v="21"/>
    <s v="Beauty"/>
    <s v="SMB"/>
    <n v="26"/>
    <s v="East"/>
    <x v="2"/>
  </r>
  <r>
    <s v="ORD-00368"/>
    <n v="45371"/>
    <n v="22440.6"/>
    <x v="8"/>
    <s v="Electronics"/>
    <s v="Retail"/>
    <n v="49"/>
    <s v="West"/>
    <x v="2"/>
  </r>
  <r>
    <s v="ORD-00369"/>
    <n v="45623"/>
    <n v="361.76"/>
    <x v="0"/>
    <s v="Sports"/>
    <s v="Retail"/>
    <n v="26"/>
    <s v="North"/>
    <x v="4"/>
  </r>
  <r>
    <s v="ORD-00370"/>
    <n v="45441"/>
    <n v="16003.44"/>
    <x v="2"/>
    <s v="Apparel"/>
    <s v="Corporate"/>
    <n v="42"/>
    <s v="South"/>
    <x v="3"/>
  </r>
  <r>
    <s v="ORD-00371"/>
    <n v="45442"/>
    <n v="12022.5"/>
    <x v="3"/>
    <s v="Beauty"/>
    <s v="Retail"/>
    <n v="35"/>
    <s v="North"/>
    <x v="3"/>
  </r>
  <r>
    <s v="ORD-00372"/>
    <n v="45567"/>
    <n v="10630.62"/>
    <x v="15"/>
    <s v="Beauty"/>
    <s v="Retail"/>
    <n v="64"/>
    <s v="South"/>
    <x v="9"/>
  </r>
  <r>
    <s v="ORD-00373"/>
    <n v="45653"/>
    <n v="9906"/>
    <x v="5"/>
    <s v="Home"/>
    <s v="SMB"/>
    <n v="28"/>
    <s v="West"/>
    <x v="8"/>
  </r>
  <r>
    <s v="ORD-00374"/>
    <n v="45331"/>
    <n v="7670.56"/>
    <x v="29"/>
    <s v="Apparel"/>
    <s v="Retail"/>
    <n v="57"/>
    <s v="South"/>
    <x v="1"/>
  </r>
  <r>
    <s v="ORD-00375"/>
    <n v="45332"/>
    <n v="9503.5"/>
    <x v="23"/>
    <s v="Beauty"/>
    <s v="SMB"/>
    <n v="28"/>
    <s v="South"/>
    <x v="1"/>
  </r>
  <r>
    <s v="ORD-00376"/>
    <n v="45340"/>
    <n v="3410.32"/>
    <x v="3"/>
    <s v="Sports"/>
    <s v="Retail"/>
    <n v="28"/>
    <s v="North"/>
    <x v="1"/>
  </r>
  <r>
    <s v="ORD-00377"/>
    <n v="45564"/>
    <n v="38923.199999999997"/>
    <x v="18"/>
    <s v="Beauty"/>
    <s v="SMB"/>
    <n v="36"/>
    <s v="South"/>
    <x v="0"/>
  </r>
  <r>
    <s v="ORD-00378"/>
    <n v="45296"/>
    <n v="36377.25"/>
    <x v="9"/>
    <s v="Electronics"/>
    <s v="SMB"/>
    <n v="59"/>
    <s v="South"/>
    <x v="11"/>
  </r>
  <r>
    <s v="ORD-00379"/>
    <n v="45364"/>
    <n v="18574.5"/>
    <x v="8"/>
    <s v="Home"/>
    <s v="Retail"/>
    <n v="27"/>
    <s v="West"/>
    <x v="2"/>
  </r>
  <r>
    <s v="ORD-00380"/>
    <n v="45560"/>
    <n v="36738.559999999998"/>
    <x v="11"/>
    <s v="Home"/>
    <s v="SMB"/>
    <n v="29"/>
    <s v="North"/>
    <x v="0"/>
  </r>
  <r>
    <s v="ORD-00381"/>
    <n v="45378"/>
    <n v="2103.92"/>
    <x v="2"/>
    <s v="Grocery"/>
    <s v="SMB"/>
    <n v="40"/>
    <s v="South"/>
    <x v="2"/>
  </r>
  <r>
    <s v="ORD-00382"/>
    <n v="45590"/>
    <n v="8895.0400000000009"/>
    <x v="28"/>
    <s v="Beauty"/>
    <s v="SMB"/>
    <n v="55"/>
    <s v="West"/>
    <x v="9"/>
  </r>
  <r>
    <s v="ORD-00383"/>
    <n v="45591"/>
    <n v="2122.4499999999998"/>
    <x v="6"/>
    <s v="Grocery"/>
    <s v="Retail"/>
    <n v="31"/>
    <s v="West"/>
    <x v="9"/>
  </r>
  <r>
    <s v="ORD-00384"/>
    <n v="45503"/>
    <n v="11026.08"/>
    <x v="8"/>
    <s v="Apparel"/>
    <s v="SMB"/>
    <n v="60"/>
    <s v="West"/>
    <x v="10"/>
  </r>
  <r>
    <s v="ORD-00385"/>
    <n v="45608"/>
    <n v="10637.28"/>
    <x v="7"/>
    <s v="Apparel"/>
    <s v="SMB"/>
    <n v="57"/>
    <s v="East"/>
    <x v="4"/>
  </r>
  <r>
    <s v="ORD-00386"/>
    <n v="45422"/>
    <n v="8543.92"/>
    <x v="3"/>
    <s v="Electronics"/>
    <s v="Retail"/>
    <n v="50"/>
    <s v="North"/>
    <x v="3"/>
  </r>
  <r>
    <s v="ORD-00387"/>
    <n v="45386"/>
    <n v="10967.8"/>
    <x v="22"/>
    <s v="Electronics"/>
    <s v="Retail"/>
    <n v="50"/>
    <s v="South"/>
    <x v="5"/>
  </r>
  <r>
    <s v="ORD-00388"/>
    <n v="45584"/>
    <n v="15246.4"/>
    <x v="2"/>
    <s v="Electronics"/>
    <s v="SMB"/>
    <n v="35"/>
    <s v="South"/>
    <x v="9"/>
  </r>
  <r>
    <s v="ORD-00389"/>
    <n v="45440"/>
    <n v="27462"/>
    <x v="16"/>
    <s v="Apparel"/>
    <s v="Retail"/>
    <n v="49"/>
    <s v="East"/>
    <x v="3"/>
  </r>
  <r>
    <s v="ORD-00390"/>
    <n v="45440"/>
    <n v="6266.82"/>
    <x v="7"/>
    <s v="Sports"/>
    <s v="Retail"/>
    <n v="26"/>
    <s v="East"/>
    <x v="3"/>
  </r>
  <r>
    <s v="ORD-00391"/>
    <n v="45358"/>
    <n v="32428"/>
    <x v="3"/>
    <s v="Beauty"/>
    <s v="Retail"/>
    <n v="22"/>
    <s v="North"/>
    <x v="2"/>
  </r>
  <r>
    <s v="ORD-00392"/>
    <n v="45387"/>
    <n v="10726.1"/>
    <x v="17"/>
    <s v="Beauty"/>
    <s v="Retail"/>
    <n v="63"/>
    <s v="West"/>
    <x v="5"/>
  </r>
  <r>
    <s v="ORD-00393"/>
    <n v="45655"/>
    <n v="28236"/>
    <x v="17"/>
    <s v="Apparel"/>
    <s v="Unknown"/>
    <s v=""/>
    <s v="West"/>
    <x v="8"/>
  </r>
  <r>
    <s v="ORD-00394"/>
    <n v="45629"/>
    <n v="690.9"/>
    <x v="17"/>
    <s v="Sports"/>
    <s v="SMB"/>
    <n v="29"/>
    <s v="West"/>
    <x v="8"/>
  </r>
  <r>
    <s v="ORD-00395"/>
    <n v="45323"/>
    <n v="21630.6"/>
    <x v="9"/>
    <s v="Grocery"/>
    <s v="SMB"/>
    <n v="39"/>
    <s v="South"/>
    <x v="1"/>
  </r>
  <r>
    <s v="ORD-00396"/>
    <n v="45432"/>
    <n v="68081.399999999994"/>
    <x v="21"/>
    <s v="Sports"/>
    <s v="Corporate"/>
    <n v="57"/>
    <s v="East"/>
    <x v="3"/>
  </r>
  <r>
    <s v="ORD-00397"/>
    <n v="45397"/>
    <n v="13208.72"/>
    <x v="1"/>
    <s v="Beauty"/>
    <s v="Corporate"/>
    <n v="40"/>
    <s v="North"/>
    <x v="5"/>
  </r>
  <r>
    <s v="ORD-00398"/>
    <n v="45573"/>
    <n v="25539.119999999999"/>
    <x v="6"/>
    <s v="Apparel"/>
    <s v="Retail"/>
    <n v="61"/>
    <s v="West"/>
    <x v="9"/>
  </r>
  <r>
    <s v="ORD-00399"/>
    <n v="45307"/>
    <n v="22738.080000000002"/>
    <x v="8"/>
    <s v="Home"/>
    <s v="Retail"/>
    <n v="36"/>
    <s v="West"/>
    <x v="11"/>
  </r>
  <r>
    <s v="ORD-00400"/>
    <n v="45620"/>
    <n v="13032.72"/>
    <x v="27"/>
    <s v="Grocery"/>
    <s v="Retail"/>
    <n v="64"/>
    <s v="South"/>
    <x v="4"/>
  </r>
  <r>
    <s v="ORD-00401"/>
    <n v="45462"/>
    <n v="5636.4"/>
    <x v="27"/>
    <s v="Electronics"/>
    <s v="Unknown"/>
    <s v=""/>
    <s v="South"/>
    <x v="6"/>
  </r>
  <r>
    <s v="ORD-00402"/>
    <n v="45622"/>
    <n v="22326"/>
    <x v="8"/>
    <s v="Beauty"/>
    <s v="Retail"/>
    <n v="41"/>
    <s v="West"/>
    <x v="4"/>
  </r>
  <r>
    <s v="ORD-00403"/>
    <n v="45596"/>
    <n v="20512.8"/>
    <x v="24"/>
    <s v="Grocery"/>
    <s v="SMB"/>
    <n v="64"/>
    <s v="East"/>
    <x v="9"/>
  </r>
  <r>
    <s v="ORD-00404"/>
    <n v="45506"/>
    <n v="6828.4"/>
    <x v="8"/>
    <s v="Electronics"/>
    <s v="SMB"/>
    <n v="65"/>
    <s v="West"/>
    <x v="7"/>
  </r>
  <r>
    <s v="ORD-00405"/>
    <n v="45349"/>
    <n v="21522.06"/>
    <x v="26"/>
    <s v="Electronics"/>
    <s v="Corporate"/>
    <n v="55"/>
    <s v="East"/>
    <x v="1"/>
  </r>
  <r>
    <s v="ORD-00406"/>
    <n v="45407"/>
    <n v="23140.26"/>
    <x v="24"/>
    <s v="Sports"/>
    <s v="Retail"/>
    <n v="36"/>
    <s v="East"/>
    <x v="5"/>
  </r>
  <r>
    <s v="ORD-00407"/>
    <n v="45591"/>
    <n v="6533.1"/>
    <x v="0"/>
    <s v="Electronics"/>
    <s v="Retail"/>
    <n v="35"/>
    <s v="North"/>
    <x v="9"/>
  </r>
  <r>
    <s v="ORD-00408"/>
    <n v="45584"/>
    <n v="2138.34"/>
    <x v="17"/>
    <s v="Grocery"/>
    <s v="Corporate"/>
    <n v="31"/>
    <s v="West"/>
    <x v="9"/>
  </r>
  <r>
    <s v="ORD-00409"/>
    <n v="45581"/>
    <n v="1289.6400000000001"/>
    <x v="25"/>
    <s v="Home"/>
    <s v="SMB"/>
    <n v="65"/>
    <s v="North"/>
    <x v="9"/>
  </r>
  <r>
    <s v="ORD-00410"/>
    <n v="45441"/>
    <n v="2983.04"/>
    <x v="2"/>
    <s v="Apparel"/>
    <s v="Corporate"/>
    <n v="38"/>
    <s v="South"/>
    <x v="3"/>
  </r>
  <r>
    <s v="ORD-00411"/>
    <n v="45408"/>
    <n v="2574"/>
    <x v="22"/>
    <s v="Electronics"/>
    <s v="Retail"/>
    <n v="36"/>
    <s v="South"/>
    <x v="5"/>
  </r>
  <r>
    <s v="ORD-00412"/>
    <n v="45515"/>
    <n v="14991.72"/>
    <x v="2"/>
    <s v="Home"/>
    <s v="Retail"/>
    <n v="32"/>
    <s v="South"/>
    <x v="7"/>
  </r>
  <r>
    <s v="ORD-00413"/>
    <n v="45412"/>
    <n v="9860.76"/>
    <x v="26"/>
    <s v="Apparel"/>
    <s v="Retail"/>
    <n v="62"/>
    <s v="East"/>
    <x v="5"/>
  </r>
  <r>
    <s v="ORD-00414"/>
    <n v="45448"/>
    <n v="14198.4"/>
    <x v="10"/>
    <s v="Apparel"/>
    <s v="SMB"/>
    <n v="29"/>
    <s v="North"/>
    <x v="6"/>
  </r>
  <r>
    <s v="ORD-00415"/>
    <n v="45644"/>
    <n v="16027.2"/>
    <x v="4"/>
    <s v="Sports"/>
    <s v="Retail"/>
    <n v="45"/>
    <s v="North"/>
    <x v="8"/>
  </r>
  <r>
    <s v="ORD-00416"/>
    <n v="45407"/>
    <n v="7014.15"/>
    <x v="14"/>
    <s v="Home"/>
    <s v="Retail"/>
    <n v="52"/>
    <s v="West"/>
    <x v="5"/>
  </r>
  <r>
    <s v="ORD-00417"/>
    <n v="45581"/>
    <n v="4663.0200000000004"/>
    <x v="8"/>
    <s v="Home"/>
    <s v="Retail"/>
    <n v="26"/>
    <s v="West"/>
    <x v="9"/>
  </r>
  <r>
    <s v="ORD-00418"/>
    <n v="45366"/>
    <n v="9412.5"/>
    <x v="14"/>
    <s v="Apparel"/>
    <s v="Retail"/>
    <n v="44"/>
    <s v="West"/>
    <x v="2"/>
  </r>
  <r>
    <s v="ORD-00419"/>
    <n v="45577"/>
    <n v="14689"/>
    <x v="9"/>
    <s v="Electronics"/>
    <s v="Retail"/>
    <n v="43"/>
    <s v="South"/>
    <x v="9"/>
  </r>
  <r>
    <s v="ORD-00420"/>
    <n v="45333"/>
    <n v="30879.09"/>
    <x v="19"/>
    <s v="Grocery"/>
    <s v="Retail"/>
    <n v="44"/>
    <s v="North"/>
    <x v="1"/>
  </r>
  <r>
    <s v="ORD-00421"/>
    <n v="45418"/>
    <n v="30140.1"/>
    <x v="10"/>
    <s v="Home"/>
    <s v="Retail"/>
    <n v="24"/>
    <s v="North"/>
    <x v="3"/>
  </r>
  <r>
    <s v="ORD-00422"/>
    <n v="45615"/>
    <n v="8762.76"/>
    <x v="24"/>
    <s v="Sports"/>
    <s v="Retail"/>
    <n v="52"/>
    <s v="East"/>
    <x v="4"/>
  </r>
  <r>
    <s v="ORD-00423"/>
    <n v="45631"/>
    <n v="19588.32"/>
    <x v="4"/>
    <s v="Grocery"/>
    <s v="Retail"/>
    <n v="37"/>
    <s v="North"/>
    <x v="8"/>
  </r>
  <r>
    <s v="ORD-00424"/>
    <n v="45524"/>
    <n v="18485.099999999999"/>
    <x v="29"/>
    <s v="Beauty"/>
    <s v="Retail"/>
    <n v="22"/>
    <s v="South"/>
    <x v="7"/>
  </r>
  <r>
    <s v="ORD-00425"/>
    <n v="45379"/>
    <n v="31176.2"/>
    <x v="23"/>
    <s v="Grocery"/>
    <s v="Retail"/>
    <n v="37"/>
    <s v="South"/>
    <x v="2"/>
  </r>
  <r>
    <s v="ORD-00426"/>
    <n v="45454"/>
    <n v="27246.240000000002"/>
    <x v="5"/>
    <s v="Electronics"/>
    <s v="Corporate"/>
    <n v="41"/>
    <s v="West"/>
    <x v="6"/>
  </r>
  <r>
    <s v="ORD-00427"/>
    <n v="45562"/>
    <n v="54270.8"/>
    <x v="1"/>
    <s v="Sports"/>
    <s v="Corporate"/>
    <n v="57"/>
    <s v="North"/>
    <x v="0"/>
  </r>
  <r>
    <s v="ORD-00428"/>
    <n v="45489"/>
    <n v="11241.45"/>
    <x v="2"/>
    <s v="Beauty"/>
    <s v="SMB"/>
    <n v="60"/>
    <s v="South"/>
    <x v="10"/>
  </r>
  <r>
    <s v="ORD-00429"/>
    <n v="45624"/>
    <n v="10696.4"/>
    <x v="2"/>
    <s v="Electronics"/>
    <s v="Corporate"/>
    <n v="41"/>
    <s v="South"/>
    <x v="4"/>
  </r>
  <r>
    <s v="ORD-00430"/>
    <n v="45480"/>
    <n v="15980.16"/>
    <x v="9"/>
    <s v="Grocery"/>
    <s v="Corporate"/>
    <n v="31"/>
    <s v="South"/>
    <x v="10"/>
  </r>
  <r>
    <s v="ORD-00431"/>
    <n v="45420"/>
    <n v="2763.9"/>
    <x v="1"/>
    <s v="Home"/>
    <s v="Retail"/>
    <n v="52"/>
    <s v="North"/>
    <x v="3"/>
  </r>
  <r>
    <s v="ORD-00432"/>
    <n v="45322"/>
    <n v="1170.4000000000001"/>
    <x v="9"/>
    <s v="Beauty"/>
    <s v="Corporate"/>
    <n v="52"/>
    <s v="South"/>
    <x v="11"/>
  </r>
  <r>
    <s v="ORD-00433"/>
    <n v="45382"/>
    <n v="21598.2"/>
    <x v="5"/>
    <s v="Electronics"/>
    <s v="SMB"/>
    <n v="24"/>
    <s v="West"/>
    <x v="2"/>
  </r>
  <r>
    <s v="ORD-00434"/>
    <n v="45497"/>
    <n v="19337.04"/>
    <x v="15"/>
    <s v="Apparel"/>
    <s v="SMB"/>
    <n v="26"/>
    <s v="South"/>
    <x v="10"/>
  </r>
  <r>
    <s v="ORD-00435"/>
    <n v="45510"/>
    <n v="29293.68"/>
    <x v="11"/>
    <s v="Electronics"/>
    <s v="Corporate"/>
    <n v="31"/>
    <s v="North"/>
    <x v="7"/>
  </r>
  <r>
    <s v="ORD-00436"/>
    <n v="45522"/>
    <n v="22783.8"/>
    <x v="2"/>
    <s v="Home"/>
    <s v="Retail"/>
    <n v="55"/>
    <s v="South"/>
    <x v="7"/>
  </r>
  <r>
    <s v="ORD-00437"/>
    <n v="45381"/>
    <n v="9316.23"/>
    <x v="5"/>
    <s v="Grocery"/>
    <s v="SMB"/>
    <n v="42"/>
    <s v="West"/>
    <x v="2"/>
  </r>
  <r>
    <s v="ORD-00438"/>
    <n v="45511"/>
    <n v="2013.76"/>
    <x v="22"/>
    <s v="Apparel"/>
    <s v="Corporate"/>
    <n v="56"/>
    <s v="South"/>
    <x v="7"/>
  </r>
  <r>
    <s v="ORD-00439"/>
    <n v="45628"/>
    <n v="23047.200000000001"/>
    <x v="21"/>
    <s v="Electronics"/>
    <s v="SMB"/>
    <n v="59"/>
    <s v="East"/>
    <x v="8"/>
  </r>
  <r>
    <s v="ORD-00440"/>
    <n v="45326"/>
    <n v="5779.4"/>
    <x v="14"/>
    <s v="Grocery"/>
    <s v="SMB"/>
    <n v="43"/>
    <s v="West"/>
    <x v="1"/>
  </r>
  <r>
    <s v="ORD-00441"/>
    <n v="45561"/>
    <n v="6027.68"/>
    <x v="0"/>
    <s v="Sports"/>
    <s v="Corporate"/>
    <n v="41"/>
    <s v="North"/>
    <x v="0"/>
  </r>
  <r>
    <s v="ORD-00442"/>
    <n v="45629"/>
    <n v="24596"/>
    <x v="1"/>
    <s v="Home"/>
    <s v="Corporate"/>
    <n v="29"/>
    <s v="North"/>
    <x v="8"/>
  </r>
  <r>
    <s v="ORD-00443"/>
    <n v="45460"/>
    <n v="8078.07"/>
    <x v="18"/>
    <s v="Electronics"/>
    <s v="Corporate"/>
    <n v="48"/>
    <s v="South"/>
    <x v="6"/>
  </r>
  <r>
    <s v="ORD-00444"/>
    <n v="45597"/>
    <n v="23103"/>
    <x v="26"/>
    <s v="Beauty"/>
    <s v="SMB"/>
    <n v="44"/>
    <s v="East"/>
    <x v="4"/>
  </r>
  <r>
    <s v="ORD-00445"/>
    <n v="45324"/>
    <n v="4181.5200000000004"/>
    <x v="25"/>
    <s v="Electronics"/>
    <s v="Unknown"/>
    <s v=""/>
    <s v="North"/>
    <x v="1"/>
  </r>
  <r>
    <s v="ORD-00446"/>
    <n v="45490"/>
    <n v="28452.9"/>
    <x v="7"/>
    <s v="Electronics"/>
    <s v="Retail"/>
    <n v="31"/>
    <s v="East"/>
    <x v="10"/>
  </r>
  <r>
    <s v="ORD-00447"/>
    <n v="45330"/>
    <n v="9634.6"/>
    <x v="9"/>
    <s v="Beauty"/>
    <s v="Corporate"/>
    <n v="47"/>
    <s v="South"/>
    <x v="1"/>
  </r>
  <r>
    <s v="ORD-00448"/>
    <n v="45336"/>
    <n v="2145.1999999999998"/>
    <x v="13"/>
    <s v="Apparel"/>
    <s v="Corporate"/>
    <n v="46"/>
    <s v="East"/>
    <x v="1"/>
  </r>
  <r>
    <s v="ORD-00449"/>
    <n v="45649"/>
    <n v="39979.9"/>
    <x v="15"/>
    <s v="Sports"/>
    <s v="SMB"/>
    <n v="38"/>
    <s v="South"/>
    <x v="8"/>
  </r>
  <r>
    <s v="ORD-00450"/>
    <n v="45586"/>
    <n v="1254"/>
    <x v="12"/>
    <s v="Home"/>
    <s v="Retail"/>
    <n v="47"/>
    <s v="East"/>
    <x v="9"/>
  </r>
  <r>
    <s v="ORD-00451"/>
    <n v="45647"/>
    <n v="9090"/>
    <x v="0"/>
    <s v="Sports"/>
    <s v="Corporate"/>
    <n v="62"/>
    <s v="North"/>
    <x v="8"/>
  </r>
  <r>
    <s v="ORD-00452"/>
    <n v="45496"/>
    <n v="6258.57"/>
    <x v="19"/>
    <s v="Beauty"/>
    <s v="Retail"/>
    <n v="57"/>
    <s v="North"/>
    <x v="10"/>
  </r>
  <r>
    <s v="ORD-00453"/>
    <n v="45369"/>
    <n v="23504.85"/>
    <x v="19"/>
    <s v="Beauty"/>
    <s v="Retail"/>
    <n v="24"/>
    <s v="North"/>
    <x v="2"/>
  </r>
  <r>
    <s v="ORD-00454"/>
    <n v="45389"/>
    <n v="28610.400000000001"/>
    <x v="11"/>
    <s v="Apparel"/>
    <s v="Retail"/>
    <n v="38"/>
    <s v="North"/>
    <x v="5"/>
  </r>
  <r>
    <s v="ORD-00455"/>
    <n v="45336"/>
    <n v="10448.200000000001"/>
    <x v="15"/>
    <s v="Grocery"/>
    <s v="Corporate"/>
    <n v="62"/>
    <s v="South"/>
    <x v="1"/>
  </r>
  <r>
    <s v="ORD-00456"/>
    <n v="45505"/>
    <n v="37978.199999999997"/>
    <x v="21"/>
    <s v="Sports"/>
    <s v="Retail"/>
    <n v="38"/>
    <s v="East"/>
    <x v="7"/>
  </r>
  <r>
    <s v="ORD-00457"/>
    <n v="45375"/>
    <n v="4484.7"/>
    <x v="13"/>
    <s v="Beauty"/>
    <s v="Corporate"/>
    <n v="62"/>
    <s v="East"/>
    <x v="2"/>
  </r>
  <r>
    <s v="ORD-00458"/>
    <n v="45383"/>
    <n v="14578.2"/>
    <x v="24"/>
    <s v="Electronics"/>
    <s v="Retail"/>
    <n v="22"/>
    <s v="East"/>
    <x v="5"/>
  </r>
  <r>
    <s v="ORD-00135"/>
    <n v="45474"/>
    <n v="16005.92"/>
    <x v="25"/>
    <s v="Home"/>
    <s v="SMB"/>
    <n v="28"/>
    <s v="North"/>
    <x v="10"/>
  </r>
  <r>
    <s v="ORD-00460"/>
    <n v="45361"/>
    <n v="30785.58"/>
    <x v="13"/>
    <s v="Home"/>
    <s v="Retail"/>
    <n v="53"/>
    <s v="East"/>
    <x v="2"/>
  </r>
  <r>
    <s v="ORD-00461"/>
    <n v="45550"/>
    <n v="1323"/>
    <x v="2"/>
    <s v="Electronics"/>
    <s v="Corporate"/>
    <n v="44"/>
    <s v="South"/>
    <x v="0"/>
  </r>
  <r>
    <s v="ORD-00462"/>
    <n v="45485"/>
    <n v="8880.2999999999993"/>
    <x v="16"/>
    <s v="Apparel"/>
    <s v="Retail"/>
    <n v="22"/>
    <s v="East"/>
    <x v="10"/>
  </r>
  <r>
    <s v="ORD-00463"/>
    <n v="45523"/>
    <n v="4645.76"/>
    <x v="8"/>
    <s v="Apparel"/>
    <s v="Corporate"/>
    <n v="30"/>
    <s v="West"/>
    <x v="7"/>
  </r>
  <r>
    <s v="ORD-00464"/>
    <n v="45626"/>
    <n v="13518.12"/>
    <x v="21"/>
    <s v="Electronics"/>
    <s v="Retail"/>
    <n v="31"/>
    <s v="East"/>
    <x v="4"/>
  </r>
  <r>
    <s v="ORD-00465"/>
    <n v="45302"/>
    <n v="21969.599999999999"/>
    <x v="1"/>
    <s v="Sports"/>
    <s v="Retail"/>
    <n v="53"/>
    <s v="North"/>
    <x v="11"/>
  </r>
  <r>
    <s v="ORD-00466"/>
    <n v="45427"/>
    <n v="10040.959999999999"/>
    <x v="29"/>
    <s v="Sports"/>
    <s v="Corporate"/>
    <n v="52"/>
    <s v="South"/>
    <x v="3"/>
  </r>
  <r>
    <s v="ORD-00467"/>
    <n v="45315"/>
    <n v="11122.38"/>
    <x v="22"/>
    <s v="Electronics"/>
    <s v="Corporate"/>
    <n v="30"/>
    <s v="South"/>
    <x v="11"/>
  </r>
  <r>
    <s v="ORD-00468"/>
    <n v="45328"/>
    <n v="18772.900000000001"/>
    <x v="1"/>
    <s v="Grocery"/>
    <s v="SMB"/>
    <n v="60"/>
    <s v="North"/>
    <x v="1"/>
  </r>
  <r>
    <s v="ORD-00469"/>
    <n v="45394"/>
    <n v="4040.14"/>
    <x v="5"/>
    <s v="Electronics"/>
    <s v="Retail"/>
    <n v="46"/>
    <s v="West"/>
    <x v="5"/>
  </r>
  <r>
    <s v="ORD-00470"/>
    <n v="45414"/>
    <n v="5132.2"/>
    <x v="15"/>
    <s v="Beauty"/>
    <s v="Corporate"/>
    <n v="57"/>
    <s v="South"/>
    <x v="3"/>
  </r>
  <r>
    <s v="ORD-00471"/>
    <n v="45393"/>
    <n v="16129.82"/>
    <x v="3"/>
    <s v="Beauty"/>
    <s v="Retail"/>
    <n v="32"/>
    <s v="North"/>
    <x v="5"/>
  </r>
  <r>
    <s v="ORD-00472"/>
    <n v="45535"/>
    <n v="17076.64"/>
    <x v="16"/>
    <s v="Apparel"/>
    <s v="SMB"/>
    <n v="61"/>
    <s v="East"/>
    <x v="7"/>
  </r>
  <r>
    <s v="ORD-00473"/>
    <n v="45541"/>
    <n v="669.28"/>
    <x v="16"/>
    <s v="Sports"/>
    <s v="Retail"/>
    <n v="35"/>
    <s v="East"/>
    <x v="0"/>
  </r>
  <r>
    <s v="ORD-00474"/>
    <n v="45454"/>
    <n v="4894.5"/>
    <x v="13"/>
    <s v="Home"/>
    <s v="Retail"/>
    <n v="37"/>
    <s v="East"/>
    <x v="6"/>
  </r>
  <r>
    <s v="ORD-00475"/>
    <n v="45631"/>
    <n v="1914.96"/>
    <x v="12"/>
    <s v="Sports"/>
    <s v="SMB"/>
    <n v="54"/>
    <s v="East"/>
    <x v="8"/>
  </r>
  <r>
    <s v="ORD-00476"/>
    <n v="45588"/>
    <n v="2486.6999999999998"/>
    <x v="19"/>
    <s v="Electronics"/>
    <s v="SMB"/>
    <n v="43"/>
    <s v="North"/>
    <x v="9"/>
  </r>
  <r>
    <s v="ORD-00477"/>
    <n v="45469"/>
    <n v="37587"/>
    <x v="3"/>
    <s v="Beauty"/>
    <s v="Corporate"/>
    <n v="52"/>
    <s v="North"/>
    <x v="6"/>
  </r>
  <r>
    <s v="ORD-00478"/>
    <n v="45552"/>
    <n v="3065.25"/>
    <x v="8"/>
    <s v="Beauty"/>
    <s v="Retail"/>
    <n v="31"/>
    <s v="West"/>
    <x v="0"/>
  </r>
  <r>
    <s v="ORD-01195"/>
    <n v="45554"/>
    <n v="4829.5"/>
    <x v="24"/>
    <s v="Home"/>
    <s v="Retail"/>
    <n v="55"/>
    <s v="East"/>
    <x v="0"/>
  </r>
  <r>
    <s v="ORD-00480"/>
    <n v="45352"/>
    <n v="32208"/>
    <x v="4"/>
    <s v="Grocery"/>
    <s v="Retail"/>
    <n v="38"/>
    <s v="North"/>
    <x v="2"/>
  </r>
  <r>
    <s v="ORD-00481"/>
    <n v="45521"/>
    <n v="1812"/>
    <x v="18"/>
    <s v="Sports"/>
    <s v="Retail"/>
    <n v="51"/>
    <s v="South"/>
    <x v="7"/>
  </r>
  <r>
    <s v="ORD-00482"/>
    <n v="45496"/>
    <n v="889.44"/>
    <x v="9"/>
    <s v="Home"/>
    <s v="Corporate"/>
    <n v="31"/>
    <s v="South"/>
    <x v="10"/>
  </r>
  <r>
    <s v="ORD-00483"/>
    <n v="45404"/>
    <n v="19073.88"/>
    <x v="15"/>
    <s v="Sports"/>
    <s v="Retail"/>
    <n v="22"/>
    <s v="South"/>
    <x v="5"/>
  </r>
  <r>
    <s v="ORD-00484"/>
    <n v="45330"/>
    <n v="8160.6"/>
    <x v="7"/>
    <s v="Beauty"/>
    <s v="SMB"/>
    <n v="49"/>
    <s v="East"/>
    <x v="1"/>
  </r>
  <r>
    <s v="ORD-00485"/>
    <n v="45323"/>
    <n v="3129.84"/>
    <x v="14"/>
    <s v="Home"/>
    <s v="Corporate"/>
    <n v="57"/>
    <s v="West"/>
    <x v="1"/>
  </r>
  <r>
    <s v="ORD-00486"/>
    <n v="45519"/>
    <n v="17655.66"/>
    <x v="24"/>
    <s v="Grocery"/>
    <s v="SMB"/>
    <n v="57"/>
    <s v="East"/>
    <x v="7"/>
  </r>
  <r>
    <s v="ORD-00487"/>
    <n v="45514"/>
    <n v="5782.7"/>
    <x v="17"/>
    <s v="Beauty"/>
    <s v="Retail"/>
    <n v="22"/>
    <s v="West"/>
    <x v="7"/>
  </r>
  <r>
    <s v="ORD-00488"/>
    <n v="45497"/>
    <n v="11608.56"/>
    <x v="8"/>
    <s v="Grocery"/>
    <s v="SMB"/>
    <n v="28"/>
    <s v="West"/>
    <x v="10"/>
  </r>
  <r>
    <s v="ORD-00489"/>
    <n v="45639"/>
    <n v="24232.880000000001"/>
    <x v="24"/>
    <s v="Electronics"/>
    <s v="Retail"/>
    <n v="28"/>
    <s v="East"/>
    <x v="8"/>
  </r>
  <r>
    <s v="ORD-00490"/>
    <n v="45562"/>
    <n v="3194.7"/>
    <x v="13"/>
    <s v="Apparel"/>
    <s v="Retail"/>
    <n v="37"/>
    <s v="East"/>
    <x v="0"/>
  </r>
  <r>
    <s v="ORD-00491"/>
    <n v="45308"/>
    <n v="9056.64"/>
    <x v="1"/>
    <s v="Apparel"/>
    <s v="Corporate"/>
    <n v="36"/>
    <s v="North"/>
    <x v="11"/>
  </r>
  <r>
    <s v="ORD-00492"/>
    <n v="45428"/>
    <n v="11581.08"/>
    <x v="14"/>
    <s v="Electronics"/>
    <s v="Corporate"/>
    <n v="29"/>
    <s v="West"/>
    <x v="3"/>
  </r>
  <r>
    <s v="ORD-00493"/>
    <n v="45472"/>
    <n v="7430.4"/>
    <x v="5"/>
    <s v="Sports"/>
    <s v="Retail"/>
    <n v="59"/>
    <s v="West"/>
    <x v="6"/>
  </r>
  <r>
    <s v="ORD-00494"/>
    <n v="45406"/>
    <n v="29187"/>
    <x v="29"/>
    <s v="Beauty"/>
    <s v="Corporate"/>
    <n v="52"/>
    <s v="South"/>
    <x v="5"/>
  </r>
  <r>
    <s v="ORD-00495"/>
    <n v="45457"/>
    <n v="20167"/>
    <x v="27"/>
    <s v="Beauty"/>
    <s v="Retail"/>
    <n v="59"/>
    <s v="South"/>
    <x v="6"/>
  </r>
  <r>
    <s v="ORD-00496"/>
    <n v="45298"/>
    <n v="5178.24"/>
    <x v="10"/>
    <s v="Beauty"/>
    <s v="Retail"/>
    <n v="35"/>
    <s v="North"/>
    <x v="11"/>
  </r>
  <r>
    <s v="ORD-00497"/>
    <n v="45337"/>
    <n v="1640.1"/>
    <x v="29"/>
    <s v="Electronics"/>
    <s v="SMB"/>
    <n v="27"/>
    <s v="South"/>
    <x v="1"/>
  </r>
  <r>
    <s v="ORD-00498"/>
    <n v="45389"/>
    <n v="4436.32"/>
    <x v="7"/>
    <s v="Grocery"/>
    <s v="Retail"/>
    <n v="38"/>
    <s v="East"/>
    <x v="5"/>
  </r>
  <r>
    <s v="ORD-00499"/>
    <n v="45298"/>
    <n v="4080"/>
    <x v="6"/>
    <s v="Sports"/>
    <s v="Retail"/>
    <n v="29"/>
    <s v="West"/>
    <x v="11"/>
  </r>
  <r>
    <s v="ORD-00500"/>
    <n v="45577"/>
    <n v="28690.2"/>
    <x v="27"/>
    <s v="Sports"/>
    <s v="SMB"/>
    <n v="55"/>
    <s v="South"/>
    <x v="9"/>
  </r>
  <r>
    <s v="ORD-00501"/>
    <n v="45355"/>
    <n v="5285.28"/>
    <x v="16"/>
    <s v="Beauty"/>
    <s v="Retail"/>
    <n v="51"/>
    <s v="East"/>
    <x v="2"/>
  </r>
  <r>
    <s v="ORD-00502"/>
    <n v="45463"/>
    <n v="19879.2"/>
    <x v="1"/>
    <s v="Apparel"/>
    <s v="Retail"/>
    <n v="52"/>
    <s v="North"/>
    <x v="6"/>
  </r>
  <r>
    <s v="ORD-00503"/>
    <n v="45374"/>
    <n v="26637.66"/>
    <x v="2"/>
    <s v="Grocery"/>
    <s v="Retail"/>
    <n v="44"/>
    <s v="South"/>
    <x v="2"/>
  </r>
  <r>
    <s v="ORD-00504"/>
    <n v="45638"/>
    <n v="7766.4"/>
    <x v="5"/>
    <s v="Sports"/>
    <s v="SMB"/>
    <n v="28"/>
    <s v="West"/>
    <x v="8"/>
  </r>
  <r>
    <s v="ORD-00505"/>
    <n v="45525"/>
    <n v="35448.32"/>
    <x v="24"/>
    <s v="Beauty"/>
    <s v="Corporate"/>
    <n v="46"/>
    <s v="East"/>
    <x v="7"/>
  </r>
  <r>
    <s v="ORD-00506"/>
    <n v="45586"/>
    <n v="40805.1"/>
    <x v="7"/>
    <s v="Beauty"/>
    <s v="Retail"/>
    <n v="44"/>
    <s v="East"/>
    <x v="9"/>
  </r>
  <r>
    <s v="ORD-00507"/>
    <n v="45637"/>
    <n v="999.6"/>
    <x v="8"/>
    <s v="Electronics"/>
    <s v="SMB"/>
    <n v="38"/>
    <s v="West"/>
    <x v="8"/>
  </r>
  <r>
    <s v="ORD-00508"/>
    <n v="45443"/>
    <n v="14388.96"/>
    <x v="2"/>
    <s v="Apparel"/>
    <s v="Retail"/>
    <n v="26"/>
    <s v="South"/>
    <x v="3"/>
  </r>
  <r>
    <s v="ORD-00509"/>
    <n v="45569"/>
    <n v="12721.5"/>
    <x v="12"/>
    <s v="Beauty"/>
    <s v="Retail"/>
    <n v="36"/>
    <s v="East"/>
    <x v="9"/>
  </r>
  <r>
    <s v="ORD-00510"/>
    <n v="45319"/>
    <n v="5894.07"/>
    <x v="27"/>
    <s v="Grocery"/>
    <s v="Corporate"/>
    <n v="54"/>
    <s v="South"/>
    <x v="11"/>
  </r>
  <r>
    <s v="ORD-00511"/>
    <n v="45406"/>
    <n v="21576"/>
    <x v="1"/>
    <s v="Apparel"/>
    <s v="Retail"/>
    <n v="54"/>
    <s v="North"/>
    <x v="5"/>
  </r>
  <r>
    <s v="ORD-00512"/>
    <n v="45629"/>
    <n v="52926.9"/>
    <x v="12"/>
    <s v="Electronics"/>
    <s v="Corporate"/>
    <n v="46"/>
    <s v="East"/>
    <x v="8"/>
  </r>
  <r>
    <s v="ORD-00513"/>
    <n v="45612"/>
    <n v="30915.72"/>
    <x v="27"/>
    <s v="Grocery"/>
    <s v="Retail"/>
    <n v="65"/>
    <s v="South"/>
    <x v="4"/>
  </r>
  <r>
    <s v="ORD-00514"/>
    <n v="45613"/>
    <n v="12199.2"/>
    <x v="19"/>
    <s v="Apparel"/>
    <s v="Retail"/>
    <n v="32"/>
    <s v="North"/>
    <x v="4"/>
  </r>
  <r>
    <s v="ORD-00515"/>
    <n v="45484"/>
    <n v="12200.76"/>
    <x v="20"/>
    <s v="Sports"/>
    <s v="Corporate"/>
    <n v="43"/>
    <s v="West"/>
    <x v="10"/>
  </r>
  <r>
    <s v="ORD-00516"/>
    <n v="45656"/>
    <n v="14805.8"/>
    <x v="27"/>
    <s v="Apparel"/>
    <s v="Retail"/>
    <n v="35"/>
    <s v="South"/>
    <x v="8"/>
  </r>
  <r>
    <s v="ORD-00517"/>
    <n v="45432"/>
    <n v="4420.3500000000004"/>
    <x v="26"/>
    <s v="Beauty"/>
    <s v="SMB"/>
    <n v="46"/>
    <s v="East"/>
    <x v="3"/>
  </r>
  <r>
    <s v="ORD-00518"/>
    <n v="45495"/>
    <n v="1246.4000000000001"/>
    <x v="20"/>
    <s v="Sports"/>
    <s v="Retail"/>
    <n v="25"/>
    <s v="West"/>
    <x v="10"/>
  </r>
  <r>
    <s v="ORD-00519"/>
    <n v="45443"/>
    <n v="14026.25"/>
    <x v="20"/>
    <s v="Beauty"/>
    <s v="Retail"/>
    <n v="49"/>
    <s v="West"/>
    <x v="3"/>
  </r>
  <r>
    <s v="ORD-00520"/>
    <n v="45638"/>
    <n v="7835.1"/>
    <x v="21"/>
    <s v="Electronics"/>
    <s v="SMB"/>
    <n v="52"/>
    <s v="East"/>
    <x v="8"/>
  </r>
  <r>
    <s v="ORD-00521"/>
    <n v="45476"/>
    <n v="15862.08"/>
    <x v="15"/>
    <s v="Electronics"/>
    <s v="SMB"/>
    <n v="65"/>
    <s v="South"/>
    <x v="10"/>
  </r>
  <r>
    <s v="ORD-00522"/>
    <n v="45566"/>
    <n v="14508.48"/>
    <x v="3"/>
    <s v="Home"/>
    <s v="Retail"/>
    <n v="38"/>
    <s v="North"/>
    <x v="9"/>
  </r>
  <r>
    <s v="ORD-00523"/>
    <n v="45392"/>
    <n v="1293.52"/>
    <x v="25"/>
    <s v="Home"/>
    <s v="SMB"/>
    <n v="49"/>
    <s v="North"/>
    <x v="5"/>
  </r>
  <r>
    <s v="ORD-00524"/>
    <n v="45561"/>
    <n v="4077.72"/>
    <x v="22"/>
    <s v="Sports"/>
    <s v="Retail"/>
    <n v="31"/>
    <s v="South"/>
    <x v="0"/>
  </r>
  <r>
    <s v="ORD-00525"/>
    <n v="45634"/>
    <n v="19194.68"/>
    <x v="28"/>
    <s v="Sports"/>
    <s v="SMB"/>
    <n v="27"/>
    <s v="West"/>
    <x v="8"/>
  </r>
  <r>
    <s v="ORD-00526"/>
    <n v="45311"/>
    <n v="35295"/>
    <x v="0"/>
    <s v="Apparel"/>
    <s v="SMB"/>
    <n v="31"/>
    <s v="North"/>
    <x v="11"/>
  </r>
  <r>
    <s v="ORD-00527"/>
    <n v="45380"/>
    <n v="2147.2800000000002"/>
    <x v="14"/>
    <s v="Grocery"/>
    <s v="Retail"/>
    <n v="47"/>
    <s v="West"/>
    <x v="2"/>
  </r>
  <r>
    <s v="ORD-00528"/>
    <n v="45549"/>
    <n v="22073.1"/>
    <x v="19"/>
    <s v="Beauty"/>
    <s v="Retail"/>
    <n v="40"/>
    <s v="North"/>
    <x v="0"/>
  </r>
  <r>
    <s v="ORD-00529"/>
    <n v="45418"/>
    <n v="19632.240000000002"/>
    <x v="8"/>
    <s v="Grocery"/>
    <s v="SMB"/>
    <n v="29"/>
    <s v="West"/>
    <x v="3"/>
  </r>
  <r>
    <s v="ORD-00530"/>
    <n v="45532"/>
    <n v="35271.599999999999"/>
    <x v="8"/>
    <s v="Electronics"/>
    <s v="Corporate"/>
    <n v="55"/>
    <s v="West"/>
    <x v="7"/>
  </r>
  <r>
    <s v="ORD-00531"/>
    <n v="45542"/>
    <n v="7568.96"/>
    <x v="18"/>
    <s v="Home"/>
    <s v="Retail"/>
    <n v="44"/>
    <s v="South"/>
    <x v="0"/>
  </r>
  <r>
    <s v="ORD-00532"/>
    <n v="45320"/>
    <n v="20561.599999999999"/>
    <x v="26"/>
    <s v="Apparel"/>
    <s v="Retail"/>
    <n v="29"/>
    <s v="East"/>
    <x v="11"/>
  </r>
  <r>
    <s v="ORD-00533"/>
    <n v="45548"/>
    <n v="25415.040000000001"/>
    <x v="9"/>
    <s v="Beauty"/>
    <s v="Retail"/>
    <n v="35"/>
    <s v="South"/>
    <x v="0"/>
  </r>
  <r>
    <s v="ORD-00534"/>
    <n v="45434"/>
    <n v="848.82"/>
    <x v="8"/>
    <s v="Sports"/>
    <s v="Corporate"/>
    <n v="29"/>
    <s v="West"/>
    <x v="3"/>
  </r>
  <r>
    <s v="ORD-00535"/>
    <n v="45539"/>
    <n v="12517.14"/>
    <x v="24"/>
    <s v="Beauty"/>
    <s v="Retail"/>
    <n v="52"/>
    <s v="East"/>
    <x v="0"/>
  </r>
  <r>
    <s v="ORD-00536"/>
    <n v="45468"/>
    <n v="6947.22"/>
    <x v="9"/>
    <s v="Grocery"/>
    <s v="Corporate"/>
    <n v="37"/>
    <s v="South"/>
    <x v="6"/>
  </r>
  <r>
    <s v="ORD-00537"/>
    <n v="45485"/>
    <n v="17114.580000000002"/>
    <x v="4"/>
    <s v="Grocery"/>
    <s v="Retail"/>
    <n v="56"/>
    <s v="North"/>
    <x v="10"/>
  </r>
  <r>
    <s v="ORD-00538"/>
    <n v="45303"/>
    <n v="38432.639999999999"/>
    <x v="2"/>
    <s v="Sports"/>
    <s v="Corporate"/>
    <n v="41"/>
    <s v="South"/>
    <x v="11"/>
  </r>
  <r>
    <s v="ORD-00539"/>
    <n v="45605"/>
    <n v="1149.72"/>
    <x v="4"/>
    <s v="Electronics"/>
    <s v="SMB"/>
    <n v="36"/>
    <s v="North"/>
    <x v="4"/>
  </r>
  <r>
    <s v="ORD-00540"/>
    <n v="45421"/>
    <n v="20520"/>
    <x v="28"/>
    <s v="Sports"/>
    <s v="Retail"/>
    <n v="47"/>
    <s v="West"/>
    <x v="3"/>
  </r>
  <r>
    <s v="ORD-00541"/>
    <n v="45493"/>
    <n v="3602.34"/>
    <x v="19"/>
    <s v="Grocery"/>
    <s v="Corporate"/>
    <n v="52"/>
    <s v="North"/>
    <x v="10"/>
  </r>
  <r>
    <s v="ORD-00542"/>
    <n v="45592"/>
    <n v="1140.8"/>
    <x v="7"/>
    <s v="Apparel"/>
    <s v="Corporate"/>
    <n v="62"/>
    <s v="East"/>
    <x v="9"/>
  </r>
  <r>
    <s v="ORD-00543"/>
    <n v="45379"/>
    <n v="467.97"/>
    <x v="0"/>
    <s v="Sports"/>
    <s v="Retail"/>
    <n v="43"/>
    <s v="North"/>
    <x v="2"/>
  </r>
  <r>
    <s v="ORD-00544"/>
    <n v="45332"/>
    <n v="6117.8"/>
    <x v="7"/>
    <s v="Apparel"/>
    <s v="Retail"/>
    <n v="61"/>
    <s v="East"/>
    <x v="1"/>
  </r>
  <r>
    <s v="ORD-00545"/>
    <n v="45610"/>
    <n v="10467.6"/>
    <x v="26"/>
    <s v="Sports"/>
    <s v="Corporate"/>
    <n v="56"/>
    <s v="East"/>
    <x v="4"/>
  </r>
  <r>
    <s v="ORD-00546"/>
    <n v="45638"/>
    <n v="11635.2"/>
    <x v="12"/>
    <s v="Sports"/>
    <s v="Retail"/>
    <n v="55"/>
    <s v="East"/>
    <x v="8"/>
  </r>
  <r>
    <s v="ORD-00547"/>
    <n v="45546"/>
    <n v="29657.040000000001"/>
    <x v="18"/>
    <s v="Home"/>
    <s v="SMB"/>
    <n v="42"/>
    <s v="South"/>
    <x v="0"/>
  </r>
  <r>
    <s v="ORD-00548"/>
    <n v="45436"/>
    <n v="38303.199999999997"/>
    <x v="15"/>
    <s v="Home"/>
    <s v="Corporate"/>
    <n v="32"/>
    <s v="South"/>
    <x v="3"/>
  </r>
  <r>
    <s v="ORD-00549"/>
    <n v="45532"/>
    <n v="5604.48"/>
    <x v="4"/>
    <s v="Sports"/>
    <s v="SMB"/>
    <n v="65"/>
    <s v="North"/>
    <x v="7"/>
  </r>
  <r>
    <s v="ORD-00550"/>
    <n v="45568"/>
    <n v="10628.64"/>
    <x v="8"/>
    <s v="Grocery"/>
    <s v="Corporate"/>
    <n v="55"/>
    <s v="West"/>
    <x v="9"/>
  </r>
  <r>
    <s v="ORD-00551"/>
    <n v="45572"/>
    <n v="11674.08"/>
    <x v="18"/>
    <s v="Electronics"/>
    <s v="Corporate"/>
    <n v="47"/>
    <s v="South"/>
    <x v="9"/>
  </r>
  <r>
    <s v="ORD-00552"/>
    <n v="45562"/>
    <n v="5687.64"/>
    <x v="18"/>
    <s v="Electronics"/>
    <s v="SMB"/>
    <n v="64"/>
    <s v="South"/>
    <x v="0"/>
  </r>
  <r>
    <s v="ORD-00553"/>
    <n v="45345"/>
    <n v="297.89999999999998"/>
    <x v="22"/>
    <s v="Electronics"/>
    <s v="Retail"/>
    <n v="27"/>
    <s v="South"/>
    <x v="1"/>
  </r>
  <r>
    <s v="ORD-00554"/>
    <n v="45370"/>
    <n v="1454.4"/>
    <x v="16"/>
    <s v="Sports"/>
    <s v="Retail"/>
    <n v="65"/>
    <s v="East"/>
    <x v="2"/>
  </r>
  <r>
    <s v="ORD-00555"/>
    <n v="45407"/>
    <n v="12896"/>
    <x v="23"/>
    <s v="Electronics"/>
    <s v="SMB"/>
    <n v="45"/>
    <s v="South"/>
    <x v="5"/>
  </r>
  <r>
    <s v="ORD-00556"/>
    <n v="45337"/>
    <n v="18592.259999999998"/>
    <x v="17"/>
    <s v="Sports"/>
    <s v="Retail"/>
    <n v="37"/>
    <s v="West"/>
    <x v="1"/>
  </r>
  <r>
    <s v="ORD-00557"/>
    <n v="45571"/>
    <n v="331.89"/>
    <x v="23"/>
    <s v="Home"/>
    <s v="SMB"/>
    <n v="44"/>
    <s v="South"/>
    <x v="9"/>
  </r>
  <r>
    <s v="ORD-00558"/>
    <n v="45357"/>
    <n v="5337.36"/>
    <x v="20"/>
    <s v="Grocery"/>
    <s v="Retail"/>
    <n v="39"/>
    <s v="West"/>
    <x v="2"/>
  </r>
  <r>
    <s v="ORD-00559"/>
    <n v="45432"/>
    <n v="4141.8999999999996"/>
    <x v="24"/>
    <s v="Grocery"/>
    <s v="SMB"/>
    <n v="49"/>
    <s v="East"/>
    <x v="3"/>
  </r>
  <r>
    <s v="ORD-00560"/>
    <n v="45604"/>
    <n v="6367.35"/>
    <x v="25"/>
    <s v="Grocery"/>
    <s v="Retail"/>
    <n v="31"/>
    <s v="North"/>
    <x v="4"/>
  </r>
  <r>
    <s v="ORD-00561"/>
    <n v="45467"/>
    <n v="12859"/>
    <x v="20"/>
    <s v="Beauty"/>
    <s v="SMB"/>
    <n v="46"/>
    <s v="West"/>
    <x v="6"/>
  </r>
  <r>
    <s v="ORD-00562"/>
    <n v="45649"/>
    <n v="8854.08"/>
    <x v="21"/>
    <s v="Grocery"/>
    <s v="Retail"/>
    <n v="36"/>
    <s v="East"/>
    <x v="8"/>
  </r>
  <r>
    <s v="ORD-00563"/>
    <n v="45332"/>
    <n v="4801.05"/>
    <x v="14"/>
    <s v="Grocery"/>
    <s v="Retail"/>
    <n v="23"/>
    <s v="West"/>
    <x v="1"/>
  </r>
  <r>
    <s v="ORD-00564"/>
    <n v="45418"/>
    <n v="23870.080000000002"/>
    <x v="15"/>
    <s v="Beauty"/>
    <s v="Corporate"/>
    <n v="41"/>
    <s v="South"/>
    <x v="3"/>
  </r>
  <r>
    <s v="ORD-00565"/>
    <n v="45490"/>
    <n v="11366.88"/>
    <x v="26"/>
    <s v="Grocery"/>
    <s v="Retail"/>
    <n v="62"/>
    <s v="East"/>
    <x v="10"/>
  </r>
  <r>
    <s v="ORD-00566"/>
    <n v="45470"/>
    <n v="5899"/>
    <x v="8"/>
    <s v="Sports"/>
    <s v="SMB"/>
    <n v="49"/>
    <s v="West"/>
    <x v="6"/>
  </r>
  <r>
    <s v="ORD-00567"/>
    <n v="45654"/>
    <n v="2351.44"/>
    <x v="9"/>
    <s v="Electronics"/>
    <s v="Retail"/>
    <n v="35"/>
    <s v="South"/>
    <x v="8"/>
  </r>
  <r>
    <s v="ORD-00568"/>
    <n v="45548"/>
    <n v="3429.92"/>
    <x v="22"/>
    <s v="Grocery"/>
    <s v="Retail"/>
    <n v="35"/>
    <s v="South"/>
    <x v="0"/>
  </r>
  <r>
    <s v="ORD-00569"/>
    <n v="45632"/>
    <n v="11456.69"/>
    <x v="25"/>
    <s v="Grocery"/>
    <s v="Retail"/>
    <n v="61"/>
    <s v="North"/>
    <x v="8"/>
  </r>
  <r>
    <s v="ORD-00570"/>
    <n v="45304"/>
    <n v="6973.04"/>
    <x v="29"/>
    <s v="Sports"/>
    <s v="Retail"/>
    <n v="53"/>
    <s v="South"/>
    <x v="11"/>
  </r>
  <r>
    <s v="ORD-00571"/>
    <n v="45330"/>
    <n v="16126.88"/>
    <x v="19"/>
    <s v="Grocery"/>
    <s v="Corporate"/>
    <n v="37"/>
    <s v="North"/>
    <x v="1"/>
  </r>
  <r>
    <s v="ORD-00572"/>
    <n v="45633"/>
    <n v="4601.3"/>
    <x v="26"/>
    <s v="Sports"/>
    <s v="SMB"/>
    <n v="36"/>
    <s v="East"/>
    <x v="8"/>
  </r>
  <r>
    <s v="ORD-00573"/>
    <n v="45480"/>
    <n v="23026.5"/>
    <x v="5"/>
    <s v="Beauty"/>
    <s v="SMB"/>
    <n v="34"/>
    <s v="West"/>
    <x v="10"/>
  </r>
  <r>
    <s v="ORD-00574"/>
    <n v="45402"/>
    <n v="7110.72"/>
    <x v="17"/>
    <s v="Beauty"/>
    <s v="Retail"/>
    <n v="32"/>
    <s v="West"/>
    <x v="5"/>
  </r>
  <r>
    <s v="ORD-00575"/>
    <n v="45478"/>
    <n v="7969.06"/>
    <x v="0"/>
    <s v="Grocery"/>
    <s v="SMB"/>
    <n v="40"/>
    <s v="North"/>
    <x v="10"/>
  </r>
  <r>
    <s v="ORD-00576"/>
    <n v="45358"/>
    <n v="15572.75"/>
    <x v="13"/>
    <s v="Home"/>
    <s v="SMB"/>
    <n v="47"/>
    <s v="East"/>
    <x v="2"/>
  </r>
  <r>
    <s v="ORD-00577"/>
    <n v="45589"/>
    <n v="2562.56"/>
    <x v="24"/>
    <s v="Sports"/>
    <s v="Corporate"/>
    <n v="46"/>
    <s v="East"/>
    <x v="9"/>
  </r>
  <r>
    <s v="ORD-00578"/>
    <n v="45507"/>
    <n v="14152"/>
    <x v="26"/>
    <s v="Beauty"/>
    <s v="SMB"/>
    <n v="39"/>
    <s v="East"/>
    <x v="7"/>
  </r>
  <r>
    <s v="ORD-00579"/>
    <n v="45470"/>
    <n v="6353.73"/>
    <x v="24"/>
    <s v="Grocery"/>
    <s v="Retail"/>
    <n v="32"/>
    <s v="East"/>
    <x v="6"/>
  </r>
  <r>
    <s v="ORD-00580"/>
    <n v="45589"/>
    <n v="39138.400000000001"/>
    <x v="0"/>
    <s v="Grocery"/>
    <s v="Retail"/>
    <n v="65"/>
    <s v="North"/>
    <x v="9"/>
  </r>
  <r>
    <s v="ORD-00581"/>
    <n v="45433"/>
    <n v="15037.44"/>
    <x v="10"/>
    <s v="Electronics"/>
    <s v="Retail"/>
    <n v="53"/>
    <s v="North"/>
    <x v="3"/>
  </r>
  <r>
    <s v="ORD-00582"/>
    <n v="45477"/>
    <n v="17478.78"/>
    <x v="27"/>
    <s v="Home"/>
    <s v="Retail"/>
    <n v="59"/>
    <s v="South"/>
    <x v="10"/>
  </r>
  <r>
    <s v="ORD-00583"/>
    <n v="45443"/>
    <n v="33866.82"/>
    <x v="3"/>
    <s v="Electronics"/>
    <s v="Retail"/>
    <n v="59"/>
    <s v="North"/>
    <x v="3"/>
  </r>
  <r>
    <s v="ORD-00584"/>
    <n v="45322"/>
    <n v="2646.15"/>
    <x v="28"/>
    <s v="Apparel"/>
    <s v="Retail"/>
    <n v="33"/>
    <s v="West"/>
    <x v="11"/>
  </r>
  <r>
    <s v="ORD-00585"/>
    <n v="45544"/>
    <n v="15595.2"/>
    <x v="21"/>
    <s v="Beauty"/>
    <s v="Corporate"/>
    <n v="55"/>
    <s v="East"/>
    <x v="0"/>
  </r>
  <r>
    <s v="ORD-00586"/>
    <n v="45609"/>
    <n v="14412.72"/>
    <x v="25"/>
    <s v="Home"/>
    <s v="Retail"/>
    <n v="42"/>
    <s v="North"/>
    <x v="4"/>
  </r>
  <r>
    <s v="ORD-00587"/>
    <n v="45491"/>
    <n v="26041.4"/>
    <x v="24"/>
    <s v="Electronics"/>
    <s v="Retail"/>
    <n v="41"/>
    <s v="East"/>
    <x v="10"/>
  </r>
  <r>
    <s v="ORD-00588"/>
    <n v="45373"/>
    <n v="12824.63"/>
    <x v="13"/>
    <s v="Grocery"/>
    <s v="SMB"/>
    <n v="40"/>
    <s v="East"/>
    <x v="2"/>
  </r>
  <r>
    <s v="ORD-00589"/>
    <n v="45607"/>
    <n v="19799.64"/>
    <x v="22"/>
    <s v="Sports"/>
    <s v="SMB"/>
    <n v="44"/>
    <s v="South"/>
    <x v="4"/>
  </r>
  <r>
    <s v="ORD-00590"/>
    <n v="45412"/>
    <n v="16052.76"/>
    <x v="20"/>
    <s v="Home"/>
    <s v="Retail"/>
    <n v="31"/>
    <s v="West"/>
    <x v="5"/>
  </r>
  <r>
    <s v="ORD-00591"/>
    <n v="45351"/>
    <n v="18697.14"/>
    <x v="22"/>
    <s v="Electronics"/>
    <s v="SMB"/>
    <n v="39"/>
    <s v="South"/>
    <x v="1"/>
  </r>
  <r>
    <s v="ORD-00592"/>
    <n v="45572"/>
    <n v="57463.199999999997"/>
    <x v="8"/>
    <s v="Sports"/>
    <s v="Retail"/>
    <n v="59"/>
    <s v="West"/>
    <x v="9"/>
  </r>
  <r>
    <s v="ORD-00593"/>
    <n v="45402"/>
    <n v="2995.38"/>
    <x v="3"/>
    <s v="Electronics"/>
    <s v="Corporate"/>
    <n v="47"/>
    <s v="North"/>
    <x v="5"/>
  </r>
  <r>
    <s v="ORD-00594"/>
    <n v="45503"/>
    <n v="2351.13"/>
    <x v="4"/>
    <s v="Home"/>
    <s v="Retail"/>
    <n v="41"/>
    <s v="North"/>
    <x v="10"/>
  </r>
  <r>
    <s v="ORD-00595"/>
    <n v="45524"/>
    <n v="4908.8"/>
    <x v="19"/>
    <s v="Electronics"/>
    <s v="Retail"/>
    <n v="61"/>
    <s v="North"/>
    <x v="7"/>
  </r>
  <r>
    <s v="ORD-00596"/>
    <n v="45425"/>
    <n v="3006.72"/>
    <x v="16"/>
    <s v="Sports"/>
    <s v="SMB"/>
    <n v="59"/>
    <s v="East"/>
    <x v="3"/>
  </r>
  <r>
    <s v="ORD-00597"/>
    <n v="45533"/>
    <n v="1720.5"/>
    <x v="17"/>
    <s v="Home"/>
    <s v="Retail"/>
    <n v="54"/>
    <s v="West"/>
    <x v="7"/>
  </r>
  <r>
    <s v="ORD-00598"/>
    <n v="45649"/>
    <n v="19354.8"/>
    <x v="3"/>
    <s v="Home"/>
    <s v="SMB"/>
    <n v="34"/>
    <s v="North"/>
    <x v="8"/>
  </r>
  <r>
    <s v="ORD-00599"/>
    <n v="45375"/>
    <n v="7230.3"/>
    <x v="11"/>
    <s v="Beauty"/>
    <s v="Retail"/>
    <n v="62"/>
    <s v="North"/>
    <x v="2"/>
  </r>
  <r>
    <s v="ORD-00600"/>
    <n v="45342"/>
    <n v="15826.44"/>
    <x v="15"/>
    <s v="Grocery"/>
    <s v="Retail"/>
    <n v="37"/>
    <s v="South"/>
    <x v="1"/>
  </r>
  <r>
    <s v="ORD-00601"/>
    <n v="45441"/>
    <n v="1848.96"/>
    <x v="15"/>
    <s v="Sports"/>
    <s v="Retail"/>
    <n v="52"/>
    <s v="South"/>
    <x v="3"/>
  </r>
  <r>
    <s v="ORD-00602"/>
    <n v="45410"/>
    <n v="8408.4"/>
    <x v="28"/>
    <s v="Electronics"/>
    <s v="SMB"/>
    <n v="53"/>
    <s v="West"/>
    <x v="5"/>
  </r>
  <r>
    <s v="ORD-00603"/>
    <n v="45588"/>
    <n v="27910.5"/>
    <x v="3"/>
    <s v="Beauty"/>
    <s v="Retail"/>
    <n v="29"/>
    <s v="North"/>
    <x v="9"/>
  </r>
  <r>
    <s v="ORD-00604"/>
    <n v="45412"/>
    <n v="8110.56"/>
    <x v="17"/>
    <s v="Electronics"/>
    <s v="SMB"/>
    <n v="30"/>
    <s v="West"/>
    <x v="5"/>
  </r>
  <r>
    <s v="ORD-00605"/>
    <n v="45439"/>
    <n v="20642.04"/>
    <x v="16"/>
    <s v="Grocery"/>
    <s v="Retail"/>
    <n v="47"/>
    <s v="East"/>
    <x v="3"/>
  </r>
  <r>
    <s v="ORD-00606"/>
    <n v="45593"/>
    <n v="17728.2"/>
    <x v="21"/>
    <s v="Beauty"/>
    <s v="SMB"/>
    <n v="54"/>
    <s v="East"/>
    <x v="9"/>
  </r>
  <r>
    <s v="ORD-00607"/>
    <n v="45570"/>
    <n v="26560.799999999999"/>
    <x v="22"/>
    <s v="Beauty"/>
    <s v="SMB"/>
    <n v="34"/>
    <s v="South"/>
    <x v="9"/>
  </r>
  <r>
    <s v="ORD-00608"/>
    <n v="45474"/>
    <n v="11689.92"/>
    <x v="28"/>
    <s v="Electronics"/>
    <s v="Retail"/>
    <n v="49"/>
    <s v="West"/>
    <x v="10"/>
  </r>
  <r>
    <s v="ORD-00609"/>
    <n v="45524"/>
    <n v="2938.98"/>
    <x v="29"/>
    <s v="Grocery"/>
    <s v="Retail"/>
    <n v="39"/>
    <s v="South"/>
    <x v="7"/>
  </r>
  <r>
    <s v="ORD-00610"/>
    <n v="45468"/>
    <n v="1448.55"/>
    <x v="28"/>
    <s v="Home"/>
    <s v="Retail"/>
    <n v="44"/>
    <s v="West"/>
    <x v="6"/>
  </r>
  <r>
    <s v="ORD-00611"/>
    <n v="45336"/>
    <n v="2783.8"/>
    <x v="5"/>
    <s v="Apparel"/>
    <s v="SMB"/>
    <n v="28"/>
    <s v="West"/>
    <x v="1"/>
  </r>
  <r>
    <s v="ORD-00612"/>
    <n v="45392"/>
    <n v="3669.76"/>
    <x v="26"/>
    <s v="Sports"/>
    <s v="Retail"/>
    <n v="65"/>
    <s v="East"/>
    <x v="5"/>
  </r>
  <r>
    <s v="ORD-00613"/>
    <n v="45610"/>
    <n v="5441.04"/>
    <x v="1"/>
    <s v="Beauty"/>
    <s v="Retail"/>
    <n v="40"/>
    <s v="North"/>
    <x v="4"/>
  </r>
  <r>
    <s v="ORD-00614"/>
    <n v="45297"/>
    <n v="2734.08"/>
    <x v="6"/>
    <s v="Sports"/>
    <s v="SMB"/>
    <n v="53"/>
    <s v="West"/>
    <x v="11"/>
  </r>
  <r>
    <s v="ORD-00615"/>
    <n v="45558"/>
    <n v="16122.3"/>
    <x v="9"/>
    <s v="Grocery"/>
    <s v="Retail"/>
    <n v="65"/>
    <s v="South"/>
    <x v="0"/>
  </r>
  <r>
    <s v="ORD-00616"/>
    <n v="45487"/>
    <n v="15636.6"/>
    <x v="7"/>
    <s v="Electronics"/>
    <s v="SMB"/>
    <n v="65"/>
    <s v="East"/>
    <x v="10"/>
  </r>
  <r>
    <s v="ORD-00617"/>
    <n v="45307"/>
    <n v="13994.82"/>
    <x v="21"/>
    <s v="Home"/>
    <s v="Retail"/>
    <n v="36"/>
    <s v="East"/>
    <x v="11"/>
  </r>
  <r>
    <s v="ORD-00618"/>
    <n v="45328"/>
    <n v="16907.52"/>
    <x v="6"/>
    <s v="Apparel"/>
    <s v="SMB"/>
    <n v="44"/>
    <s v="West"/>
    <x v="1"/>
  </r>
  <r>
    <s v="ORD-00619"/>
    <n v="45627"/>
    <n v="6704.46"/>
    <x v="4"/>
    <s v="Electronics"/>
    <s v="Retail"/>
    <n v="56"/>
    <s v="North"/>
    <x v="8"/>
  </r>
  <r>
    <s v="ORD-00620"/>
    <n v="45574"/>
    <n v="10068"/>
    <x v="19"/>
    <s v="Sports"/>
    <s v="Retail"/>
    <n v="36"/>
    <s v="North"/>
    <x v="9"/>
  </r>
  <r>
    <s v="ORD-00621"/>
    <n v="45592"/>
    <n v="6583"/>
    <x v="25"/>
    <s v="Grocery"/>
    <s v="SMB"/>
    <n v="53"/>
    <s v="North"/>
    <x v="9"/>
  </r>
  <r>
    <s v="ORD-00622"/>
    <n v="45509"/>
    <n v="846.81"/>
    <x v="27"/>
    <s v="Grocery"/>
    <s v="Corporate"/>
    <n v="46"/>
    <s v="South"/>
    <x v="7"/>
  </r>
  <r>
    <s v="ORD-00623"/>
    <n v="45307"/>
    <n v="29078.6"/>
    <x v="26"/>
    <s v="Sports"/>
    <s v="SMB"/>
    <n v="43"/>
    <s v="East"/>
    <x v="11"/>
  </r>
  <r>
    <s v="ORD-00624"/>
    <n v="45586"/>
    <n v="23568.240000000002"/>
    <x v="18"/>
    <s v="Sports"/>
    <s v="Retail"/>
    <n v="53"/>
    <s v="South"/>
    <x v="9"/>
  </r>
  <r>
    <s v="ORD-00625"/>
    <n v="45587"/>
    <n v="992.83"/>
    <x v="3"/>
    <s v="Sports"/>
    <s v="Retail"/>
    <n v="25"/>
    <s v="North"/>
    <x v="9"/>
  </r>
  <r>
    <s v="ORD-00626"/>
    <n v="45609"/>
    <n v="20387.16"/>
    <x v="0"/>
    <s v="Electronics"/>
    <s v="Retail"/>
    <n v="35"/>
    <s v="North"/>
    <x v="4"/>
  </r>
  <r>
    <s v="ORD-00627"/>
    <n v="45316"/>
    <n v="33782.400000000001"/>
    <x v="23"/>
    <s v="Beauty"/>
    <s v="SMB"/>
    <n v="48"/>
    <s v="South"/>
    <x v="11"/>
  </r>
  <r>
    <s v="ORD-00628"/>
    <n v="45451"/>
    <n v="5473.12"/>
    <x v="4"/>
    <s v="Apparel"/>
    <s v="Retail"/>
    <n v="65"/>
    <s v="North"/>
    <x v="6"/>
  </r>
  <r>
    <s v="ORD-00629"/>
    <n v="45554"/>
    <n v="13083.2"/>
    <x v="23"/>
    <s v="Grocery"/>
    <s v="SMB"/>
    <n v="47"/>
    <s v="South"/>
    <x v="0"/>
  </r>
  <r>
    <s v="ORD-00630"/>
    <n v="45567"/>
    <n v="15130"/>
    <x v="17"/>
    <s v="Apparel"/>
    <s v="SMB"/>
    <n v="53"/>
    <s v="West"/>
    <x v="9"/>
  </r>
  <r>
    <s v="ORD-00631"/>
    <n v="45633"/>
    <n v="5220.3999999999996"/>
    <x v="9"/>
    <s v="Apparel"/>
    <s v="Retail"/>
    <n v="27"/>
    <s v="South"/>
    <x v="8"/>
  </r>
  <r>
    <s v="ORD-00632"/>
    <n v="45588"/>
    <n v="8122.68"/>
    <x v="25"/>
    <s v="Grocery"/>
    <s v="Retail"/>
    <n v="65"/>
    <s v="North"/>
    <x v="9"/>
  </r>
  <r>
    <s v="ORD-00633"/>
    <n v="45634"/>
    <n v="7181.1"/>
    <x v="1"/>
    <s v="Sports"/>
    <s v="SMB"/>
    <n v="50"/>
    <s v="North"/>
    <x v="8"/>
  </r>
  <r>
    <s v="ORD-00634"/>
    <n v="45352"/>
    <n v="3286.92"/>
    <x v="25"/>
    <s v="Apparel"/>
    <s v="SMB"/>
    <n v="40"/>
    <s v="North"/>
    <x v="2"/>
  </r>
  <r>
    <s v="ORD-00635"/>
    <n v="45489"/>
    <n v="697"/>
    <x v="9"/>
    <s v="Apparel"/>
    <s v="SMB"/>
    <n v="52"/>
    <s v="South"/>
    <x v="10"/>
  </r>
  <r>
    <s v="ORD-00636"/>
    <n v="45342"/>
    <n v="12084.8"/>
    <x v="23"/>
    <s v="Apparel"/>
    <s v="Retail"/>
    <n v="49"/>
    <s v="South"/>
    <x v="1"/>
  </r>
  <r>
    <s v="ORD-00637"/>
    <n v="45425"/>
    <n v="12411.7"/>
    <x v="25"/>
    <s v="Grocery"/>
    <s v="Corporate"/>
    <n v="42"/>
    <s v="North"/>
    <x v="3"/>
  </r>
  <r>
    <s v="ORD-00638"/>
    <n v="45598"/>
    <n v="643.5"/>
    <x v="4"/>
    <s v="Home"/>
    <s v="Retail"/>
    <n v="36"/>
    <s v="North"/>
    <x v="4"/>
  </r>
  <r>
    <s v="ORD-00639"/>
    <n v="45353"/>
    <n v="21590.73"/>
    <x v="16"/>
    <s v="Electronics"/>
    <s v="Retail"/>
    <n v="35"/>
    <s v="East"/>
    <x v="2"/>
  </r>
  <r>
    <s v="ORD-00640"/>
    <n v="45542"/>
    <n v="3651.9"/>
    <x v="29"/>
    <s v="Home"/>
    <s v="Retail"/>
    <n v="24"/>
    <s v="South"/>
    <x v="0"/>
  </r>
  <r>
    <s v="ORD-00641"/>
    <n v="45365"/>
    <n v="3569.32"/>
    <x v="26"/>
    <s v="Apparel"/>
    <s v="SMB"/>
    <n v="40"/>
    <s v="East"/>
    <x v="2"/>
  </r>
  <r>
    <s v="ORD-00642"/>
    <n v="45574"/>
    <n v="21226.799999999999"/>
    <x v="1"/>
    <s v="Electronics"/>
    <s v="Retail"/>
    <n v="55"/>
    <s v="North"/>
    <x v="9"/>
  </r>
  <r>
    <s v="ORD-00643"/>
    <n v="45614"/>
    <n v="25840.5"/>
    <x v="15"/>
    <s v="Sports"/>
    <s v="Corporate"/>
    <n v="55"/>
    <s v="South"/>
    <x v="4"/>
  </r>
  <r>
    <s v="ORD-00644"/>
    <n v="45629"/>
    <n v="11875.5"/>
    <x v="22"/>
    <s v="Grocery"/>
    <s v="Corporate"/>
    <n v="31"/>
    <s v="South"/>
    <x v="8"/>
  </r>
  <r>
    <s v="ORD-00645"/>
    <n v="45294"/>
    <n v="2689.92"/>
    <x v="13"/>
    <s v="Sports"/>
    <s v="Corporate"/>
    <n v="55"/>
    <s v="East"/>
    <x v="11"/>
  </r>
  <r>
    <s v="ORD-00646"/>
    <n v="45418"/>
    <n v="8841.84"/>
    <x v="4"/>
    <s v="Electronics"/>
    <s v="SMB"/>
    <n v="43"/>
    <s v="North"/>
    <x v="3"/>
  </r>
  <r>
    <s v="ORD-00647"/>
    <n v="45369"/>
    <n v="11345.46"/>
    <x v="26"/>
    <s v="Grocery"/>
    <s v="SMB"/>
    <n v="65"/>
    <s v="East"/>
    <x v="2"/>
  </r>
  <r>
    <s v="ORD-00648"/>
    <n v="45549"/>
    <n v="14836.5"/>
    <x v="5"/>
    <s v="Grocery"/>
    <s v="SMB"/>
    <n v="28"/>
    <s v="West"/>
    <x v="0"/>
  </r>
  <r>
    <s v="ORD-00649"/>
    <n v="45505"/>
    <n v="5359.2"/>
    <x v="7"/>
    <s v="Home"/>
    <s v="Retail"/>
    <n v="55"/>
    <s v="East"/>
    <x v="7"/>
  </r>
  <r>
    <s v="ORD-00650"/>
    <n v="45413"/>
    <n v="31667.7"/>
    <x v="6"/>
    <s v="Home"/>
    <s v="Corporate"/>
    <n v="40"/>
    <s v="West"/>
    <x v="3"/>
  </r>
  <r>
    <s v="ORD-00651"/>
    <n v="45559"/>
    <n v="19463.64"/>
    <x v="13"/>
    <s v="Grocery"/>
    <s v="SMB"/>
    <n v="27"/>
    <s v="East"/>
    <x v="0"/>
  </r>
  <r>
    <s v="ORD-00652"/>
    <n v="45525"/>
    <n v="3736.42"/>
    <x v="11"/>
    <s v="Grocery"/>
    <s v="SMB"/>
    <n v="36"/>
    <s v="North"/>
    <x v="7"/>
  </r>
  <r>
    <s v="ORD-00653"/>
    <n v="45610"/>
    <n v="22523.13"/>
    <x v="8"/>
    <s v="Electronics"/>
    <s v="SMB"/>
    <n v="48"/>
    <s v="West"/>
    <x v="4"/>
  </r>
  <r>
    <s v="ORD-00654"/>
    <n v="45521"/>
    <n v="11602.5"/>
    <x v="10"/>
    <s v="Grocery"/>
    <s v="Retail"/>
    <n v="52"/>
    <s v="North"/>
    <x v="7"/>
  </r>
  <r>
    <s v="ORD-00655"/>
    <n v="45381"/>
    <n v="1762.56"/>
    <x v="17"/>
    <s v="Sports"/>
    <s v="SMB"/>
    <n v="43"/>
    <s v="West"/>
    <x v="2"/>
  </r>
  <r>
    <s v="ORD-00656"/>
    <n v="45401"/>
    <n v="24358.32"/>
    <x v="17"/>
    <s v="Sports"/>
    <s v="Corporate"/>
    <n v="22"/>
    <s v="West"/>
    <x v="5"/>
  </r>
  <r>
    <s v="ORD-00657"/>
    <n v="45581"/>
    <n v="9322.7999999999993"/>
    <x v="2"/>
    <s v="Beauty"/>
    <s v="Corporate"/>
    <n v="44"/>
    <s v="South"/>
    <x v="9"/>
  </r>
  <r>
    <s v="ORD-00658"/>
    <n v="45414"/>
    <n v="8273.2800000000007"/>
    <x v="13"/>
    <s v="Apparel"/>
    <s v="SMB"/>
    <n v="26"/>
    <s v="East"/>
    <x v="3"/>
  </r>
  <r>
    <s v="ORD-00659"/>
    <n v="45443"/>
    <n v="9234"/>
    <x v="26"/>
    <s v="Home"/>
    <s v="Corporate"/>
    <n v="46"/>
    <s v="East"/>
    <x v="3"/>
  </r>
  <r>
    <s v="ORD-00660"/>
    <n v="45377"/>
    <n v="14378"/>
    <x v="20"/>
    <s v="Electronics"/>
    <s v="Retail"/>
    <n v="40"/>
    <s v="West"/>
    <x v="2"/>
  </r>
  <r>
    <s v="ORD-00661"/>
    <n v="45622"/>
    <n v="16980.599999999999"/>
    <x v="15"/>
    <s v="Electronics"/>
    <s v="Retail"/>
    <n v="36"/>
    <s v="South"/>
    <x v="4"/>
  </r>
  <r>
    <s v="ORD-00662"/>
    <n v="45403"/>
    <n v="5392.32"/>
    <x v="12"/>
    <s v="Apparel"/>
    <s v="SMB"/>
    <n v="50"/>
    <s v="East"/>
    <x v="5"/>
  </r>
  <r>
    <s v="ORD-00663"/>
    <n v="45532"/>
    <n v="2367.36"/>
    <x v="18"/>
    <s v="Sports"/>
    <s v="Retail"/>
    <n v="49"/>
    <s v="South"/>
    <x v="7"/>
  </r>
  <r>
    <s v="ORD-00664"/>
    <n v="45301"/>
    <n v="3024.56"/>
    <x v="12"/>
    <s v="Beauty"/>
    <s v="Corporate"/>
    <n v="55"/>
    <s v="East"/>
    <x v="11"/>
  </r>
  <r>
    <s v="ORD-00665"/>
    <n v="45622"/>
    <n v="33693.699999999997"/>
    <x v="14"/>
    <s v="Sports"/>
    <s v="SMB"/>
    <n v="44"/>
    <s v="West"/>
    <x v="4"/>
  </r>
  <r>
    <s v="ORD-00666"/>
    <n v="45531"/>
    <n v="5482.4"/>
    <x v="22"/>
    <s v="Beauty"/>
    <s v="SMB"/>
    <n v="53"/>
    <s v="South"/>
    <x v="7"/>
  </r>
  <r>
    <s v="ORD-00667"/>
    <n v="45326"/>
    <n v="23543.759999999998"/>
    <x v="27"/>
    <s v="Home"/>
    <s v="Retail"/>
    <n v="53"/>
    <s v="South"/>
    <x v="1"/>
  </r>
  <r>
    <s v="ORD-00668"/>
    <n v="45635"/>
    <n v="19088.16"/>
    <x v="12"/>
    <s v="Grocery"/>
    <s v="Retail"/>
    <n v="34"/>
    <s v="East"/>
    <x v="8"/>
  </r>
  <r>
    <s v="ORD-00669"/>
    <n v="45431"/>
    <n v="9730.4699999999993"/>
    <x v="16"/>
    <s v="Electronics"/>
    <s v="Corporate"/>
    <n v="51"/>
    <s v="East"/>
    <x v="3"/>
  </r>
  <r>
    <s v="ORD-00670"/>
    <n v="45393"/>
    <n v="11400.48"/>
    <x v="12"/>
    <s v="Grocery"/>
    <s v="SMB"/>
    <n v="28"/>
    <s v="East"/>
    <x v="5"/>
  </r>
  <r>
    <s v="ORD-00671"/>
    <n v="45295"/>
    <n v="23718.400000000001"/>
    <x v="4"/>
    <s v="Apparel"/>
    <s v="Retail"/>
    <n v="52"/>
    <s v="North"/>
    <x v="11"/>
  </r>
  <r>
    <s v="ORD-00672"/>
    <n v="45371"/>
    <n v="18678.849999999999"/>
    <x v="21"/>
    <s v="Electronics"/>
    <s v="Retail"/>
    <n v="49"/>
    <s v="East"/>
    <x v="2"/>
  </r>
  <r>
    <s v="ORD-00673"/>
    <n v="45601"/>
    <n v="1982.76"/>
    <x v="23"/>
    <s v="Apparel"/>
    <s v="SMB"/>
    <n v="39"/>
    <s v="South"/>
    <x v="4"/>
  </r>
  <r>
    <s v="ORD-00674"/>
    <n v="45471"/>
    <n v="3910.34"/>
    <x v="9"/>
    <s v="Apparel"/>
    <s v="Retail"/>
    <n v="37"/>
    <s v="South"/>
    <x v="6"/>
  </r>
  <r>
    <s v="ORD-00675"/>
    <n v="45318"/>
    <n v="14967.44"/>
    <x v="28"/>
    <s v="Beauty"/>
    <s v="Retail"/>
    <n v="31"/>
    <s v="West"/>
    <x v="11"/>
  </r>
  <r>
    <s v="ORD-00676"/>
    <n v="45364"/>
    <n v="2374.56"/>
    <x v="5"/>
    <s v="Grocery"/>
    <s v="Corporate"/>
    <n v="41"/>
    <s v="West"/>
    <x v="2"/>
  </r>
  <r>
    <s v="ORD-00677"/>
    <n v="45419"/>
    <n v="674.14"/>
    <x v="2"/>
    <s v="Home"/>
    <s v="Retail"/>
    <n v="47"/>
    <s v="South"/>
    <x v="3"/>
  </r>
  <r>
    <s v="ORD-00678"/>
    <n v="45632"/>
    <n v="1345.63"/>
    <x v="0"/>
    <s v="Electronics"/>
    <s v="SMB"/>
    <n v="26"/>
    <s v="North"/>
    <x v="8"/>
  </r>
  <r>
    <s v="ORD-00679"/>
    <n v="45494"/>
    <n v="3403.2"/>
    <x v="14"/>
    <s v="Sports"/>
    <s v="Retail"/>
    <n v="37"/>
    <s v="West"/>
    <x v="10"/>
  </r>
  <r>
    <s v="ORD-00680"/>
    <n v="45337"/>
    <n v="12097.8"/>
    <x v="23"/>
    <s v="Electronics"/>
    <s v="SMB"/>
    <n v="53"/>
    <s v="South"/>
    <x v="1"/>
  </r>
  <r>
    <s v="ORD-00681"/>
    <n v="45510"/>
    <n v="16167.68"/>
    <x v="0"/>
    <s v="Apparel"/>
    <s v="SMB"/>
    <n v="48"/>
    <s v="North"/>
    <x v="7"/>
  </r>
  <r>
    <s v="ORD-00682"/>
    <n v="45572"/>
    <n v="30938.52"/>
    <x v="28"/>
    <s v="Sports"/>
    <s v="Retail"/>
    <n v="24"/>
    <s v="West"/>
    <x v="9"/>
  </r>
  <r>
    <s v="ORD-00683"/>
    <n v="45472"/>
    <n v="7634.58"/>
    <x v="0"/>
    <s v="Apparel"/>
    <s v="Corporate"/>
    <n v="42"/>
    <s v="North"/>
    <x v="6"/>
  </r>
  <r>
    <s v="ORD-00684"/>
    <n v="45615"/>
    <n v="15966.72"/>
    <x v="5"/>
    <s v="Electronics"/>
    <s v="SMB"/>
    <n v="53"/>
    <s v="West"/>
    <x v="4"/>
  </r>
  <r>
    <s v="ORD-00685"/>
    <n v="45349"/>
    <n v="14246.55"/>
    <x v="3"/>
    <s v="Home"/>
    <s v="Retail"/>
    <n v="56"/>
    <s v="North"/>
    <x v="1"/>
  </r>
  <r>
    <s v="ORD-00686"/>
    <n v="45413"/>
    <n v="13822.68"/>
    <x v="21"/>
    <s v="Home"/>
    <s v="SMB"/>
    <n v="39"/>
    <s v="East"/>
    <x v="3"/>
  </r>
  <r>
    <s v="ORD-00687"/>
    <n v="45515"/>
    <n v="6924.96"/>
    <x v="14"/>
    <s v="Beauty"/>
    <s v="SMB"/>
    <n v="28"/>
    <s v="West"/>
    <x v="7"/>
  </r>
  <r>
    <s v="ORD-00688"/>
    <n v="45463"/>
    <n v="17539.2"/>
    <x v="23"/>
    <s v="Home"/>
    <s v="Retail"/>
    <n v="22"/>
    <s v="South"/>
    <x v="6"/>
  </r>
  <r>
    <s v="ORD-00689"/>
    <n v="45607"/>
    <n v="11997.7"/>
    <x v="27"/>
    <s v="Electronics"/>
    <s v="SMB"/>
    <n v="61"/>
    <s v="South"/>
    <x v="4"/>
  </r>
  <r>
    <s v="ORD-00690"/>
    <n v="45357"/>
    <n v="2921.94"/>
    <x v="18"/>
    <s v="Grocery"/>
    <s v="SMB"/>
    <n v="54"/>
    <s v="South"/>
    <x v="2"/>
  </r>
  <r>
    <s v="ORD-00691"/>
    <n v="45443"/>
    <n v="27365.599999999999"/>
    <x v="13"/>
    <s v="Apparel"/>
    <s v="Retail"/>
    <n v="50"/>
    <s v="East"/>
    <x v="3"/>
  </r>
  <r>
    <s v="ORD-00692"/>
    <n v="45422"/>
    <n v="2648.36"/>
    <x v="11"/>
    <s v="Electronics"/>
    <s v="Retail"/>
    <n v="65"/>
    <s v="North"/>
    <x v="3"/>
  </r>
  <r>
    <s v="ORD-00693"/>
    <n v="45640"/>
    <n v="15231.2"/>
    <x v="3"/>
    <s v="Apparel"/>
    <s v="SMB"/>
    <n v="64"/>
    <s v="North"/>
    <x v="8"/>
  </r>
  <r>
    <s v="ORD-00694"/>
    <n v="45521"/>
    <n v="3288.44"/>
    <x v="10"/>
    <s v="Beauty"/>
    <s v="Retail"/>
    <n v="36"/>
    <s v="North"/>
    <x v="7"/>
  </r>
  <r>
    <s v="ORD-00695"/>
    <n v="45366"/>
    <n v="14127.75"/>
    <x v="15"/>
    <s v="Apparel"/>
    <s v="Retail"/>
    <n v="36"/>
    <s v="South"/>
    <x v="2"/>
  </r>
  <r>
    <s v="ORD-00696"/>
    <n v="45439"/>
    <n v="2894.28"/>
    <x v="19"/>
    <s v="Apparel"/>
    <s v="Retail"/>
    <n v="51"/>
    <s v="North"/>
    <x v="3"/>
  </r>
  <r>
    <s v="ORD-00697"/>
    <n v="45426"/>
    <n v="17604"/>
    <x v="18"/>
    <s v="Sports"/>
    <s v="Corporate"/>
    <n v="46"/>
    <s v="South"/>
    <x v="3"/>
  </r>
  <r>
    <s v="ORD-00698"/>
    <n v="45415"/>
    <n v="32426.73"/>
    <x v="12"/>
    <s v="Electronics"/>
    <s v="Retail"/>
    <n v="60"/>
    <s v="East"/>
    <x v="3"/>
  </r>
  <r>
    <s v="ORD-00699"/>
    <n v="45620"/>
    <n v="16158.9"/>
    <x v="24"/>
    <s v="Grocery"/>
    <s v="Retail"/>
    <n v="53"/>
    <s v="East"/>
    <x v="4"/>
  </r>
  <r>
    <s v="ORD-00700"/>
    <n v="45346"/>
    <n v="3564"/>
    <x v="14"/>
    <s v="Home"/>
    <s v="Corporate"/>
    <n v="24"/>
    <s v="West"/>
    <x v="1"/>
  </r>
  <r>
    <s v="ORD-01185"/>
    <n v="45297"/>
    <n v="16374.96"/>
    <x v="3"/>
    <s v="Sports"/>
    <s v="Retail"/>
    <n v="52"/>
    <s v="North"/>
    <x v="11"/>
  </r>
  <r>
    <s v="ORD-00702"/>
    <n v="45521"/>
    <n v="16725.12"/>
    <x v="24"/>
    <s v="Apparel"/>
    <s v="SMB"/>
    <n v="54"/>
    <s v="East"/>
    <x v="7"/>
  </r>
  <r>
    <s v="ORD-00703"/>
    <n v="45409"/>
    <n v="10089.9"/>
    <x v="2"/>
    <s v="Sports"/>
    <s v="SMB"/>
    <n v="54"/>
    <s v="South"/>
    <x v="5"/>
  </r>
  <r>
    <s v="ORD-00704"/>
    <n v="45406"/>
    <n v="1394.49"/>
    <x v="15"/>
    <s v="Sports"/>
    <s v="Retail"/>
    <n v="63"/>
    <s v="South"/>
    <x v="5"/>
  </r>
  <r>
    <s v="ORD-00705"/>
    <n v="45474"/>
    <n v="7527.32"/>
    <x v="7"/>
    <s v="Grocery"/>
    <s v="Retail"/>
    <n v="24"/>
    <s v="East"/>
    <x v="10"/>
  </r>
  <r>
    <s v="ORD-00706"/>
    <n v="45588"/>
    <n v="16016.28"/>
    <x v="9"/>
    <s v="Grocery"/>
    <s v="Retail"/>
    <n v="53"/>
    <s v="South"/>
    <x v="9"/>
  </r>
  <r>
    <s v="ORD-00707"/>
    <n v="45530"/>
    <n v="19333.8"/>
    <x v="4"/>
    <s v="Sports"/>
    <s v="Retail"/>
    <n v="41"/>
    <s v="North"/>
    <x v="7"/>
  </r>
  <r>
    <s v="ORD-00708"/>
    <n v="45630"/>
    <n v="27171.84"/>
    <x v="0"/>
    <s v="Grocery"/>
    <s v="Retail"/>
    <n v="22"/>
    <s v="North"/>
    <x v="8"/>
  </r>
  <r>
    <s v="ORD-00709"/>
    <n v="45551"/>
    <n v="3694.16"/>
    <x v="14"/>
    <s v="Electronics"/>
    <s v="Retail"/>
    <n v="39"/>
    <s v="West"/>
    <x v="0"/>
  </r>
  <r>
    <s v="ORD-00710"/>
    <n v="45610"/>
    <n v="10722.62"/>
    <x v="0"/>
    <s v="Sports"/>
    <s v="SMB"/>
    <n v="28"/>
    <s v="North"/>
    <x v="4"/>
  </r>
  <r>
    <s v="ORD-00711"/>
    <n v="45322"/>
    <n v="7592.2"/>
    <x v="18"/>
    <s v="Home"/>
    <s v="Retail"/>
    <n v="22"/>
    <s v="South"/>
    <x v="11"/>
  </r>
  <r>
    <s v="ORD-00712"/>
    <n v="45363"/>
    <n v="5941.4"/>
    <x v="27"/>
    <s v="Electronics"/>
    <s v="Retail"/>
    <n v="26"/>
    <s v="South"/>
    <x v="2"/>
  </r>
  <r>
    <s v="ORD-00713"/>
    <n v="45600"/>
    <n v="8607.76"/>
    <x v="3"/>
    <s v="Electronics"/>
    <s v="Corporate"/>
    <n v="55"/>
    <s v="North"/>
    <x v="4"/>
  </r>
  <r>
    <s v="ORD-00714"/>
    <n v="45351"/>
    <n v="9133.08"/>
    <x v="29"/>
    <s v="Grocery"/>
    <s v="SMB"/>
    <n v="42"/>
    <s v="South"/>
    <x v="1"/>
  </r>
  <r>
    <s v="ORD-00715"/>
    <n v="45461"/>
    <n v="9571.2000000000007"/>
    <x v="2"/>
    <s v="Beauty"/>
    <s v="Retail"/>
    <n v="31"/>
    <s v="South"/>
    <x v="6"/>
  </r>
  <r>
    <s v="ORD-00716"/>
    <n v="45431"/>
    <n v="5229.46"/>
    <x v="20"/>
    <s v="Home"/>
    <s v="Corporate"/>
    <n v="49"/>
    <s v="West"/>
    <x v="3"/>
  </r>
  <r>
    <s v="ORD-00717"/>
    <n v="45592"/>
    <n v="8475.84"/>
    <x v="10"/>
    <s v="Sports"/>
    <s v="SMB"/>
    <n v="62"/>
    <s v="North"/>
    <x v="9"/>
  </r>
  <r>
    <s v="ORD-00718"/>
    <n v="45454"/>
    <n v="5319.9"/>
    <x v="10"/>
    <s v="Apparel"/>
    <s v="Retail"/>
    <n v="38"/>
    <s v="North"/>
    <x v="6"/>
  </r>
  <r>
    <s v="ORD-00719"/>
    <n v="45616"/>
    <n v="13714.35"/>
    <x v="9"/>
    <s v="Sports"/>
    <s v="Corporate"/>
    <n v="41"/>
    <s v="South"/>
    <x v="4"/>
  </r>
  <r>
    <s v="ORD-00720"/>
    <n v="45448"/>
    <n v="21868.799999999999"/>
    <x v="7"/>
    <s v="Beauty"/>
    <s v="SMB"/>
    <n v="65"/>
    <s v="East"/>
    <x v="6"/>
  </r>
  <r>
    <s v="ORD-00721"/>
    <n v="45611"/>
    <n v="11247.2"/>
    <x v="4"/>
    <s v="Apparel"/>
    <s v="Retail"/>
    <n v="53"/>
    <s v="North"/>
    <x v="4"/>
  </r>
  <r>
    <s v="ORD-00722"/>
    <n v="45403"/>
    <n v="20847.36"/>
    <x v="21"/>
    <s v="Grocery"/>
    <s v="Retail"/>
    <n v="27"/>
    <s v="East"/>
    <x v="5"/>
  </r>
  <r>
    <s v="ORD-00723"/>
    <n v="45530"/>
    <n v="1369.8"/>
    <x v="22"/>
    <s v="Electronics"/>
    <s v="SMB"/>
    <n v="59"/>
    <s v="South"/>
    <x v="7"/>
  </r>
  <r>
    <s v="ORD-00724"/>
    <n v="45548"/>
    <n v="6705.12"/>
    <x v="17"/>
    <s v="Beauty"/>
    <s v="Corporate"/>
    <n v="52"/>
    <s v="West"/>
    <x v="0"/>
  </r>
  <r>
    <s v="ORD-00725"/>
    <n v="45403"/>
    <n v="26029.919999999998"/>
    <x v="2"/>
    <s v="Beauty"/>
    <s v="Corporate"/>
    <n v="52"/>
    <s v="South"/>
    <x v="5"/>
  </r>
  <r>
    <s v="ORD-00726"/>
    <n v="45562"/>
    <n v="1209"/>
    <x v="0"/>
    <s v="Electronics"/>
    <s v="Retail"/>
    <n v="36"/>
    <s v="North"/>
    <x v="0"/>
  </r>
  <r>
    <s v="ORD-00727"/>
    <n v="45635"/>
    <n v="5705.7"/>
    <x v="14"/>
    <s v="Electronics"/>
    <s v="SMB"/>
    <n v="25"/>
    <s v="West"/>
    <x v="8"/>
  </r>
  <r>
    <s v="ORD-00728"/>
    <n v="45434"/>
    <n v="6844.11"/>
    <x v="6"/>
    <s v="Home"/>
    <s v="Retail"/>
    <n v="52"/>
    <s v="West"/>
    <x v="3"/>
  </r>
  <r>
    <s v="ORD-00729"/>
    <n v="45350"/>
    <n v="11312.73"/>
    <x v="27"/>
    <s v="Electronics"/>
    <s v="Corporate"/>
    <n v="29"/>
    <s v="South"/>
    <x v="1"/>
  </r>
  <r>
    <s v="ORD-00730"/>
    <n v="45344"/>
    <n v="9662.4"/>
    <x v="1"/>
    <s v="Electronics"/>
    <s v="Retail"/>
    <n v="37"/>
    <s v="North"/>
    <x v="1"/>
  </r>
  <r>
    <s v="ORD-00731"/>
    <n v="45498"/>
    <n v="17952"/>
    <x v="19"/>
    <s v="Apparel"/>
    <s v="Corporate"/>
    <n v="52"/>
    <s v="North"/>
    <x v="10"/>
  </r>
  <r>
    <s v="ORD-00732"/>
    <n v="45520"/>
    <n v="31580.639999999999"/>
    <x v="29"/>
    <s v="Apparel"/>
    <s v="Corporate"/>
    <n v="52"/>
    <s v="South"/>
    <x v="7"/>
  </r>
  <r>
    <s v="ORD-00733"/>
    <n v="45554"/>
    <n v="32515.84"/>
    <x v="13"/>
    <s v="Beauty"/>
    <s v="Unknown"/>
    <s v=""/>
    <s v="East"/>
    <x v="0"/>
  </r>
  <r>
    <s v="ORD-00734"/>
    <n v="45584"/>
    <n v="29959.93"/>
    <x v="15"/>
    <s v="Electronics"/>
    <s v="Corporate"/>
    <n v="41"/>
    <s v="South"/>
    <x v="9"/>
  </r>
  <r>
    <s v="ORD-00735"/>
    <n v="45593"/>
    <n v="22220.2"/>
    <x v="6"/>
    <s v="Home"/>
    <s v="Retail"/>
    <n v="61"/>
    <s v="West"/>
    <x v="9"/>
  </r>
  <r>
    <s v="ORD-00736"/>
    <n v="45302"/>
    <n v="36984.870000000003"/>
    <x v="14"/>
    <s v="Electronics"/>
    <s v="Retail"/>
    <n v="36"/>
    <s v="West"/>
    <x v="11"/>
  </r>
  <r>
    <s v="ORD-00737"/>
    <n v="45440"/>
    <n v="28576"/>
    <x v="26"/>
    <s v="Beauty"/>
    <s v="Retail"/>
    <n v="49"/>
    <s v="East"/>
    <x v="3"/>
  </r>
  <r>
    <s v="ORD-00738"/>
    <n v="45299"/>
    <n v="24078.6"/>
    <x v="21"/>
    <s v="Apparel"/>
    <s v="Corporate"/>
    <n v="51"/>
    <s v="East"/>
    <x v="11"/>
  </r>
  <r>
    <s v="ORD-00739"/>
    <n v="45336"/>
    <n v="2497.7399999999998"/>
    <x v="22"/>
    <s v="Electronics"/>
    <s v="Corporate"/>
    <n v="35"/>
    <s v="South"/>
    <x v="1"/>
  </r>
  <r>
    <s v="ORD-00740"/>
    <n v="45300"/>
    <n v="21574"/>
    <x v="15"/>
    <s v="Beauty"/>
    <s v="SMB"/>
    <n v="29"/>
    <s v="South"/>
    <x v="11"/>
  </r>
  <r>
    <s v="ORD-00741"/>
    <n v="45648"/>
    <n v="14014.4"/>
    <x v="7"/>
    <s v="Home"/>
    <s v="SMB"/>
    <n v="44"/>
    <s v="East"/>
    <x v="8"/>
  </r>
  <r>
    <s v="ORD-00742"/>
    <n v="45293"/>
    <n v="15375.36"/>
    <x v="2"/>
    <s v="Sports"/>
    <s v="Corporate"/>
    <n v="40"/>
    <s v="South"/>
    <x v="11"/>
  </r>
  <r>
    <s v="ORD-00743"/>
    <n v="45644"/>
    <n v="20964.3"/>
    <x v="22"/>
    <s v="Beauty"/>
    <s v="Retail"/>
    <n v="36"/>
    <s v="South"/>
    <x v="8"/>
  </r>
  <r>
    <s v="ORD-00744"/>
    <n v="45589"/>
    <n v="9712.9500000000007"/>
    <x v="8"/>
    <s v="Grocery"/>
    <s v="Retail"/>
    <n v="28"/>
    <s v="West"/>
    <x v="9"/>
  </r>
  <r>
    <s v="ORD-00745"/>
    <n v="45329"/>
    <n v="2791.05"/>
    <x v="22"/>
    <s v="Beauty"/>
    <s v="Corporate"/>
    <n v="37"/>
    <s v="South"/>
    <x v="1"/>
  </r>
  <r>
    <s v="ORD-00746"/>
    <n v="45587"/>
    <n v="24786"/>
    <x v="8"/>
    <s v="Beauty"/>
    <s v="Retail"/>
    <n v="38"/>
    <s v="West"/>
    <x v="9"/>
  </r>
  <r>
    <s v="ORD-00747"/>
    <n v="45423"/>
    <n v="34700.400000000001"/>
    <x v="11"/>
    <s v="Beauty"/>
    <s v="Retail"/>
    <n v="29"/>
    <s v="North"/>
    <x v="3"/>
  </r>
  <r>
    <s v="ORD-00748"/>
    <n v="45568"/>
    <n v="4763.88"/>
    <x v="3"/>
    <s v="Home"/>
    <s v="Retail"/>
    <n v="41"/>
    <s v="North"/>
    <x v="9"/>
  </r>
  <r>
    <s v="ORD-00749"/>
    <n v="45549"/>
    <n v="8901.09"/>
    <x v="3"/>
    <s v="Grocery"/>
    <s v="Retail"/>
    <n v="44"/>
    <s v="North"/>
    <x v="0"/>
  </r>
  <r>
    <s v="ORD-00750"/>
    <n v="45504"/>
    <n v="3559.18"/>
    <x v="0"/>
    <s v="Apparel"/>
    <s v="SMB"/>
    <n v="22"/>
    <s v="North"/>
    <x v="10"/>
  </r>
  <r>
    <s v="ORD-00751"/>
    <n v="45449"/>
    <n v="10257"/>
    <x v="14"/>
    <s v="Home"/>
    <s v="SMB"/>
    <n v="29"/>
    <s v="West"/>
    <x v="6"/>
  </r>
  <r>
    <s v="ORD-00752"/>
    <n v="45600"/>
    <n v="1024.53"/>
    <x v="1"/>
    <s v="Home"/>
    <s v="Corporate"/>
    <n v="26"/>
    <s v="North"/>
    <x v="4"/>
  </r>
  <r>
    <s v="ORD-00753"/>
    <n v="45479"/>
    <n v="7913"/>
    <x v="3"/>
    <s v="Apparel"/>
    <s v="Corporate"/>
    <n v="29"/>
    <s v="North"/>
    <x v="10"/>
  </r>
  <r>
    <s v="ORD-00754"/>
    <n v="45531"/>
    <n v="12405.36"/>
    <x v="20"/>
    <s v="Grocery"/>
    <s v="Retail"/>
    <n v="55"/>
    <s v="West"/>
    <x v="7"/>
  </r>
  <r>
    <s v="ORD-00755"/>
    <n v="45356"/>
    <n v="1913.52"/>
    <x v="23"/>
    <s v="Grocery"/>
    <s v="Retail"/>
    <n v="29"/>
    <s v="South"/>
    <x v="2"/>
  </r>
  <r>
    <s v="ORD-00756"/>
    <n v="45553"/>
    <n v="16058.25"/>
    <x v="14"/>
    <s v="Home"/>
    <s v="Retail"/>
    <n v="65"/>
    <s v="West"/>
    <x v="0"/>
  </r>
  <r>
    <s v="ORD-00757"/>
    <n v="45492"/>
    <n v="8375.64"/>
    <x v="28"/>
    <s v="Apparel"/>
    <s v="Retail"/>
    <n v="49"/>
    <s v="West"/>
    <x v="10"/>
  </r>
  <r>
    <s v="ORD-00758"/>
    <n v="45388"/>
    <n v="8759"/>
    <x v="26"/>
    <s v="Home"/>
    <s v="Corporate"/>
    <n v="24"/>
    <s v="East"/>
    <x v="5"/>
  </r>
  <r>
    <s v="ORD-00759"/>
    <n v="45369"/>
    <n v="17280"/>
    <x v="19"/>
    <s v="Sports"/>
    <s v="Retail"/>
    <n v="59"/>
    <s v="North"/>
    <x v="2"/>
  </r>
  <r>
    <s v="ORD-00760"/>
    <n v="45597"/>
    <n v="17892.349999999999"/>
    <x v="25"/>
    <s v="Beauty"/>
    <s v="Retail"/>
    <n v="30"/>
    <s v="North"/>
    <x v="4"/>
  </r>
  <r>
    <s v="ORD-00761"/>
    <n v="45611"/>
    <n v="13205.92"/>
    <x v="27"/>
    <s v="Apparel"/>
    <s v="Retail"/>
    <n v="27"/>
    <s v="South"/>
    <x v="4"/>
  </r>
  <r>
    <s v="ORD-00762"/>
    <n v="45579"/>
    <n v="28468.44"/>
    <x v="8"/>
    <s v="Apparel"/>
    <s v="Retail"/>
    <n v="42"/>
    <s v="West"/>
    <x v="9"/>
  </r>
  <r>
    <s v="ORD-00763"/>
    <n v="45634"/>
    <n v="3564.68"/>
    <x v="2"/>
    <s v="Home"/>
    <s v="Retail"/>
    <n v="50"/>
    <s v="South"/>
    <x v="8"/>
  </r>
  <r>
    <s v="ORD-00764"/>
    <n v="45471"/>
    <n v="11692"/>
    <x v="25"/>
    <s v="Apparel"/>
    <s v="Retail"/>
    <n v="29"/>
    <s v="North"/>
    <x v="6"/>
  </r>
  <r>
    <s v="ORD-00765"/>
    <n v="45327"/>
    <n v="37321.9"/>
    <x v="20"/>
    <s v="Grocery"/>
    <s v="SMB"/>
    <n v="26"/>
    <s v="West"/>
    <x v="1"/>
  </r>
  <r>
    <s v="ORD-00766"/>
    <n v="45343"/>
    <n v="29719.200000000001"/>
    <x v="6"/>
    <s v="Grocery"/>
    <s v="Retail"/>
    <n v="40"/>
    <s v="West"/>
    <x v="1"/>
  </r>
  <r>
    <s v="ORD-00767"/>
    <n v="45334"/>
    <n v="7011.84"/>
    <x v="26"/>
    <s v="Sports"/>
    <s v="Retail"/>
    <n v="56"/>
    <s v="East"/>
    <x v="1"/>
  </r>
  <r>
    <s v="ORD-00768"/>
    <n v="45306"/>
    <n v="4076.92"/>
    <x v="28"/>
    <s v="Grocery"/>
    <s v="SMB"/>
    <n v="35"/>
    <s v="West"/>
    <x v="11"/>
  </r>
  <r>
    <s v="ORD-00769"/>
    <n v="45296"/>
    <n v="3201.66"/>
    <x v="0"/>
    <s v="Grocery"/>
    <s v="Retail"/>
    <n v="29"/>
    <s v="North"/>
    <x v="11"/>
  </r>
  <r>
    <s v="ORD-00770"/>
    <n v="45489"/>
    <n v="22350.400000000001"/>
    <x v="8"/>
    <s v="Beauty"/>
    <s v="Retail"/>
    <n v="57"/>
    <s v="West"/>
    <x v="10"/>
  </r>
  <r>
    <s v="ORD-00771"/>
    <n v="45416"/>
    <n v="13651.25"/>
    <x v="21"/>
    <s v="Beauty"/>
    <s v="Retail"/>
    <n v="42"/>
    <s v="East"/>
    <x v="3"/>
  </r>
  <r>
    <s v="ORD-00772"/>
    <n v="45347"/>
    <n v="16832.060000000001"/>
    <x v="13"/>
    <s v="Apparel"/>
    <s v="SMB"/>
    <n v="54"/>
    <s v="East"/>
    <x v="1"/>
  </r>
  <r>
    <s v="ORD-00773"/>
    <n v="45652"/>
    <n v="2542.8000000000002"/>
    <x v="26"/>
    <s v="Electronics"/>
    <s v="Retail"/>
    <n v="49"/>
    <s v="East"/>
    <x v="8"/>
  </r>
  <r>
    <s v="ORD-00774"/>
    <n v="45467"/>
    <n v="2812.48"/>
    <x v="11"/>
    <s v="Sports"/>
    <s v="Retail"/>
    <n v="55"/>
    <s v="North"/>
    <x v="6"/>
  </r>
  <r>
    <s v="ORD-00775"/>
    <n v="45558"/>
    <n v="4860"/>
    <x v="27"/>
    <s v="Home"/>
    <s v="Corporate"/>
    <n v="47"/>
    <s v="South"/>
    <x v="0"/>
  </r>
  <r>
    <s v="ORD-00776"/>
    <n v="45645"/>
    <n v="1694.78"/>
    <x v="7"/>
    <s v="Sports"/>
    <s v="SMB"/>
    <n v="44"/>
    <s v="East"/>
    <x v="8"/>
  </r>
  <r>
    <s v="ORD-00777"/>
    <n v="45418"/>
    <n v="18018.72"/>
    <x v="25"/>
    <s v="Electronics"/>
    <s v="SMB"/>
    <n v="26"/>
    <s v="North"/>
    <x v="3"/>
  </r>
  <r>
    <s v="ORD-00778"/>
    <n v="45655"/>
    <n v="4963.3500000000004"/>
    <x v="28"/>
    <s v="Home"/>
    <s v="Retail"/>
    <n v="44"/>
    <s v="West"/>
    <x v="8"/>
  </r>
  <r>
    <s v="ORD-00779"/>
    <n v="45540"/>
    <n v="7045.92"/>
    <x v="28"/>
    <s v="Home"/>
    <s v="Retail"/>
    <n v="44"/>
    <s v="West"/>
    <x v="0"/>
  </r>
  <r>
    <s v="ORD-00780"/>
    <n v="45609"/>
    <n v="865.46"/>
    <x v="18"/>
    <s v="Home"/>
    <s v="Corporate"/>
    <n v="51"/>
    <s v="South"/>
    <x v="4"/>
  </r>
  <r>
    <s v="ORD-00781"/>
    <n v="45528"/>
    <n v="2909.68"/>
    <x v="23"/>
    <s v="Home"/>
    <s v="Retail"/>
    <n v="28"/>
    <s v="South"/>
    <x v="7"/>
  </r>
  <r>
    <s v="ORD-00782"/>
    <n v="45625"/>
    <n v="17767.96"/>
    <x v="26"/>
    <s v="Apparel"/>
    <s v="Retail"/>
    <n v="54"/>
    <s v="East"/>
    <x v="4"/>
  </r>
  <r>
    <s v="ORD-00783"/>
    <n v="45444"/>
    <n v="45800.639999999999"/>
    <x v="29"/>
    <s v="Beauty"/>
    <s v="Retail"/>
    <n v="62"/>
    <s v="South"/>
    <x v="6"/>
  </r>
  <r>
    <s v="ORD-00784"/>
    <n v="45505"/>
    <n v="5685.6"/>
    <x v="15"/>
    <s v="Sports"/>
    <s v="Corporate"/>
    <n v="32"/>
    <s v="South"/>
    <x v="7"/>
  </r>
  <r>
    <s v="ORD-00785"/>
    <n v="45401"/>
    <n v="4780.28"/>
    <x v="18"/>
    <s v="Home"/>
    <s v="Retail"/>
    <n v="51"/>
    <s v="South"/>
    <x v="5"/>
  </r>
  <r>
    <s v="ORD-00786"/>
    <n v="45364"/>
    <n v="19947.900000000001"/>
    <x v="12"/>
    <s v="Apparel"/>
    <s v="SMB"/>
    <n v="28"/>
    <s v="East"/>
    <x v="2"/>
  </r>
  <r>
    <s v="ORD-00787"/>
    <n v="45403"/>
    <n v="13674.48"/>
    <x v="18"/>
    <s v="Grocery"/>
    <s v="Retail"/>
    <n v="39"/>
    <s v="South"/>
    <x v="5"/>
  </r>
  <r>
    <s v="ORD-00788"/>
    <n v="45599"/>
    <n v="9337.7999999999993"/>
    <x v="12"/>
    <s v="Apparel"/>
    <s v="SMB"/>
    <n v="44"/>
    <s v="East"/>
    <x v="4"/>
  </r>
  <r>
    <s v="ORD-00789"/>
    <n v="45389"/>
    <n v="19919.099999999999"/>
    <x v="20"/>
    <s v="Beauty"/>
    <s v="Retail"/>
    <n v="54"/>
    <s v="West"/>
    <x v="5"/>
  </r>
  <r>
    <s v="ORD-00790"/>
    <n v="45506"/>
    <n v="10903.2"/>
    <x v="20"/>
    <s v="Beauty"/>
    <s v="Retail"/>
    <n v="54"/>
    <s v="West"/>
    <x v="7"/>
  </r>
  <r>
    <s v="ORD-00791"/>
    <n v="45402"/>
    <n v="5171.58"/>
    <x v="11"/>
    <s v="Home"/>
    <s v="SMB"/>
    <n v="26"/>
    <s v="North"/>
    <x v="5"/>
  </r>
  <r>
    <s v="ORD-00792"/>
    <n v="45405"/>
    <n v="2562.84"/>
    <x v="6"/>
    <s v="Home"/>
    <s v="Retail"/>
    <n v="63"/>
    <s v="West"/>
    <x v="5"/>
  </r>
  <r>
    <s v="ORD-00793"/>
    <n v="45434"/>
    <n v="35721"/>
    <x v="26"/>
    <s v="Grocery"/>
    <s v="Unknown"/>
    <s v=""/>
    <s v="East"/>
    <x v="3"/>
  </r>
  <r>
    <s v="ORD-00794"/>
    <n v="45558"/>
    <n v="3978.8"/>
    <x v="14"/>
    <s v="Home"/>
    <s v="Retail"/>
    <n v="26"/>
    <s v="West"/>
    <x v="0"/>
  </r>
  <r>
    <s v="ORD-00795"/>
    <n v="45582"/>
    <n v="11211.2"/>
    <x v="7"/>
    <s v="Beauty"/>
    <s v="Corporate"/>
    <n v="41"/>
    <s v="East"/>
    <x v="9"/>
  </r>
  <r>
    <s v="ORD-00796"/>
    <n v="45601"/>
    <n v="23253.75"/>
    <x v="15"/>
    <s v="Home"/>
    <s v="Retail"/>
    <n v="56"/>
    <s v="South"/>
    <x v="4"/>
  </r>
  <r>
    <s v="ORD-00797"/>
    <n v="45344"/>
    <n v="8497.35"/>
    <x v="1"/>
    <s v="Beauty"/>
    <s v="SMB"/>
    <n v="53"/>
    <s v="North"/>
    <x v="1"/>
  </r>
  <r>
    <s v="ORD-00798"/>
    <n v="45504"/>
    <n v="25281.45"/>
    <x v="4"/>
    <s v="Home"/>
    <s v="Corporate"/>
    <n v="24"/>
    <s v="North"/>
    <x v="10"/>
  </r>
  <r>
    <s v="ORD-00799"/>
    <n v="45306"/>
    <n v="961.26"/>
    <x v="20"/>
    <s v="Home"/>
    <s v="Retail"/>
    <n v="40"/>
    <s v="West"/>
    <x v="11"/>
  </r>
  <r>
    <s v="ORD-00800"/>
    <n v="45413"/>
    <n v="26228.93"/>
    <x v="18"/>
    <s v="Electronics"/>
    <s v="SMB"/>
    <n v="53"/>
    <s v="South"/>
    <x v="3"/>
  </r>
  <r>
    <s v="ORD-00801"/>
    <n v="45368"/>
    <n v="21058.799999999999"/>
    <x v="29"/>
    <s v="Sports"/>
    <s v="Retail"/>
    <n v="49"/>
    <s v="South"/>
    <x v="2"/>
  </r>
  <r>
    <s v="ORD-00802"/>
    <n v="45316"/>
    <n v="26109.599999999999"/>
    <x v="28"/>
    <s v="Apparel"/>
    <s v="Corporate"/>
    <n v="51"/>
    <s v="West"/>
    <x v="11"/>
  </r>
  <r>
    <s v="ORD-00803"/>
    <n v="45652"/>
    <n v="4724.16"/>
    <x v="20"/>
    <s v="Beauty"/>
    <s v="Corporate"/>
    <n v="62"/>
    <s v="West"/>
    <x v="8"/>
  </r>
  <r>
    <s v="ORD-00804"/>
    <n v="45597"/>
    <n v="16400.34"/>
    <x v="23"/>
    <s v="Apparel"/>
    <s v="SMB"/>
    <n v="50"/>
    <s v="South"/>
    <x v="4"/>
  </r>
  <r>
    <s v="ORD-00805"/>
    <n v="45392"/>
    <n v="7231.6"/>
    <x v="27"/>
    <s v="Sports"/>
    <s v="Retail"/>
    <n v="54"/>
    <s v="South"/>
    <x v="5"/>
  </r>
  <r>
    <s v="ORD-00806"/>
    <n v="45401"/>
    <n v="2634.4"/>
    <x v="12"/>
    <s v="Apparel"/>
    <s v="Retail"/>
    <n v="54"/>
    <s v="East"/>
    <x v="5"/>
  </r>
  <r>
    <s v="ORD-00807"/>
    <n v="45397"/>
    <n v="22492.959999999999"/>
    <x v="3"/>
    <s v="Beauty"/>
    <s v="Corporate"/>
    <n v="43"/>
    <s v="North"/>
    <x v="5"/>
  </r>
  <r>
    <s v="ORD-00808"/>
    <n v="45301"/>
    <n v="3736.26"/>
    <x v="21"/>
    <s v="Grocery"/>
    <s v="Retail"/>
    <n v="26"/>
    <s v="East"/>
    <x v="11"/>
  </r>
  <r>
    <s v="ORD-00809"/>
    <n v="45347"/>
    <n v="2670.66"/>
    <x v="16"/>
    <s v="Home"/>
    <s v="Retail"/>
    <n v="29"/>
    <s v="East"/>
    <x v="1"/>
  </r>
  <r>
    <s v="ORD-00810"/>
    <n v="45544"/>
    <n v="4877.16"/>
    <x v="16"/>
    <s v="Grocery"/>
    <s v="SMB"/>
    <n v="28"/>
    <s v="East"/>
    <x v="0"/>
  </r>
  <r>
    <s v="ORD-00811"/>
    <n v="45633"/>
    <n v="26384"/>
    <x v="7"/>
    <s v="Apparel"/>
    <s v="SMB"/>
    <n v="60"/>
    <s v="East"/>
    <x v="8"/>
  </r>
  <r>
    <s v="ORD-00812"/>
    <n v="45293"/>
    <n v="11860.8"/>
    <x v="2"/>
    <s v="Sports"/>
    <s v="Corporate"/>
    <n v="43"/>
    <s v="South"/>
    <x v="11"/>
  </r>
  <r>
    <s v="ORD-00813"/>
    <n v="45564"/>
    <n v="22299.84"/>
    <x v="27"/>
    <s v="Apparel"/>
    <s v="Retail"/>
    <n v="65"/>
    <s v="South"/>
    <x v="0"/>
  </r>
  <r>
    <s v="ORD-00814"/>
    <n v="45385"/>
    <n v="25498.55"/>
    <x v="15"/>
    <s v="Grocery"/>
    <s v="SMB"/>
    <n v="29"/>
    <s v="South"/>
    <x v="5"/>
  </r>
  <r>
    <s v="ORD-01052"/>
    <n v="45299"/>
    <n v="16197.54"/>
    <x v="4"/>
    <s v="Sports"/>
    <s v="Retail"/>
    <n v="53"/>
    <s v="North"/>
    <x v="11"/>
  </r>
  <r>
    <s v="ORD-00816"/>
    <n v="45651"/>
    <n v="8004"/>
    <x v="8"/>
    <s v="Grocery"/>
    <s v="SMB"/>
    <n v="48"/>
    <s v="West"/>
    <x v="8"/>
  </r>
  <r>
    <s v="ORD-01136"/>
    <n v="45474"/>
    <n v="11094.72"/>
    <x v="22"/>
    <s v="Home"/>
    <s v="Retail"/>
    <n v="29"/>
    <s v="South"/>
    <x v="10"/>
  </r>
  <r>
    <s v="ORD-00818"/>
    <n v="45391"/>
    <n v="5270.15"/>
    <x v="21"/>
    <s v="Home"/>
    <s v="Retail"/>
    <n v="39"/>
    <s v="East"/>
    <x v="5"/>
  </r>
  <r>
    <s v="ORD-00819"/>
    <n v="45328"/>
    <n v="22134"/>
    <x v="20"/>
    <s v="Grocery"/>
    <s v="Corporate"/>
    <n v="41"/>
    <s v="West"/>
    <x v="1"/>
  </r>
  <r>
    <s v="ORD-00820"/>
    <n v="45490"/>
    <n v="11755.2"/>
    <x v="17"/>
    <s v="Apparel"/>
    <s v="SMB"/>
    <n v="43"/>
    <s v="West"/>
    <x v="10"/>
  </r>
  <r>
    <s v="ORD-00821"/>
    <n v="45362"/>
    <n v="19785.599999999999"/>
    <x v="20"/>
    <s v="Sports"/>
    <s v="SMB"/>
    <n v="43"/>
    <s v="West"/>
    <x v="2"/>
  </r>
  <r>
    <s v="ORD-00822"/>
    <n v="45449"/>
    <n v="9963.2000000000007"/>
    <x v="16"/>
    <s v="Electronics"/>
    <s v="Retail"/>
    <n v="38"/>
    <s v="East"/>
    <x v="6"/>
  </r>
  <r>
    <s v="ORD-00823"/>
    <n v="45409"/>
    <n v="11338.65"/>
    <x v="12"/>
    <s v="Grocery"/>
    <s v="Unknown"/>
    <s v=""/>
    <s v="East"/>
    <x v="5"/>
  </r>
  <r>
    <s v="ORD-00824"/>
    <n v="45465"/>
    <n v="32703.93"/>
    <x v="16"/>
    <s v="Home"/>
    <s v="Corporate"/>
    <n v="41"/>
    <s v="East"/>
    <x v="6"/>
  </r>
  <r>
    <s v="ORD-00825"/>
    <n v="45415"/>
    <n v="16776.45"/>
    <x v="18"/>
    <s v="Electronics"/>
    <s v="SMB"/>
    <n v="35"/>
    <s v="South"/>
    <x v="3"/>
  </r>
  <r>
    <s v="ORD-00826"/>
    <n v="45372"/>
    <n v="1584"/>
    <x v="6"/>
    <s v="Beauty"/>
    <s v="Retail"/>
    <n v="28"/>
    <s v="West"/>
    <x v="2"/>
  </r>
  <r>
    <s v="ORD-00827"/>
    <n v="45405"/>
    <n v="17138.560000000001"/>
    <x v="19"/>
    <s v="Beauty"/>
    <s v="Retail"/>
    <n v="37"/>
    <s v="North"/>
    <x v="5"/>
  </r>
  <r>
    <s v="ORD-00828"/>
    <n v="45419"/>
    <n v="10200"/>
    <x v="4"/>
    <s v="Sports"/>
    <s v="SMB"/>
    <n v="27"/>
    <s v="North"/>
    <x v="3"/>
  </r>
  <r>
    <s v="ORD-00829"/>
    <n v="45522"/>
    <n v="4441.68"/>
    <x v="15"/>
    <s v="Apparel"/>
    <s v="SMB"/>
    <n v="54"/>
    <s v="South"/>
    <x v="7"/>
  </r>
  <r>
    <s v="ORD-00830"/>
    <n v="45513"/>
    <n v="4527.0200000000004"/>
    <x v="22"/>
    <s v="Home"/>
    <s v="Retail"/>
    <n v="36"/>
    <s v="South"/>
    <x v="7"/>
  </r>
  <r>
    <s v="ORD-00831"/>
    <n v="45500"/>
    <n v="23557.1"/>
    <x v="2"/>
    <s v="Home"/>
    <s v="SMB"/>
    <n v="51"/>
    <s v="South"/>
    <x v="10"/>
  </r>
  <r>
    <s v="ORD-00832"/>
    <n v="45608"/>
    <n v="5546.46"/>
    <x v="20"/>
    <s v="Grocery"/>
    <s v="SMB"/>
    <n v="31"/>
    <s v="West"/>
    <x v="4"/>
  </r>
  <r>
    <s v="ORD-00833"/>
    <n v="45362"/>
    <n v="10444.719999999999"/>
    <x v="17"/>
    <s v="Electronics"/>
    <s v="Corporate"/>
    <n v="35"/>
    <s v="West"/>
    <x v="2"/>
  </r>
  <r>
    <s v="ORD-00834"/>
    <n v="45348"/>
    <n v="18351.900000000001"/>
    <x v="23"/>
    <s v="Grocery"/>
    <s v="SMB"/>
    <n v="50"/>
    <s v="South"/>
    <x v="1"/>
  </r>
  <r>
    <s v="ORD-00835"/>
    <n v="45532"/>
    <n v="2688.84"/>
    <x v="12"/>
    <s v="Beauty"/>
    <s v="SMB"/>
    <n v="65"/>
    <s v="East"/>
    <x v="7"/>
  </r>
  <r>
    <s v="ORD-00836"/>
    <n v="45492"/>
    <n v="8631.36"/>
    <x v="16"/>
    <s v="Home"/>
    <s v="Retail"/>
    <n v="39"/>
    <s v="East"/>
    <x v="10"/>
  </r>
  <r>
    <s v="ORD-00837"/>
    <n v="45368"/>
    <n v="5140.8"/>
    <x v="0"/>
    <s v="Sports"/>
    <s v="Retail"/>
    <n v="65"/>
    <s v="North"/>
    <x v="2"/>
  </r>
  <r>
    <s v="ORD-00838"/>
    <n v="45448"/>
    <n v="4411.8"/>
    <x v="26"/>
    <s v="Home"/>
    <s v="SMB"/>
    <n v="46"/>
    <s v="East"/>
    <x v="6"/>
  </r>
  <r>
    <s v="ORD-00839"/>
    <n v="45610"/>
    <n v="15619.87"/>
    <x v="28"/>
    <s v="Grocery"/>
    <s v="SMB"/>
    <n v="51"/>
    <s v="West"/>
    <x v="4"/>
  </r>
  <r>
    <s v="ORD-00840"/>
    <n v="45438"/>
    <n v="23687.52"/>
    <x v="17"/>
    <s v="Grocery"/>
    <s v="SMB"/>
    <n v="27"/>
    <s v="West"/>
    <x v="3"/>
  </r>
  <r>
    <s v="ORD-00841"/>
    <n v="45477"/>
    <n v="14153.75"/>
    <x v="11"/>
    <s v="Home"/>
    <s v="SMB"/>
    <n v="48"/>
    <s v="North"/>
    <x v="10"/>
  </r>
  <r>
    <s v="ORD-00842"/>
    <n v="45328"/>
    <n v="6329.4"/>
    <x v="27"/>
    <s v="Beauty"/>
    <s v="SMB"/>
    <n v="24"/>
    <s v="South"/>
    <x v="1"/>
  </r>
  <r>
    <s v="ORD-00843"/>
    <n v="45624"/>
    <n v="29565.599999999999"/>
    <x v="11"/>
    <s v="Home"/>
    <s v="SMB"/>
    <n v="43"/>
    <s v="North"/>
    <x v="4"/>
  </r>
  <r>
    <s v="ORD-00844"/>
    <n v="45614"/>
    <n v="21831.599999999999"/>
    <x v="28"/>
    <s v="Sports"/>
    <s v="Retail"/>
    <n v="61"/>
    <s v="West"/>
    <x v="4"/>
  </r>
  <r>
    <s v="ORD-00845"/>
    <n v="45429"/>
    <n v="15115.2"/>
    <x v="26"/>
    <s v="Beauty"/>
    <s v="Retail"/>
    <n v="41"/>
    <s v="East"/>
    <x v="3"/>
  </r>
  <r>
    <s v="ORD-00846"/>
    <n v="45451"/>
    <n v="21171.8"/>
    <x v="28"/>
    <s v="Grocery"/>
    <s v="Retail"/>
    <n v="31"/>
    <s v="West"/>
    <x v="6"/>
  </r>
  <r>
    <s v="ORD-00847"/>
    <n v="45444"/>
    <n v="48458.400000000001"/>
    <x v="3"/>
    <s v="Beauty"/>
    <s v="Retail"/>
    <n v="43"/>
    <s v="North"/>
    <x v="6"/>
  </r>
  <r>
    <s v="ORD-00848"/>
    <n v="45369"/>
    <n v="14394.38"/>
    <x v="10"/>
    <s v="Sports"/>
    <s v="Retail"/>
    <n v="49"/>
    <s v="North"/>
    <x v="2"/>
  </r>
  <r>
    <s v="ORD-00849"/>
    <n v="45581"/>
    <n v="2086.4699999999998"/>
    <x v="1"/>
    <s v="Grocery"/>
    <s v="Retail"/>
    <n v="65"/>
    <s v="North"/>
    <x v="9"/>
  </r>
  <r>
    <s v="ORD-00850"/>
    <n v="45494"/>
    <n v="1927.23"/>
    <x v="4"/>
    <s v="Grocery"/>
    <s v="Corporate"/>
    <n v="29"/>
    <s v="North"/>
    <x v="10"/>
  </r>
  <r>
    <s v="ORD-00851"/>
    <n v="45324"/>
    <n v="15753"/>
    <x v="15"/>
    <s v="Apparel"/>
    <s v="SMB"/>
    <n v="62"/>
    <s v="South"/>
    <x v="1"/>
  </r>
  <r>
    <s v="ORD-00852"/>
    <n v="45419"/>
    <n v="9218.64"/>
    <x v="9"/>
    <s v="Sports"/>
    <s v="Corporate"/>
    <n v="55"/>
    <s v="South"/>
    <x v="3"/>
  </r>
  <r>
    <s v="ORD-00853"/>
    <n v="45656"/>
    <n v="3610.88"/>
    <x v="3"/>
    <s v="Apparel"/>
    <s v="Retail"/>
    <n v="28"/>
    <s v="North"/>
    <x v="8"/>
  </r>
  <r>
    <s v="ORD-00854"/>
    <n v="45350"/>
    <n v="4595.28"/>
    <x v="2"/>
    <s v="Apparel"/>
    <s v="Retail"/>
    <n v="45"/>
    <s v="South"/>
    <x v="1"/>
  </r>
  <r>
    <s v="ORD-00855"/>
    <n v="45434"/>
    <n v="44718.7"/>
    <x v="15"/>
    <s v="Electronics"/>
    <s v="Retail"/>
    <n v="34"/>
    <s v="South"/>
    <x v="3"/>
  </r>
  <r>
    <s v="ORD-00856"/>
    <n v="45438"/>
    <n v="6120.3"/>
    <x v="10"/>
    <s v="Beauty"/>
    <s v="Retail"/>
    <n v="64"/>
    <s v="North"/>
    <x v="3"/>
  </r>
  <r>
    <s v="ORD-00857"/>
    <n v="45486"/>
    <n v="5570.88"/>
    <x v="12"/>
    <s v="Beauty"/>
    <s v="Retail"/>
    <n v="41"/>
    <s v="East"/>
    <x v="10"/>
  </r>
  <r>
    <s v="ORD-00858"/>
    <n v="45623"/>
    <n v="13299.75"/>
    <x v="11"/>
    <s v="Apparel"/>
    <s v="SMB"/>
    <n v="43"/>
    <s v="North"/>
    <x v="4"/>
  </r>
  <r>
    <s v="ORD-00859"/>
    <n v="45634"/>
    <n v="6081.7"/>
    <x v="4"/>
    <s v="Electronics"/>
    <s v="SMB"/>
    <n v="59"/>
    <s v="North"/>
    <x v="8"/>
  </r>
  <r>
    <s v="ORD-00860"/>
    <n v="45308"/>
    <n v="18921.5"/>
    <x v="0"/>
    <s v="Electronics"/>
    <s v="Retail"/>
    <n v="39"/>
    <s v="North"/>
    <x v="11"/>
  </r>
  <r>
    <s v="ORD-00861"/>
    <n v="45641"/>
    <n v="8568"/>
    <x v="8"/>
    <s v="Electronics"/>
    <s v="Retail"/>
    <n v="29"/>
    <s v="West"/>
    <x v="8"/>
  </r>
  <r>
    <s v="ORD-00862"/>
    <n v="45396"/>
    <n v="17423.64"/>
    <x v="17"/>
    <s v="Grocery"/>
    <s v="Retail"/>
    <n v="56"/>
    <s v="West"/>
    <x v="5"/>
  </r>
  <r>
    <s v="ORD-00863"/>
    <n v="45302"/>
    <n v="18162.900000000001"/>
    <x v="20"/>
    <s v="Sports"/>
    <s v="SMB"/>
    <n v="39"/>
    <s v="West"/>
    <x v="11"/>
  </r>
  <r>
    <s v="ORD-00864"/>
    <n v="45626"/>
    <n v="21700.799999999999"/>
    <x v="4"/>
    <s v="Electronics"/>
    <s v="Retail"/>
    <n v="34"/>
    <s v="North"/>
    <x v="4"/>
  </r>
  <r>
    <s v="ORD-00865"/>
    <n v="45352"/>
    <n v="1306.5"/>
    <x v="6"/>
    <s v="Electronics"/>
    <s v="SMB"/>
    <n v="42"/>
    <s v="West"/>
    <x v="2"/>
  </r>
  <r>
    <s v="ORD-00866"/>
    <n v="45588"/>
    <n v="3979.2"/>
    <x v="22"/>
    <s v="Sports"/>
    <s v="SMB"/>
    <n v="43"/>
    <s v="South"/>
    <x v="9"/>
  </r>
  <r>
    <s v="ORD-00867"/>
    <n v="45583"/>
    <n v="4552.2"/>
    <x v="17"/>
    <s v="Home"/>
    <s v="Retail"/>
    <n v="29"/>
    <s v="West"/>
    <x v="9"/>
  </r>
  <r>
    <s v="ORD-00868"/>
    <n v="45528"/>
    <n v="2772.25"/>
    <x v="11"/>
    <s v="Home"/>
    <s v="Retail"/>
    <n v="24"/>
    <s v="North"/>
    <x v="7"/>
  </r>
  <r>
    <s v="ORD-00869"/>
    <n v="45400"/>
    <n v="2434.6"/>
    <x v="13"/>
    <s v="Home"/>
    <s v="Corporate"/>
    <n v="42"/>
    <s v="East"/>
    <x v="5"/>
  </r>
  <r>
    <s v="ORD-00870"/>
    <n v="45337"/>
    <n v="34510.14"/>
    <x v="20"/>
    <s v="Home"/>
    <s v="Unknown"/>
    <s v=""/>
    <s v="West"/>
    <x v="1"/>
  </r>
  <r>
    <s v="ORD-00871"/>
    <n v="45482"/>
    <n v="11624.16"/>
    <x v="8"/>
    <s v="Electronics"/>
    <s v="Retail"/>
    <n v="38"/>
    <s v="West"/>
    <x v="10"/>
  </r>
  <r>
    <s v="ORD-00872"/>
    <n v="45583"/>
    <n v="3645.36"/>
    <x v="0"/>
    <s v="Electronics"/>
    <s v="Retail"/>
    <n v="52"/>
    <s v="North"/>
    <x v="9"/>
  </r>
  <r>
    <s v="ORD-00873"/>
    <n v="45409"/>
    <n v="7602.96"/>
    <x v="17"/>
    <s v="Apparel"/>
    <s v="Retail"/>
    <n v="64"/>
    <s v="West"/>
    <x v="5"/>
  </r>
  <r>
    <s v="ORD-00874"/>
    <n v="45430"/>
    <n v="226.5"/>
    <x v="4"/>
    <s v="Electronics"/>
    <s v="Retail"/>
    <n v="44"/>
    <s v="North"/>
    <x v="3"/>
  </r>
  <r>
    <s v="ORD-00875"/>
    <n v="45654"/>
    <n v="14938.5"/>
    <x v="20"/>
    <s v="Beauty"/>
    <s v="SMB"/>
    <n v="51"/>
    <s v="West"/>
    <x v="8"/>
  </r>
  <r>
    <s v="ORD-00876"/>
    <n v="45397"/>
    <n v="20474.72"/>
    <x v="28"/>
    <s v="Apparel"/>
    <s v="Retail"/>
    <n v="38"/>
    <s v="West"/>
    <x v="5"/>
  </r>
  <r>
    <s v="ORD-00877"/>
    <n v="45505"/>
    <n v="18046.5"/>
    <x v="9"/>
    <s v="Grocery"/>
    <s v="Retail"/>
    <n v="36"/>
    <s v="South"/>
    <x v="7"/>
  </r>
  <r>
    <s v="ORD-00878"/>
    <n v="45386"/>
    <n v="9615.2000000000007"/>
    <x v="6"/>
    <s v="Apparel"/>
    <s v="Corporate"/>
    <n v="42"/>
    <s v="West"/>
    <x v="5"/>
  </r>
  <r>
    <s v="ORD-00879"/>
    <n v="45499"/>
    <n v="33237.54"/>
    <x v="24"/>
    <s v="Grocery"/>
    <s v="Retail"/>
    <n v="31"/>
    <s v="East"/>
    <x v="10"/>
  </r>
  <r>
    <s v="ORD-00880"/>
    <n v="45636"/>
    <n v="32337.9"/>
    <x v="2"/>
    <s v="Grocery"/>
    <s v="Retail"/>
    <n v="34"/>
    <s v="South"/>
    <x v="8"/>
  </r>
  <r>
    <s v="ORD-00881"/>
    <n v="45517"/>
    <n v="26523.599999999999"/>
    <x v="27"/>
    <s v="Grocery"/>
    <s v="Retail"/>
    <n v="44"/>
    <s v="South"/>
    <x v="7"/>
  </r>
  <r>
    <s v="ORD-00882"/>
    <n v="45593"/>
    <n v="8488.7999999999993"/>
    <x v="13"/>
    <s v="Home"/>
    <s v="Retail"/>
    <n v="37"/>
    <s v="East"/>
    <x v="9"/>
  </r>
  <r>
    <s v="ORD-00883"/>
    <n v="45497"/>
    <n v="21396.959999999999"/>
    <x v="12"/>
    <s v="Home"/>
    <s v="Corporate"/>
    <n v="42"/>
    <s v="East"/>
    <x v="10"/>
  </r>
  <r>
    <s v="ORD-00884"/>
    <n v="45293"/>
    <n v="3503.84"/>
    <x v="14"/>
    <s v="Beauty"/>
    <s v="Retail"/>
    <n v="56"/>
    <s v="West"/>
    <x v="11"/>
  </r>
  <r>
    <s v="ORD-00885"/>
    <n v="45562"/>
    <n v="1638.94"/>
    <x v="28"/>
    <s v="Grocery"/>
    <s v="SMB"/>
    <n v="36"/>
    <s v="West"/>
    <x v="0"/>
  </r>
  <r>
    <s v="ORD-00886"/>
    <n v="45638"/>
    <n v="33228.9"/>
    <x v="7"/>
    <s v="Electronics"/>
    <s v="SMB"/>
    <n v="55"/>
    <s v="East"/>
    <x v="8"/>
  </r>
  <r>
    <s v="ORD-00887"/>
    <n v="45408"/>
    <n v="41447.699999999997"/>
    <x v="11"/>
    <s v="Beauty"/>
    <s v="Retail"/>
    <n v="52"/>
    <s v="North"/>
    <x v="5"/>
  </r>
  <r>
    <s v="ORD-00888"/>
    <n v="45498"/>
    <n v="1364.96"/>
    <x v="1"/>
    <s v="Sports"/>
    <s v="SMB"/>
    <n v="29"/>
    <s v="North"/>
    <x v="10"/>
  </r>
  <r>
    <s v="ORD-00889"/>
    <n v="45649"/>
    <n v="5739.52"/>
    <x v="17"/>
    <s v="Beauty"/>
    <s v="Retail"/>
    <n v="42"/>
    <s v="West"/>
    <x v="8"/>
  </r>
  <r>
    <s v="ORD-00890"/>
    <n v="45484"/>
    <n v="5650.56"/>
    <x v="16"/>
    <s v="Sports"/>
    <s v="Retail"/>
    <n v="39"/>
    <s v="East"/>
    <x v="10"/>
  </r>
  <r>
    <s v="ORD-00891"/>
    <n v="45316"/>
    <n v="10014.620000000001"/>
    <x v="10"/>
    <s v="Beauty"/>
    <s v="SMB"/>
    <n v="48"/>
    <s v="North"/>
    <x v="11"/>
  </r>
  <r>
    <s v="ORD-00892"/>
    <n v="45328"/>
    <n v="2616"/>
    <x v="23"/>
    <s v="Electronics"/>
    <s v="Retail"/>
    <n v="54"/>
    <s v="South"/>
    <x v="1"/>
  </r>
  <r>
    <s v="ORD-00893"/>
    <n v="45456"/>
    <n v="14347.2"/>
    <x v="23"/>
    <s v="Beauty"/>
    <s v="SMB"/>
    <n v="48"/>
    <s v="South"/>
    <x v="6"/>
  </r>
  <r>
    <s v="ORD-00894"/>
    <n v="45589"/>
    <n v="543.9"/>
    <x v="11"/>
    <s v="Home"/>
    <s v="Retail"/>
    <n v="54"/>
    <s v="North"/>
    <x v="9"/>
  </r>
  <r>
    <s v="ORD-00895"/>
    <n v="45593"/>
    <n v="9722.49"/>
    <x v="25"/>
    <s v="Home"/>
    <s v="SMB"/>
    <n v="44"/>
    <s v="North"/>
    <x v="9"/>
  </r>
  <r>
    <s v="ORD-00896"/>
    <n v="45539"/>
    <n v="10218"/>
    <x v="22"/>
    <s v="Electronics"/>
    <s v="Retail"/>
    <n v="35"/>
    <s v="South"/>
    <x v="0"/>
  </r>
  <r>
    <s v="ORD-00600"/>
    <n v="45436"/>
    <n v="9235.4"/>
    <x v="5"/>
    <s v="Electronics"/>
    <s v="Retail"/>
    <n v="48"/>
    <s v="West"/>
    <x v="3"/>
  </r>
  <r>
    <s v="ORD-00898"/>
    <n v="45646"/>
    <n v="13570.7"/>
    <x v="15"/>
    <s v="Electronics"/>
    <s v="Unknown"/>
    <s v=""/>
    <s v="South"/>
    <x v="8"/>
  </r>
  <r>
    <s v="ORD-00899"/>
    <n v="45478"/>
    <n v="36356"/>
    <x v="14"/>
    <s v="Beauty"/>
    <s v="Retail"/>
    <n v="41"/>
    <s v="West"/>
    <x v="10"/>
  </r>
  <r>
    <s v="ORD-00900"/>
    <n v="45518"/>
    <n v="28600.32"/>
    <x v="8"/>
    <s v="Beauty"/>
    <s v="SMB"/>
    <n v="31"/>
    <s v="West"/>
    <x v="7"/>
  </r>
  <r>
    <s v="ORD-00901"/>
    <n v="45319"/>
    <n v="7184.58"/>
    <x v="22"/>
    <s v="Beauty"/>
    <s v="Corporate"/>
    <n v="34"/>
    <s v="South"/>
    <x v="11"/>
  </r>
  <r>
    <s v="ORD-00902"/>
    <n v="45445"/>
    <n v="19241.28"/>
    <x v="22"/>
    <s v="Apparel"/>
    <s v="Corporate"/>
    <n v="59"/>
    <s v="South"/>
    <x v="6"/>
  </r>
  <r>
    <s v="ORD-00903"/>
    <n v="45417"/>
    <n v="34129.199999999997"/>
    <x v="5"/>
    <s v="Electronics"/>
    <s v="SMB"/>
    <n v="55"/>
    <s v="West"/>
    <x v="3"/>
  </r>
  <r>
    <s v="ORD-00904"/>
    <n v="45309"/>
    <n v="6583.68"/>
    <x v="2"/>
    <s v="Home"/>
    <s v="SMB"/>
    <n v="47"/>
    <s v="South"/>
    <x v="11"/>
  </r>
  <r>
    <s v="ORD-00905"/>
    <n v="45367"/>
    <n v="7194"/>
    <x v="23"/>
    <s v="Home"/>
    <s v="Retail"/>
    <n v="37"/>
    <s v="South"/>
    <x v="2"/>
  </r>
  <r>
    <s v="ORD-00906"/>
    <n v="45615"/>
    <n v="22153.88"/>
    <x v="28"/>
    <s v="Apparel"/>
    <s v="SMB"/>
    <n v="51"/>
    <s v="West"/>
    <x v="4"/>
  </r>
  <r>
    <s v="ORD-00907"/>
    <n v="45499"/>
    <n v="945.06"/>
    <x v="24"/>
    <s v="Sports"/>
    <s v="SMB"/>
    <n v="54"/>
    <s v="East"/>
    <x v="10"/>
  </r>
  <r>
    <s v="ORD-00908"/>
    <n v="45356"/>
    <n v="28249.48"/>
    <x v="5"/>
    <s v="Grocery"/>
    <s v="Retail"/>
    <n v="24"/>
    <s v="West"/>
    <x v="2"/>
  </r>
  <r>
    <s v="ORD-00909"/>
    <n v="45346"/>
    <n v="18089.64"/>
    <x v="13"/>
    <s v="Home"/>
    <s v="Corporate"/>
    <n v="40"/>
    <s v="East"/>
    <x v="1"/>
  </r>
  <r>
    <s v="ORD-00910"/>
    <n v="45640"/>
    <n v="11916.96"/>
    <x v="16"/>
    <s v="Grocery"/>
    <s v="Corporate"/>
    <n v="22"/>
    <s v="East"/>
    <x v="8"/>
  </r>
  <r>
    <s v="ORD-00911"/>
    <n v="45633"/>
    <n v="12785.84"/>
    <x v="10"/>
    <s v="Apparel"/>
    <s v="Retail"/>
    <n v="27"/>
    <s v="North"/>
    <x v="8"/>
  </r>
  <r>
    <s v="ORD-00912"/>
    <n v="45430"/>
    <n v="8968.23"/>
    <x v="14"/>
    <s v="Electronics"/>
    <s v="SMB"/>
    <n v="57"/>
    <s v="West"/>
    <x v="3"/>
  </r>
  <r>
    <s v="ORD-00913"/>
    <n v="45355"/>
    <n v="3864.48"/>
    <x v="8"/>
    <s v="Grocery"/>
    <s v="Corporate"/>
    <n v="42"/>
    <s v="West"/>
    <x v="2"/>
  </r>
  <r>
    <s v="ORD-00914"/>
    <n v="45379"/>
    <n v="1893.12"/>
    <x v="12"/>
    <s v="Sports"/>
    <s v="Retail"/>
    <n v="29"/>
    <s v="East"/>
    <x v="2"/>
  </r>
  <r>
    <s v="ORD-00915"/>
    <n v="45375"/>
    <n v="1671.6"/>
    <x v="29"/>
    <s v="Electronics"/>
    <s v="Retail"/>
    <n v="54"/>
    <s v="South"/>
    <x v="2"/>
  </r>
  <r>
    <s v="ORD-00916"/>
    <n v="45397"/>
    <n v="20342.400000000001"/>
    <x v="2"/>
    <s v="Electronics"/>
    <s v="Retail"/>
    <n v="46"/>
    <s v="South"/>
    <x v="5"/>
  </r>
  <r>
    <s v="ORD-00917"/>
    <n v="45571"/>
    <n v="609.02"/>
    <x v="4"/>
    <s v="Home"/>
    <s v="Retail"/>
    <n v="49"/>
    <s v="North"/>
    <x v="9"/>
  </r>
  <r>
    <s v="ORD-00918"/>
    <n v="45455"/>
    <n v="12447.6"/>
    <x v="17"/>
    <s v="Beauty"/>
    <s v="Corporate"/>
    <n v="55"/>
    <s v="West"/>
    <x v="6"/>
  </r>
  <r>
    <s v="ORD-00919"/>
    <n v="45486"/>
    <n v="2336.16"/>
    <x v="16"/>
    <s v="Apparel"/>
    <s v="SMB"/>
    <n v="29"/>
    <s v="East"/>
    <x v="10"/>
  </r>
  <r>
    <s v="ORD-00920"/>
    <n v="45329"/>
    <n v="17439.900000000001"/>
    <x v="7"/>
    <s v="Grocery"/>
    <s v="Corporate"/>
    <n v="60"/>
    <s v="East"/>
    <x v="1"/>
  </r>
  <r>
    <s v="ORD-00921"/>
    <n v="45315"/>
    <n v="10556.7"/>
    <x v="12"/>
    <s v="Beauty"/>
    <s v="Retail"/>
    <n v="26"/>
    <s v="East"/>
    <x v="11"/>
  </r>
  <r>
    <s v="ORD-00922"/>
    <n v="45473"/>
    <n v="973.56"/>
    <x v="5"/>
    <s v="Sports"/>
    <s v="Corporate"/>
    <n v="56"/>
    <s v="West"/>
    <x v="6"/>
  </r>
  <r>
    <s v="ORD-00923"/>
    <n v="45546"/>
    <n v="10680.35"/>
    <x v="19"/>
    <s v="Grocery"/>
    <s v="Corporate"/>
    <n v="40"/>
    <s v="North"/>
    <x v="0"/>
  </r>
  <r>
    <s v="ORD-00924"/>
    <n v="45625"/>
    <n v="1931.77"/>
    <x v="23"/>
    <s v="Grocery"/>
    <s v="Retail"/>
    <n v="61"/>
    <s v="South"/>
    <x v="4"/>
  </r>
  <r>
    <s v="ORD-00925"/>
    <n v="45579"/>
    <n v="12185.4"/>
    <x v="26"/>
    <s v="Apparel"/>
    <s v="Retail"/>
    <n v="52"/>
    <s v="East"/>
    <x v="9"/>
  </r>
  <r>
    <s v="ORD-00926"/>
    <n v="45323"/>
    <n v="17165.68"/>
    <x v="8"/>
    <s v="Beauty"/>
    <s v="Retail"/>
    <n v="44"/>
    <s v="West"/>
    <x v="1"/>
  </r>
  <r>
    <s v="ORD-00927"/>
    <n v="45613"/>
    <n v="6033.16"/>
    <x v="29"/>
    <s v="Home"/>
    <s v="Retail"/>
    <n v="47"/>
    <s v="South"/>
    <x v="4"/>
  </r>
  <r>
    <s v="ORD-00928"/>
    <n v="45362"/>
    <n v="13261.8"/>
    <x v="2"/>
    <s v="Apparel"/>
    <s v="Retail"/>
    <n v="38"/>
    <s v="South"/>
    <x v="2"/>
  </r>
  <r>
    <s v="ORD-00929"/>
    <n v="45347"/>
    <n v="4416"/>
    <x v="8"/>
    <s v="Beauty"/>
    <s v="Retail"/>
    <n v="44"/>
    <s v="West"/>
    <x v="1"/>
  </r>
  <r>
    <s v="ORD-00930"/>
    <n v="45550"/>
    <n v="24538.57"/>
    <x v="19"/>
    <s v="Electronics"/>
    <s v="Retail"/>
    <n v="52"/>
    <s v="North"/>
    <x v="0"/>
  </r>
  <r>
    <s v="ORD-00931"/>
    <n v="45554"/>
    <n v="14607"/>
    <x v="17"/>
    <s v="Sports"/>
    <s v="Corporate"/>
    <n v="46"/>
    <s v="West"/>
    <x v="0"/>
  </r>
  <r>
    <s v="ORD-00932"/>
    <n v="45428"/>
    <n v="26132.400000000001"/>
    <x v="0"/>
    <s v="Electronics"/>
    <s v="Corporate"/>
    <n v="37"/>
    <s v="North"/>
    <x v="3"/>
  </r>
  <r>
    <s v="ORD-00933"/>
    <n v="45517"/>
    <n v="13267.8"/>
    <x v="2"/>
    <s v="Electronics"/>
    <s v="SMB"/>
    <n v="54"/>
    <s v="South"/>
    <x v="7"/>
  </r>
  <r>
    <s v="ORD-00934"/>
    <n v="45442"/>
    <n v="2752.32"/>
    <x v="17"/>
    <s v="Sports"/>
    <s v="Corporate"/>
    <n v="55"/>
    <s v="West"/>
    <x v="3"/>
  </r>
  <r>
    <s v="ORD-00935"/>
    <n v="45371"/>
    <n v="1321.17"/>
    <x v="5"/>
    <s v="Sports"/>
    <s v="Retail"/>
    <n v="29"/>
    <s v="West"/>
    <x v="2"/>
  </r>
  <r>
    <s v="ORD-00936"/>
    <n v="45540"/>
    <n v="9140.0400000000009"/>
    <x v="10"/>
    <s v="Sports"/>
    <s v="SMB"/>
    <n v="51"/>
    <s v="North"/>
    <x v="0"/>
  </r>
  <r>
    <s v="ORD-00937"/>
    <n v="45392"/>
    <n v="30327.8"/>
    <x v="7"/>
    <s v="Sports"/>
    <s v="Retail"/>
    <n v="56"/>
    <s v="East"/>
    <x v="5"/>
  </r>
  <r>
    <s v="ORD-00938"/>
    <n v="45386"/>
    <n v="6927.3"/>
    <x v="14"/>
    <s v="Electronics"/>
    <s v="Retail"/>
    <n v="22"/>
    <s v="West"/>
    <x v="5"/>
  </r>
  <r>
    <s v="ORD-00939"/>
    <n v="45516"/>
    <n v="30988.48"/>
    <x v="2"/>
    <s v="Sports"/>
    <s v="Corporate"/>
    <n v="41"/>
    <s v="South"/>
    <x v="7"/>
  </r>
  <r>
    <s v="ORD-00940"/>
    <n v="45618"/>
    <n v="24371.83"/>
    <x v="14"/>
    <s v="Electronics"/>
    <s v="Corporate"/>
    <n v="47"/>
    <s v="West"/>
    <x v="4"/>
  </r>
  <r>
    <s v="ORD-00941"/>
    <n v="45610"/>
    <n v="34179.5"/>
    <x v="19"/>
    <s v="Sports"/>
    <s v="Retail"/>
    <n v="53"/>
    <s v="North"/>
    <x v="4"/>
  </r>
  <r>
    <s v="ORD-00942"/>
    <n v="45541"/>
    <n v="21589.119999999999"/>
    <x v="3"/>
    <s v="Apparel"/>
    <s v="Corporate"/>
    <n v="55"/>
    <s v="North"/>
    <x v="0"/>
  </r>
  <r>
    <s v="ORD-00943"/>
    <n v="45497"/>
    <n v="1507.16"/>
    <x v="6"/>
    <s v="Apparel"/>
    <s v="Corporate"/>
    <n v="43"/>
    <s v="West"/>
    <x v="10"/>
  </r>
  <r>
    <s v="ORD-00944"/>
    <n v="45567"/>
    <n v="2534.84"/>
    <x v="14"/>
    <s v="Beauty"/>
    <s v="SMB"/>
    <n v="34"/>
    <s v="West"/>
    <x v="9"/>
  </r>
  <r>
    <s v="ORD-00945"/>
    <n v="45451"/>
    <n v="33978.6"/>
    <x v="19"/>
    <s v="Electronics"/>
    <s v="Retail"/>
    <n v="29"/>
    <s v="North"/>
    <x v="6"/>
  </r>
  <r>
    <s v="ORD-00946"/>
    <n v="45488"/>
    <n v="17744.86"/>
    <x v="25"/>
    <s v="Electronics"/>
    <s v="Retail"/>
    <n v="50"/>
    <s v="North"/>
    <x v="10"/>
  </r>
  <r>
    <s v="ORD-00947"/>
    <n v="45431"/>
    <n v="11523.96"/>
    <x v="18"/>
    <s v="Electronics"/>
    <s v="SMB"/>
    <n v="51"/>
    <s v="South"/>
    <x v="3"/>
  </r>
  <r>
    <s v="ORD-00948"/>
    <n v="45393"/>
    <n v="3954.44"/>
    <x v="25"/>
    <s v="Home"/>
    <s v="SMB"/>
    <n v="52"/>
    <s v="North"/>
    <x v="5"/>
  </r>
  <r>
    <s v="ORD-00949"/>
    <n v="45427"/>
    <n v="14068.32"/>
    <x v="22"/>
    <s v="Apparel"/>
    <s v="Corporate"/>
    <n v="43"/>
    <s v="South"/>
    <x v="3"/>
  </r>
  <r>
    <s v="ORD-00950"/>
    <n v="45591"/>
    <n v="19913.599999999999"/>
    <x v="2"/>
    <s v="Home"/>
    <s v="SMB"/>
    <n v="55"/>
    <s v="South"/>
    <x v="9"/>
  </r>
  <r>
    <s v="ORD-00951"/>
    <n v="45327"/>
    <n v="20327.400000000001"/>
    <x v="9"/>
    <s v="Beauty"/>
    <s v="Corporate"/>
    <n v="37"/>
    <s v="South"/>
    <x v="1"/>
  </r>
  <r>
    <s v="ORD-00952"/>
    <n v="45575"/>
    <n v="9863.5499999999993"/>
    <x v="29"/>
    <s v="Sports"/>
    <s v="Retail"/>
    <n v="39"/>
    <s v="South"/>
    <x v="9"/>
  </r>
  <r>
    <s v="ORD-00953"/>
    <n v="45367"/>
    <n v="31191.16"/>
    <x v="28"/>
    <s v="Electronics"/>
    <s v="Retail"/>
    <n v="26"/>
    <s v="West"/>
    <x v="2"/>
  </r>
  <r>
    <s v="ORD-00954"/>
    <n v="45522"/>
    <n v="11522.94"/>
    <x v="11"/>
    <s v="Grocery"/>
    <s v="Retail"/>
    <n v="52"/>
    <s v="North"/>
    <x v="7"/>
  </r>
  <r>
    <s v="ORD-00955"/>
    <n v="45579"/>
    <n v="7888.32"/>
    <x v="17"/>
    <s v="Home"/>
    <s v="Retail"/>
    <n v="41"/>
    <s v="West"/>
    <x v="9"/>
  </r>
  <r>
    <s v="ORD-00956"/>
    <n v="45495"/>
    <n v="15185.9"/>
    <x v="15"/>
    <s v="Apparel"/>
    <s v="SMB"/>
    <n v="44"/>
    <s v="South"/>
    <x v="10"/>
  </r>
  <r>
    <s v="ORD-00957"/>
    <n v="45483"/>
    <n v="22801.8"/>
    <x v="23"/>
    <s v="Apparel"/>
    <s v="Retail"/>
    <n v="36"/>
    <s v="South"/>
    <x v="10"/>
  </r>
  <r>
    <s v="ORD-00958"/>
    <n v="45496"/>
    <n v="13300.56"/>
    <x v="5"/>
    <s v="Home"/>
    <s v="Retail"/>
    <n v="41"/>
    <s v="West"/>
    <x v="10"/>
  </r>
  <r>
    <s v="ORD-00959"/>
    <n v="45350"/>
    <n v="15328.5"/>
    <x v="23"/>
    <s v="Beauty"/>
    <s v="SMB"/>
    <n v="51"/>
    <s v="South"/>
    <x v="1"/>
  </r>
  <r>
    <s v="ORD-00960"/>
    <n v="45517"/>
    <n v="9096.9599999999991"/>
    <x v="21"/>
    <s v="Grocery"/>
    <s v="SMB"/>
    <n v="65"/>
    <s v="East"/>
    <x v="7"/>
  </r>
  <r>
    <s v="ORD-00961"/>
    <n v="45460"/>
    <n v="15197.16"/>
    <x v="18"/>
    <s v="Electronics"/>
    <s v="Corporate"/>
    <n v="47"/>
    <s v="South"/>
    <x v="6"/>
  </r>
  <r>
    <s v="ORD-00962"/>
    <n v="45509"/>
    <n v="9265.92"/>
    <x v="9"/>
    <s v="Beauty"/>
    <s v="SMB"/>
    <n v="49"/>
    <s v="South"/>
    <x v="7"/>
  </r>
  <r>
    <s v="ORD-00963"/>
    <n v="45602"/>
    <n v="6455.88"/>
    <x v="10"/>
    <s v="Grocery"/>
    <s v="Retail"/>
    <n v="43"/>
    <s v="North"/>
    <x v="4"/>
  </r>
  <r>
    <s v="ORD-00964"/>
    <n v="45441"/>
    <n v="29298.6"/>
    <x v="10"/>
    <s v="Electronics"/>
    <s v="Corporate"/>
    <n v="47"/>
    <s v="North"/>
    <x v="3"/>
  </r>
  <r>
    <s v="ORD-00965"/>
    <n v="45378"/>
    <n v="19971.599999999999"/>
    <x v="22"/>
    <s v="Beauty"/>
    <s v="Retail"/>
    <n v="26"/>
    <s v="South"/>
    <x v="2"/>
  </r>
  <r>
    <s v="ORD-00966"/>
    <n v="45428"/>
    <n v="12487.7"/>
    <x v="6"/>
    <s v="Beauty"/>
    <s v="Corporate"/>
    <n v="33"/>
    <s v="West"/>
    <x v="3"/>
  </r>
  <r>
    <s v="ORD-00967"/>
    <n v="45521"/>
    <n v="7580.16"/>
    <x v="29"/>
    <s v="Sports"/>
    <s v="Retail"/>
    <n v="37"/>
    <s v="South"/>
    <x v="7"/>
  </r>
  <r>
    <s v="ORD-00968"/>
    <n v="45612"/>
    <n v="18838.080000000002"/>
    <x v="4"/>
    <s v="Apparel"/>
    <s v="SMB"/>
    <n v="65"/>
    <s v="North"/>
    <x v="4"/>
  </r>
  <r>
    <s v="ORD-00969"/>
    <n v="45566"/>
    <n v="728.47"/>
    <x v="27"/>
    <s v="Grocery"/>
    <s v="Unknown"/>
    <s v=""/>
    <s v="South"/>
    <x v="9"/>
  </r>
  <r>
    <s v="ORD-00970"/>
    <n v="45606"/>
    <n v="8615.6"/>
    <x v="24"/>
    <s v="Grocery"/>
    <s v="SMB"/>
    <n v="53"/>
    <s v="East"/>
    <x v="4"/>
  </r>
  <r>
    <s v="ORD-00971"/>
    <n v="45423"/>
    <n v="17593.32"/>
    <x v="1"/>
    <s v="Sports"/>
    <s v="Retail"/>
    <n v="60"/>
    <s v="North"/>
    <x v="3"/>
  </r>
  <r>
    <s v="ORD-00972"/>
    <n v="45573"/>
    <n v="33248.6"/>
    <x v="24"/>
    <s v="Home"/>
    <s v="Retail"/>
    <n v="28"/>
    <s v="East"/>
    <x v="9"/>
  </r>
  <r>
    <s v="ORD-00973"/>
    <n v="45339"/>
    <n v="5734.3"/>
    <x v="5"/>
    <s v="Electronics"/>
    <s v="Retail"/>
    <n v="39"/>
    <s v="West"/>
    <x v="1"/>
  </r>
  <r>
    <s v="ORD-00974"/>
    <n v="45611"/>
    <n v="3820.74"/>
    <x v="23"/>
    <s v="Home"/>
    <s v="SMB"/>
    <n v="38"/>
    <s v="South"/>
    <x v="4"/>
  </r>
  <r>
    <s v="ORD-00975"/>
    <n v="45505"/>
    <n v="12705"/>
    <x v="10"/>
    <s v="Beauty"/>
    <s v="Retail"/>
    <n v="36"/>
    <s v="North"/>
    <x v="7"/>
  </r>
  <r>
    <s v="ORD-01662"/>
    <n v="45358"/>
    <n v="16773.900000000001"/>
    <x v="11"/>
    <s v="Grocery"/>
    <s v="SMB"/>
    <n v="48"/>
    <s v="North"/>
    <x v="2"/>
  </r>
  <r>
    <s v="ORD-00977"/>
    <n v="45519"/>
    <n v="3325.44"/>
    <x v="24"/>
    <s v="Sports"/>
    <s v="Retail"/>
    <n v="44"/>
    <s v="East"/>
    <x v="7"/>
  </r>
  <r>
    <s v="ORD-00978"/>
    <n v="45628"/>
    <n v="26578.799999999999"/>
    <x v="24"/>
    <s v="Beauty"/>
    <s v="Retail"/>
    <n v="38"/>
    <s v="East"/>
    <x v="8"/>
  </r>
  <r>
    <s v="ORD-00979"/>
    <n v="45481"/>
    <n v="11022.9"/>
    <x v="1"/>
    <s v="Home"/>
    <s v="Unknown"/>
    <s v=""/>
    <s v="North"/>
    <x v="10"/>
  </r>
  <r>
    <s v="ORD-00980"/>
    <n v="45399"/>
    <n v="17339.7"/>
    <x v="18"/>
    <s v="Apparel"/>
    <s v="SMB"/>
    <n v="24"/>
    <s v="South"/>
    <x v="5"/>
  </r>
  <r>
    <s v="ORD-00981"/>
    <n v="45531"/>
    <n v="22464.54"/>
    <x v="23"/>
    <s v="Grocery"/>
    <s v="Retail"/>
    <n v="49"/>
    <s v="South"/>
    <x v="7"/>
  </r>
  <r>
    <s v="ORD-00947"/>
    <n v="45417"/>
    <n v="9406.08"/>
    <x v="25"/>
    <s v="Grocery"/>
    <s v="Retail"/>
    <n v="50"/>
    <s v="North"/>
    <x v="3"/>
  </r>
  <r>
    <s v="ORD-00983"/>
    <n v="45327"/>
    <n v="5303.76"/>
    <x v="20"/>
    <s v="Beauty"/>
    <s v="Retail"/>
    <n v="31"/>
    <s v="West"/>
    <x v="1"/>
  </r>
  <r>
    <s v="ORD-00984"/>
    <n v="45438"/>
    <n v="6288.78"/>
    <x v="0"/>
    <s v="Home"/>
    <s v="Retail"/>
    <n v="27"/>
    <s v="North"/>
    <x v="3"/>
  </r>
  <r>
    <s v="ORD-00985"/>
    <n v="45577"/>
    <n v="14606.68"/>
    <x v="28"/>
    <s v="Home"/>
    <s v="Retail"/>
    <n v="52"/>
    <s v="West"/>
    <x v="9"/>
  </r>
  <r>
    <s v="ORD-00986"/>
    <n v="45457"/>
    <n v="2218.3200000000002"/>
    <x v="22"/>
    <s v="Apparel"/>
    <s v="Retail"/>
    <n v="62"/>
    <s v="South"/>
    <x v="6"/>
  </r>
  <r>
    <s v="ORD-00987"/>
    <n v="45544"/>
    <n v="18899.37"/>
    <x v="24"/>
    <s v="Beauty"/>
    <s v="Retail"/>
    <n v="53"/>
    <s v="East"/>
    <x v="0"/>
  </r>
  <r>
    <s v="ORD-00988"/>
    <n v="45632"/>
    <n v="7337.52"/>
    <x v="22"/>
    <s v="Electronics"/>
    <s v="Corporate"/>
    <n v="48"/>
    <s v="South"/>
    <x v="8"/>
  </r>
  <r>
    <s v="ORD-00989"/>
    <n v="45465"/>
    <n v="14297.85"/>
    <x v="0"/>
    <s v="Electronics"/>
    <s v="Retail"/>
    <n v="55"/>
    <s v="North"/>
    <x v="6"/>
  </r>
  <r>
    <s v="ORD-00990"/>
    <n v="45342"/>
    <n v="4938.8999999999996"/>
    <x v="19"/>
    <s v="Sports"/>
    <s v="Retail"/>
    <n v="38"/>
    <s v="North"/>
    <x v="1"/>
  </r>
  <r>
    <s v="ORD-00991"/>
    <n v="45309"/>
    <n v="19052.8"/>
    <x v="10"/>
    <s v="Beauty"/>
    <s v="Corporate"/>
    <n v="51"/>
    <s v="North"/>
    <x v="11"/>
  </r>
  <r>
    <s v="ORD-00992"/>
    <n v="45493"/>
    <n v="12004.44"/>
    <x v="7"/>
    <s v="Home"/>
    <s v="Corporate"/>
    <n v="52"/>
    <s v="East"/>
    <x v="10"/>
  </r>
  <r>
    <s v="ORD-00993"/>
    <n v="45356"/>
    <n v="2085.81"/>
    <x v="11"/>
    <s v="Apparel"/>
    <s v="Corporate"/>
    <n v="37"/>
    <s v="North"/>
    <x v="2"/>
  </r>
  <r>
    <s v="ORD-00994"/>
    <n v="45367"/>
    <n v="2213.66"/>
    <x v="18"/>
    <s v="Beauty"/>
    <s v="SMB"/>
    <n v="27"/>
    <s v="South"/>
    <x v="2"/>
  </r>
  <r>
    <s v="ORD-00995"/>
    <n v="45313"/>
    <n v="1059.06"/>
    <x v="27"/>
    <s v="Sports"/>
    <s v="Retail"/>
    <n v="62"/>
    <s v="South"/>
    <x v="11"/>
  </r>
  <r>
    <s v="ORD-00996"/>
    <n v="45529"/>
    <n v="10535.7"/>
    <x v="25"/>
    <s v="Home"/>
    <s v="Retail"/>
    <n v="36"/>
    <s v="North"/>
    <x v="7"/>
  </r>
  <r>
    <s v="ORD-00997"/>
    <n v="45547"/>
    <n v="29672.5"/>
    <x v="27"/>
    <s v="Home"/>
    <s v="Retail"/>
    <n v="52"/>
    <s v="South"/>
    <x v="0"/>
  </r>
  <r>
    <s v="ORD-00998"/>
    <n v="45299"/>
    <n v="12916.89"/>
    <x v="20"/>
    <s v="Home"/>
    <s v="Retail"/>
    <n v="65"/>
    <s v="West"/>
    <x v="11"/>
  </r>
  <r>
    <s v="ORD-00999"/>
    <n v="45380"/>
    <n v="2072.98"/>
    <x v="5"/>
    <s v="Grocery"/>
    <s v="SMB"/>
    <n v="47"/>
    <s v="West"/>
    <x v="2"/>
  </r>
  <r>
    <s v="ORD-01000"/>
    <n v="45521"/>
    <n v="28117.5"/>
    <x v="6"/>
    <s v="Apparel"/>
    <s v="Retail"/>
    <n v="38"/>
    <s v="West"/>
    <x v="7"/>
  </r>
  <r>
    <s v="ORD-01001"/>
    <n v="45500"/>
    <n v="23289.200000000001"/>
    <x v="25"/>
    <s v="Apparel"/>
    <s v="Corporate"/>
    <n v="29"/>
    <s v="North"/>
    <x v="10"/>
  </r>
  <r>
    <s v="ORD-01002"/>
    <n v="45531"/>
    <n v="42437.7"/>
    <x v="17"/>
    <s v="Home"/>
    <s v="Retail"/>
    <n v="60"/>
    <s v="West"/>
    <x v="7"/>
  </r>
  <r>
    <s v="ORD-01003"/>
    <n v="45563"/>
    <n v="19608.16"/>
    <x v="3"/>
    <s v="Sports"/>
    <s v="SMB"/>
    <n v="46"/>
    <s v="North"/>
    <x v="0"/>
  </r>
  <r>
    <s v="ORD-01004"/>
    <n v="45416"/>
    <n v="845.76"/>
    <x v="23"/>
    <s v="Beauty"/>
    <s v="Retail"/>
    <n v="34"/>
    <s v="South"/>
    <x v="3"/>
  </r>
  <r>
    <s v="ORD-01005"/>
    <n v="45430"/>
    <n v="2397.6"/>
    <x v="0"/>
    <s v="Home"/>
    <s v="Retail"/>
    <n v="32"/>
    <s v="North"/>
    <x v="3"/>
  </r>
  <r>
    <s v="ORD-01006"/>
    <n v="45585"/>
    <n v="24853.4"/>
    <x v="19"/>
    <s v="Sports"/>
    <s v="SMB"/>
    <n v="54"/>
    <s v="North"/>
    <x v="9"/>
  </r>
  <r>
    <s v="ORD-01007"/>
    <n v="45630"/>
    <n v="8932.56"/>
    <x v="19"/>
    <s v="Apparel"/>
    <s v="Retail"/>
    <n v="34"/>
    <s v="North"/>
    <x v="8"/>
  </r>
  <r>
    <s v="ORD-01008"/>
    <n v="45405"/>
    <n v="7866.24"/>
    <x v="26"/>
    <s v="Apparel"/>
    <s v="SMB"/>
    <n v="40"/>
    <s v="East"/>
    <x v="5"/>
  </r>
  <r>
    <s v="ORD-01009"/>
    <n v="45630"/>
    <n v="7409.28"/>
    <x v="4"/>
    <s v="Grocery"/>
    <s v="SMB"/>
    <n v="48"/>
    <s v="North"/>
    <x v="8"/>
  </r>
  <r>
    <s v="ORD-01010"/>
    <n v="45483"/>
    <n v="5252.1"/>
    <x v="20"/>
    <s v="Electronics"/>
    <s v="SMB"/>
    <n v="25"/>
    <s v="West"/>
    <x v="10"/>
  </r>
  <r>
    <s v="ORD-01011"/>
    <n v="45530"/>
    <n v="17466.240000000002"/>
    <x v="15"/>
    <s v="Electronics"/>
    <s v="Retail"/>
    <n v="29"/>
    <s v="South"/>
    <x v="7"/>
  </r>
  <r>
    <s v="ORD-01012"/>
    <n v="45500"/>
    <n v="698.4"/>
    <x v="15"/>
    <s v="Grocery"/>
    <s v="SMB"/>
    <n v="44"/>
    <s v="South"/>
    <x v="10"/>
  </r>
  <r>
    <s v="ORD-01013"/>
    <n v="45358"/>
    <n v="29213.360000000001"/>
    <x v="5"/>
    <s v="Home"/>
    <s v="Retail"/>
    <n v="44"/>
    <s v="West"/>
    <x v="2"/>
  </r>
  <r>
    <s v="ORD-01014"/>
    <n v="45598"/>
    <n v="5058.55"/>
    <x v="6"/>
    <s v="Grocery"/>
    <s v="Retail"/>
    <n v="31"/>
    <s v="West"/>
    <x v="4"/>
  </r>
  <r>
    <s v="ORD-01015"/>
    <n v="45318"/>
    <n v="19299.419999999998"/>
    <x v="24"/>
    <s v="Electronics"/>
    <s v="SMB"/>
    <n v="28"/>
    <s v="East"/>
    <x v="11"/>
  </r>
  <r>
    <s v="ORD-01016"/>
    <n v="45524"/>
    <n v="4679.28"/>
    <x v="29"/>
    <s v="Grocery"/>
    <s v="Retail"/>
    <n v="26"/>
    <s v="South"/>
    <x v="7"/>
  </r>
  <r>
    <s v="ORD-01017"/>
    <n v="45554"/>
    <n v="22226.400000000001"/>
    <x v="23"/>
    <s v="Sports"/>
    <s v="SMB"/>
    <n v="50"/>
    <s v="South"/>
    <x v="0"/>
  </r>
  <r>
    <s v="ORD-01018"/>
    <n v="45528"/>
    <n v="14198.4"/>
    <x v="23"/>
    <s v="Sports"/>
    <s v="Retail"/>
    <n v="28"/>
    <s v="South"/>
    <x v="7"/>
  </r>
  <r>
    <s v="ORD-01019"/>
    <n v="45486"/>
    <n v="26227.5"/>
    <x v="13"/>
    <s v="Home"/>
    <s v="SMB"/>
    <n v="38"/>
    <s v="East"/>
    <x v="10"/>
  </r>
  <r>
    <s v="ORD-01020"/>
    <n v="45336"/>
    <n v="14760.48"/>
    <x v="2"/>
    <s v="Grocery"/>
    <s v="Retail"/>
    <n v="44"/>
    <s v="South"/>
    <x v="1"/>
  </r>
  <r>
    <s v="ORD-01021"/>
    <n v="45463"/>
    <n v="7893.27"/>
    <x v="19"/>
    <s v="Electronics"/>
    <s v="SMB"/>
    <n v="64"/>
    <s v="North"/>
    <x v="6"/>
  </r>
  <r>
    <s v="ORD-01022"/>
    <n v="45392"/>
    <n v="13592.88"/>
    <x v="15"/>
    <s v="Grocery"/>
    <s v="Retail"/>
    <n v="26"/>
    <s v="South"/>
    <x v="5"/>
  </r>
  <r>
    <s v="ORD-01023"/>
    <n v="45600"/>
    <n v="13770.9"/>
    <x v="7"/>
    <s v="Electronics"/>
    <s v="Retail"/>
    <n v="61"/>
    <s v="East"/>
    <x v="4"/>
  </r>
  <r>
    <s v="ORD-01024"/>
    <n v="45411"/>
    <n v="12544.02"/>
    <x v="23"/>
    <s v="Grocery"/>
    <s v="SMB"/>
    <n v="29"/>
    <s v="South"/>
    <x v="5"/>
  </r>
  <r>
    <s v="ORD-01025"/>
    <n v="45406"/>
    <n v="940.31"/>
    <x v="22"/>
    <s v="Sports"/>
    <s v="Corporate"/>
    <n v="52"/>
    <s v="South"/>
    <x v="5"/>
  </r>
  <r>
    <s v="ORD-01026"/>
    <n v="45411"/>
    <n v="4570.28"/>
    <x v="2"/>
    <s v="Sports"/>
    <s v="SMB"/>
    <n v="40"/>
    <s v="South"/>
    <x v="5"/>
  </r>
  <r>
    <s v="ORD-01027"/>
    <n v="45461"/>
    <n v="19679.400000000001"/>
    <x v="7"/>
    <s v="Electronics"/>
    <s v="Corporate"/>
    <n v="44"/>
    <s v="East"/>
    <x v="6"/>
  </r>
  <r>
    <s v="ORD-01028"/>
    <n v="45409"/>
    <n v="3614.3"/>
    <x v="6"/>
    <s v="Sports"/>
    <s v="Retail"/>
    <n v="57"/>
    <s v="West"/>
    <x v="5"/>
  </r>
  <r>
    <s v="ORD-01029"/>
    <n v="45495"/>
    <n v="5979.6"/>
    <x v="22"/>
    <s v="Home"/>
    <s v="Retail"/>
    <n v="32"/>
    <s v="South"/>
    <x v="10"/>
  </r>
  <r>
    <s v="ORD-01030"/>
    <n v="45307"/>
    <n v="4678.7"/>
    <x v="12"/>
    <s v="Electronics"/>
    <s v="SMB"/>
    <n v="49"/>
    <s v="East"/>
    <x v="11"/>
  </r>
  <r>
    <s v="ORD-01031"/>
    <n v="45294"/>
    <n v="23517"/>
    <x v="23"/>
    <s v="Home"/>
    <s v="SMB"/>
    <n v="48"/>
    <s v="South"/>
    <x v="11"/>
  </r>
  <r>
    <s v="ORD-01032"/>
    <n v="45542"/>
    <n v="3081.4"/>
    <x v="26"/>
    <s v="Apparel"/>
    <s v="Retail"/>
    <n v="36"/>
    <s v="East"/>
    <x v="0"/>
  </r>
  <r>
    <s v="ORD-01033"/>
    <n v="45453"/>
    <n v="30695.94"/>
    <x v="3"/>
    <s v="Grocery"/>
    <s v="Retail"/>
    <n v="49"/>
    <s v="North"/>
    <x v="6"/>
  </r>
  <r>
    <s v="ORD-01034"/>
    <n v="45351"/>
    <n v="19263.36"/>
    <x v="0"/>
    <s v="Apparel"/>
    <s v="Retail"/>
    <n v="27"/>
    <s v="North"/>
    <x v="1"/>
  </r>
  <r>
    <s v="ORD-01035"/>
    <n v="45422"/>
    <n v="4660.8900000000003"/>
    <x v="24"/>
    <s v="Grocery"/>
    <s v="Retail"/>
    <n v="36"/>
    <s v="East"/>
    <x v="3"/>
  </r>
  <r>
    <s v="ORD-01036"/>
    <n v="45361"/>
    <n v="3083.67"/>
    <x v="5"/>
    <s v="Sports"/>
    <s v="Retail"/>
    <n v="61"/>
    <s v="West"/>
    <x v="2"/>
  </r>
  <r>
    <s v="ORD-01037"/>
    <n v="45622"/>
    <n v="2100.12"/>
    <x v="16"/>
    <s v="Home"/>
    <s v="Retail"/>
    <n v="38"/>
    <s v="East"/>
    <x v="4"/>
  </r>
  <r>
    <s v="ORD-01038"/>
    <n v="45496"/>
    <n v="29673"/>
    <x v="26"/>
    <s v="Sports"/>
    <s v="Retail"/>
    <n v="44"/>
    <s v="East"/>
    <x v="10"/>
  </r>
  <r>
    <s v="ORD-01039"/>
    <n v="45578"/>
    <n v="26677.360000000001"/>
    <x v="18"/>
    <s v="Sports"/>
    <s v="Retail"/>
    <n v="59"/>
    <s v="South"/>
    <x v="9"/>
  </r>
  <r>
    <s v="ORD-01040"/>
    <n v="45476"/>
    <n v="8873.67"/>
    <x v="24"/>
    <s v="Home"/>
    <s v="SMB"/>
    <n v="48"/>
    <s v="East"/>
    <x v="10"/>
  </r>
  <r>
    <s v="ORD-01041"/>
    <n v="45300"/>
    <n v="38120.32"/>
    <x v="5"/>
    <s v="Home"/>
    <s v="Retail"/>
    <n v="37"/>
    <s v="West"/>
    <x v="11"/>
  </r>
  <r>
    <s v="ORD-01042"/>
    <n v="45455"/>
    <n v="25643.4"/>
    <x v="19"/>
    <s v="Sports"/>
    <s v="Retail"/>
    <n v="32"/>
    <s v="North"/>
    <x v="6"/>
  </r>
  <r>
    <s v="ORD-01043"/>
    <n v="45404"/>
    <n v="11456.64"/>
    <x v="17"/>
    <s v="Apparel"/>
    <s v="Retail"/>
    <n v="44"/>
    <s v="West"/>
    <x v="5"/>
  </r>
  <r>
    <s v="ORD-01044"/>
    <n v="45468"/>
    <n v="944.28"/>
    <x v="9"/>
    <s v="Electronics"/>
    <s v="SMB"/>
    <n v="44"/>
    <s v="South"/>
    <x v="6"/>
  </r>
  <r>
    <s v="ORD-01045"/>
    <n v="45640"/>
    <n v="45237.599999999999"/>
    <x v="4"/>
    <s v="Beauty"/>
    <s v="Retail"/>
    <n v="31"/>
    <s v="North"/>
    <x v="8"/>
  </r>
  <r>
    <s v="ORD-01046"/>
    <n v="45450"/>
    <n v="22336.799999999999"/>
    <x v="13"/>
    <s v="Grocery"/>
    <s v="Corporate"/>
    <n v="62"/>
    <s v="East"/>
    <x v="6"/>
  </r>
  <r>
    <s v="ORD-01047"/>
    <n v="45589"/>
    <n v="6743.44"/>
    <x v="11"/>
    <s v="Grocery"/>
    <s v="SMB"/>
    <n v="53"/>
    <s v="North"/>
    <x v="9"/>
  </r>
  <r>
    <s v="ORD-01048"/>
    <n v="45646"/>
    <n v="14894.04"/>
    <x v="27"/>
    <s v="Grocery"/>
    <s v="Corporate"/>
    <n v="27"/>
    <s v="South"/>
    <x v="8"/>
  </r>
  <r>
    <s v="ORD-01049"/>
    <n v="45488"/>
    <n v="17093.64"/>
    <x v="29"/>
    <s v="Apparel"/>
    <s v="Corporate"/>
    <n v="25"/>
    <s v="South"/>
    <x v="10"/>
  </r>
  <r>
    <s v="ORD-01050"/>
    <n v="45555"/>
    <n v="11208.78"/>
    <x v="28"/>
    <s v="Grocery"/>
    <s v="Retail"/>
    <n v="59"/>
    <s v="West"/>
    <x v="0"/>
  </r>
  <r>
    <s v="ORD-01051"/>
    <n v="45578"/>
    <n v="29824.799999999999"/>
    <x v="17"/>
    <s v="Beauty"/>
    <s v="Corporate"/>
    <n v="43"/>
    <s v="West"/>
    <x v="9"/>
  </r>
  <r>
    <s v="ORD-01052"/>
    <n v="45296"/>
    <n v="7383.9"/>
    <x v="21"/>
    <s v="Beauty"/>
    <s v="Corporate"/>
    <n v="62"/>
    <s v="East"/>
    <x v="11"/>
  </r>
  <r>
    <s v="ORD-01053"/>
    <n v="45564"/>
    <n v="7134.72"/>
    <x v="25"/>
    <s v="Beauty"/>
    <s v="Corporate"/>
    <n v="42"/>
    <s v="North"/>
    <x v="0"/>
  </r>
  <r>
    <s v="ORD-01054"/>
    <n v="45383"/>
    <n v="38120.32"/>
    <x v="15"/>
    <s v="Home"/>
    <s v="Retail"/>
    <n v="61"/>
    <s v="South"/>
    <x v="5"/>
  </r>
  <r>
    <s v="ORD-01055"/>
    <n v="45436"/>
    <n v="27068.16"/>
    <x v="9"/>
    <s v="Beauty"/>
    <s v="Corporate"/>
    <n v="34"/>
    <s v="South"/>
    <x v="3"/>
  </r>
  <r>
    <s v="ORD-01056"/>
    <n v="45544"/>
    <n v="5805.8"/>
    <x v="9"/>
    <s v="Beauty"/>
    <s v="Retail"/>
    <n v="38"/>
    <s v="South"/>
    <x v="0"/>
  </r>
  <r>
    <s v="ORD-01057"/>
    <n v="45404"/>
    <n v="3922.84"/>
    <x v="6"/>
    <s v="Sports"/>
    <s v="Retail"/>
    <n v="27"/>
    <s v="West"/>
    <x v="5"/>
  </r>
  <r>
    <s v="ORD-01058"/>
    <n v="45586"/>
    <n v="4252.8"/>
    <x v="17"/>
    <s v="Beauty"/>
    <s v="SMB"/>
    <n v="48"/>
    <s v="West"/>
    <x v="9"/>
  </r>
  <r>
    <s v="ORD-01059"/>
    <n v="45524"/>
    <n v="1453.76"/>
    <x v="9"/>
    <s v="Beauty"/>
    <s v="SMB"/>
    <n v="64"/>
    <s v="South"/>
    <x v="7"/>
  </r>
  <r>
    <s v="ORD-01060"/>
    <n v="45397"/>
    <n v="29516.85"/>
    <x v="7"/>
    <s v="Beauty"/>
    <s v="SMB"/>
    <n v="45"/>
    <s v="East"/>
    <x v="5"/>
  </r>
  <r>
    <s v="ORD-01061"/>
    <n v="45336"/>
    <n v="23014.95"/>
    <x v="13"/>
    <s v="Sports"/>
    <s v="Retail"/>
    <n v="31"/>
    <s v="East"/>
    <x v="1"/>
  </r>
  <r>
    <s v="ORD-01062"/>
    <n v="45594"/>
    <n v="7881.6"/>
    <x v="7"/>
    <s v="Sports"/>
    <s v="SMB"/>
    <n v="43"/>
    <s v="East"/>
    <x v="9"/>
  </r>
  <r>
    <s v="ORD-01063"/>
    <n v="45617"/>
    <n v="3319.68"/>
    <x v="2"/>
    <s v="Apparel"/>
    <s v="Retail"/>
    <n v="55"/>
    <s v="South"/>
    <x v="4"/>
  </r>
  <r>
    <s v="ORD-01064"/>
    <n v="45378"/>
    <n v="1973.53"/>
    <x v="21"/>
    <s v="Grocery"/>
    <s v="Retail"/>
    <n v="27"/>
    <s v="East"/>
    <x v="2"/>
  </r>
  <r>
    <s v="ORD-01065"/>
    <n v="45318"/>
    <n v="6423.06"/>
    <x v="1"/>
    <s v="Home"/>
    <s v="Corporate"/>
    <n v="46"/>
    <s v="North"/>
    <x v="11"/>
  </r>
  <r>
    <s v="ORD-01066"/>
    <n v="45542"/>
    <n v="28932.68"/>
    <x v="9"/>
    <s v="Sports"/>
    <s v="Corporate"/>
    <n v="48"/>
    <s v="South"/>
    <x v="0"/>
  </r>
  <r>
    <s v="ORD-01067"/>
    <n v="45618"/>
    <n v="24210.9"/>
    <x v="26"/>
    <s v="Grocery"/>
    <s v="Corporate"/>
    <n v="62"/>
    <s v="East"/>
    <x v="4"/>
  </r>
  <r>
    <s v="ORD-01068"/>
    <n v="45555"/>
    <n v="30453.66"/>
    <x v="29"/>
    <s v="Home"/>
    <s v="SMB"/>
    <n v="55"/>
    <s v="South"/>
    <x v="0"/>
  </r>
  <r>
    <s v="ORD-01069"/>
    <n v="45373"/>
    <n v="13002"/>
    <x v="5"/>
    <s v="Electronics"/>
    <s v="Retail"/>
    <n v="61"/>
    <s v="West"/>
    <x v="2"/>
  </r>
  <r>
    <s v="ORD-01070"/>
    <n v="45515"/>
    <n v="10523.34"/>
    <x v="9"/>
    <s v="Apparel"/>
    <s v="Retail"/>
    <n v="53"/>
    <s v="South"/>
    <x v="7"/>
  </r>
  <r>
    <s v="ORD-01071"/>
    <n v="45530"/>
    <n v="2100.9"/>
    <x v="26"/>
    <s v="Sports"/>
    <s v="Retail"/>
    <n v="63"/>
    <s v="East"/>
    <x v="7"/>
  </r>
  <r>
    <s v="ORD-01072"/>
    <n v="45463"/>
    <n v="27982.5"/>
    <x v="18"/>
    <s v="Electronics"/>
    <s v="Retail"/>
    <n v="54"/>
    <s v="South"/>
    <x v="6"/>
  </r>
  <r>
    <s v="ORD-01073"/>
    <n v="45292"/>
    <n v="4389.76"/>
    <x v="2"/>
    <s v="Beauty"/>
    <s v="SMB"/>
    <n v="39"/>
    <s v="South"/>
    <x v="11"/>
  </r>
  <r>
    <s v="ORD-01074"/>
    <n v="45347"/>
    <n v="17688"/>
    <x v="6"/>
    <s v="Beauty"/>
    <s v="SMB"/>
    <n v="40"/>
    <s v="West"/>
    <x v="1"/>
  </r>
  <r>
    <s v="ORD-01075"/>
    <n v="45592"/>
    <n v="33312"/>
    <x v="28"/>
    <s v="Sports"/>
    <s v="Unknown"/>
    <s v=""/>
    <s v="West"/>
    <x v="9"/>
  </r>
  <r>
    <s v="ORD-01076"/>
    <n v="45636"/>
    <n v="333"/>
    <x v="0"/>
    <s v="Home"/>
    <s v="Corporate"/>
    <n v="46"/>
    <s v="North"/>
    <x v="8"/>
  </r>
  <r>
    <s v="ORD-01077"/>
    <n v="45432"/>
    <n v="7916.58"/>
    <x v="16"/>
    <s v="Home"/>
    <s v="SMB"/>
    <n v="49"/>
    <s v="East"/>
    <x v="3"/>
  </r>
  <r>
    <s v="ORD-01078"/>
    <n v="45479"/>
    <n v="17458.2"/>
    <x v="18"/>
    <s v="Grocery"/>
    <s v="Retail"/>
    <n v="33"/>
    <s v="South"/>
    <x v="10"/>
  </r>
  <r>
    <s v="ORD-01079"/>
    <n v="45563"/>
    <n v="1638"/>
    <x v="20"/>
    <s v="Electronics"/>
    <s v="Retail"/>
    <n v="50"/>
    <s v="West"/>
    <x v="0"/>
  </r>
  <r>
    <s v="ORD-01080"/>
    <n v="45523"/>
    <n v="727.2"/>
    <x v="27"/>
    <s v="Electronics"/>
    <s v="Retail"/>
    <n v="63"/>
    <s v="South"/>
    <x v="7"/>
  </r>
  <r>
    <s v="ORD-01081"/>
    <n v="45537"/>
    <n v="4072.32"/>
    <x v="2"/>
    <s v="Beauty"/>
    <s v="Retail"/>
    <n v="39"/>
    <s v="South"/>
    <x v="0"/>
  </r>
  <r>
    <s v="ORD-01082"/>
    <n v="45383"/>
    <n v="1988.52"/>
    <x v="5"/>
    <s v="Grocery"/>
    <s v="Retail"/>
    <n v="41"/>
    <s v="West"/>
    <x v="5"/>
  </r>
  <r>
    <s v="ORD-01083"/>
    <n v="45541"/>
    <n v="19488"/>
    <x v="28"/>
    <s v="Home"/>
    <s v="Corporate"/>
    <n v="59"/>
    <s v="West"/>
    <x v="0"/>
  </r>
  <r>
    <s v="ORD-01084"/>
    <n v="45609"/>
    <n v="7853.76"/>
    <x v="13"/>
    <s v="Home"/>
    <s v="Retail"/>
    <n v="37"/>
    <s v="East"/>
    <x v="4"/>
  </r>
  <r>
    <s v="ORD-01085"/>
    <n v="45463"/>
    <n v="10725"/>
    <x v="5"/>
    <s v="Sports"/>
    <s v="Retail"/>
    <n v="50"/>
    <s v="West"/>
    <x v="6"/>
  </r>
  <r>
    <s v="ORD-01086"/>
    <n v="45588"/>
    <n v="12353.34"/>
    <x v="27"/>
    <s v="Grocery"/>
    <s v="Corporate"/>
    <n v="46"/>
    <s v="South"/>
    <x v="9"/>
  </r>
  <r>
    <s v="ORD-01087"/>
    <n v="45328"/>
    <n v="2306.56"/>
    <x v="6"/>
    <s v="Apparel"/>
    <s v="Retail"/>
    <n v="49"/>
    <s v="West"/>
    <x v="1"/>
  </r>
  <r>
    <s v="ORD-01088"/>
    <n v="45638"/>
    <n v="36803.699999999997"/>
    <x v="1"/>
    <s v="Electronics"/>
    <s v="Corporate"/>
    <n v="55"/>
    <s v="North"/>
    <x v="8"/>
  </r>
  <r>
    <s v="ORD-01089"/>
    <n v="45332"/>
    <n v="21914.400000000001"/>
    <x v="7"/>
    <s v="Apparel"/>
    <s v="Corporate"/>
    <n v="60"/>
    <s v="East"/>
    <x v="1"/>
  </r>
  <r>
    <s v="ORD-01090"/>
    <n v="45406"/>
    <n v="444.62"/>
    <x v="25"/>
    <s v="Sports"/>
    <s v="Retail"/>
    <n v="40"/>
    <s v="North"/>
    <x v="5"/>
  </r>
  <r>
    <s v="ORD-01091"/>
    <n v="45405"/>
    <n v="18698.7"/>
    <x v="18"/>
    <s v="Electronics"/>
    <s v="Retail"/>
    <n v="28"/>
    <s v="South"/>
    <x v="5"/>
  </r>
  <r>
    <s v="ORD-01092"/>
    <n v="45469"/>
    <n v="8170.2"/>
    <x v="27"/>
    <s v="Beauty"/>
    <s v="SMB"/>
    <n v="44"/>
    <s v="South"/>
    <x v="6"/>
  </r>
  <r>
    <s v="ORD-01093"/>
    <n v="45656"/>
    <n v="18009"/>
    <x v="19"/>
    <s v="Beauty"/>
    <s v="Retail"/>
    <n v="57"/>
    <s v="North"/>
    <x v="8"/>
  </r>
  <r>
    <s v="ORD-01094"/>
    <n v="45653"/>
    <n v="28366.65"/>
    <x v="27"/>
    <s v="Home"/>
    <s v="Retail"/>
    <n v="26"/>
    <s v="South"/>
    <x v="8"/>
  </r>
  <r>
    <s v="ORD-01095"/>
    <n v="45440"/>
    <n v="4353.6000000000004"/>
    <x v="16"/>
    <s v="Beauty"/>
    <s v="Corporate"/>
    <n v="60"/>
    <s v="East"/>
    <x v="3"/>
  </r>
  <r>
    <s v="ORD-01096"/>
    <n v="45511"/>
    <n v="12588.24"/>
    <x v="4"/>
    <s v="Home"/>
    <s v="SMB"/>
    <n v="29"/>
    <s v="North"/>
    <x v="7"/>
  </r>
  <r>
    <s v="ORD-01097"/>
    <n v="45300"/>
    <n v="12306.6"/>
    <x v="11"/>
    <s v="Electronics"/>
    <s v="Retail"/>
    <n v="65"/>
    <s v="North"/>
    <x v="11"/>
  </r>
  <r>
    <s v="ORD-01098"/>
    <n v="45528"/>
    <n v="2967.3"/>
    <x v="6"/>
    <s v="Sports"/>
    <s v="Corporate"/>
    <n v="48"/>
    <s v="West"/>
    <x v="7"/>
  </r>
  <r>
    <s v="ORD-01099"/>
    <n v="45622"/>
    <n v="9067.41"/>
    <x v="21"/>
    <s v="Electronics"/>
    <s v="Retail"/>
    <n v="27"/>
    <s v="East"/>
    <x v="4"/>
  </r>
  <r>
    <s v="ORD-01100"/>
    <n v="45463"/>
    <n v="6219.92"/>
    <x v="18"/>
    <s v="Home"/>
    <s v="SMB"/>
    <n v="29"/>
    <s v="South"/>
    <x v="6"/>
  </r>
  <r>
    <s v="ORD-01101"/>
    <n v="45407"/>
    <n v="12053.34"/>
    <x v="11"/>
    <s v="Grocery"/>
    <s v="SMB"/>
    <n v="48"/>
    <s v="North"/>
    <x v="5"/>
  </r>
  <r>
    <s v="ORD-01102"/>
    <n v="45627"/>
    <n v="6306.3"/>
    <x v="21"/>
    <s v="Beauty"/>
    <s v="Corporate"/>
    <n v="44"/>
    <s v="East"/>
    <x v="8"/>
  </r>
  <r>
    <s v="ORD-01103"/>
    <n v="45393"/>
    <n v="936.27"/>
    <x v="23"/>
    <s v="Sports"/>
    <s v="Retail"/>
    <n v="43"/>
    <s v="South"/>
    <x v="5"/>
  </r>
  <r>
    <s v="ORD-01104"/>
    <n v="45360"/>
    <n v="38749.1"/>
    <x v="15"/>
    <s v="Electronics"/>
    <s v="SMB"/>
    <n v="35"/>
    <s v="South"/>
    <x v="2"/>
  </r>
  <r>
    <s v="ORD-01105"/>
    <n v="45548"/>
    <n v="18917.43"/>
    <x v="24"/>
    <s v="Electronics"/>
    <s v="Corporate"/>
    <n v="24"/>
    <s v="East"/>
    <x v="0"/>
  </r>
  <r>
    <s v="ORD-01106"/>
    <n v="45569"/>
    <n v="2850.85"/>
    <x v="21"/>
    <s v="Beauty"/>
    <s v="SMB"/>
    <n v="62"/>
    <s v="East"/>
    <x v="9"/>
  </r>
  <r>
    <s v="ORD-01107"/>
    <n v="45541"/>
    <n v="4487.88"/>
    <x v="12"/>
    <s v="Apparel"/>
    <s v="Retail"/>
    <n v="53"/>
    <s v="East"/>
    <x v="0"/>
  </r>
  <r>
    <s v="ORD-01108"/>
    <n v="45369"/>
    <n v="4520.2"/>
    <x v="5"/>
    <s v="Grocery"/>
    <s v="Retail"/>
    <n v="54"/>
    <s v="West"/>
    <x v="2"/>
  </r>
  <r>
    <s v="ORD-01109"/>
    <n v="45519"/>
    <n v="15762.6"/>
    <x v="25"/>
    <s v="Grocery"/>
    <s v="SMB"/>
    <n v="64"/>
    <s v="North"/>
    <x v="7"/>
  </r>
  <r>
    <s v="ORD-01110"/>
    <n v="45379"/>
    <n v="5655.03"/>
    <x v="0"/>
    <s v="Apparel"/>
    <s v="SMB"/>
    <n v="35"/>
    <s v="North"/>
    <x v="2"/>
  </r>
  <r>
    <s v="ORD-01111"/>
    <n v="45548"/>
    <n v="5858.58"/>
    <x v="4"/>
    <s v="Home"/>
    <s v="Retail"/>
    <n v="34"/>
    <s v="North"/>
    <x v="0"/>
  </r>
  <r>
    <s v="ORD-01112"/>
    <n v="45478"/>
    <n v="1617.66"/>
    <x v="2"/>
    <s v="Sports"/>
    <s v="Retail"/>
    <n v="40"/>
    <s v="South"/>
    <x v="10"/>
  </r>
  <r>
    <s v="ORD-01113"/>
    <n v="45338"/>
    <n v="9361.56"/>
    <x v="16"/>
    <s v="Grocery"/>
    <s v="Corporate"/>
    <n v="38"/>
    <s v="East"/>
    <x v="1"/>
  </r>
  <r>
    <s v="ORD-01114"/>
    <n v="45546"/>
    <n v="14472.64"/>
    <x v="1"/>
    <s v="Apparel"/>
    <s v="Retail"/>
    <n v="44"/>
    <s v="North"/>
    <x v="0"/>
  </r>
  <r>
    <s v="ORD-01115"/>
    <n v="45626"/>
    <n v="8333.82"/>
    <x v="18"/>
    <s v="Electronics"/>
    <s v="Retail"/>
    <n v="35"/>
    <s v="South"/>
    <x v="4"/>
  </r>
  <r>
    <s v="ORD-01116"/>
    <n v="45402"/>
    <n v="10132.4"/>
    <x v="18"/>
    <s v="Sports"/>
    <s v="Retail"/>
    <n v="26"/>
    <s v="South"/>
    <x v="5"/>
  </r>
  <r>
    <s v="ORD-01117"/>
    <n v="45604"/>
    <n v="16027.44"/>
    <x v="9"/>
    <s v="Sports"/>
    <s v="SMB"/>
    <n v="38"/>
    <s v="South"/>
    <x v="4"/>
  </r>
  <r>
    <s v="ORD-01118"/>
    <n v="45545"/>
    <n v="10689.6"/>
    <x v="26"/>
    <s v="Apparel"/>
    <s v="SMB"/>
    <n v="52"/>
    <s v="East"/>
    <x v="0"/>
  </r>
  <r>
    <s v="ORD-01119"/>
    <n v="45445"/>
    <n v="2927.4"/>
    <x v="3"/>
    <s v="Apparel"/>
    <s v="Retail"/>
    <n v="40"/>
    <s v="North"/>
    <x v="6"/>
  </r>
  <r>
    <s v="ORD-01120"/>
    <n v="45489"/>
    <n v="11156.88"/>
    <x v="24"/>
    <s v="Beauty"/>
    <s v="SMB"/>
    <n v="51"/>
    <s v="East"/>
    <x v="10"/>
  </r>
  <r>
    <s v="ORD-01121"/>
    <n v="45394"/>
    <n v="14821.2"/>
    <x v="13"/>
    <s v="Beauty"/>
    <s v="Retail"/>
    <n v="28"/>
    <s v="East"/>
    <x v="5"/>
  </r>
  <r>
    <s v="ORD-01122"/>
    <n v="45340"/>
    <n v="18676"/>
    <x v="25"/>
    <s v="Home"/>
    <s v="Retail"/>
    <n v="42"/>
    <s v="North"/>
    <x v="1"/>
  </r>
  <r>
    <s v="ORD-01123"/>
    <n v="45378"/>
    <n v="2167.1999999999998"/>
    <x v="24"/>
    <s v="Sports"/>
    <s v="SMB"/>
    <n v="65"/>
    <s v="East"/>
    <x v="2"/>
  </r>
  <r>
    <s v="ORD-01124"/>
    <n v="45369"/>
    <n v="6106.24"/>
    <x v="2"/>
    <s v="Home"/>
    <s v="SMB"/>
    <n v="27"/>
    <s v="South"/>
    <x v="2"/>
  </r>
  <r>
    <s v="ORD-01125"/>
    <n v="45513"/>
    <n v="18452.7"/>
    <x v="25"/>
    <s v="Grocery"/>
    <s v="Corporate"/>
    <n v="55"/>
    <s v="North"/>
    <x v="7"/>
  </r>
  <r>
    <s v="ORD-01126"/>
    <n v="45438"/>
    <n v="15365.07"/>
    <x v="22"/>
    <s v="Home"/>
    <s v="SMB"/>
    <n v="53"/>
    <s v="South"/>
    <x v="3"/>
  </r>
  <r>
    <s v="ORD-01127"/>
    <n v="45529"/>
    <n v="2572.8000000000002"/>
    <x v="2"/>
    <s v="Beauty"/>
    <s v="Retail"/>
    <n v="36"/>
    <s v="South"/>
    <x v="7"/>
  </r>
  <r>
    <s v="ORD-01128"/>
    <n v="45634"/>
    <n v="1924.56"/>
    <x v="3"/>
    <s v="Home"/>
    <s v="Corporate"/>
    <n v="43"/>
    <s v="North"/>
    <x v="8"/>
  </r>
  <r>
    <s v="ORD-01129"/>
    <n v="45441"/>
    <n v="8407.68"/>
    <x v="2"/>
    <s v="Beauty"/>
    <s v="Retail"/>
    <n v="54"/>
    <s v="South"/>
    <x v="3"/>
  </r>
  <r>
    <s v="ORD-01130"/>
    <n v="45409"/>
    <n v="7964.04"/>
    <x v="3"/>
    <s v="Electronics"/>
    <s v="SMB"/>
    <n v="61"/>
    <s v="North"/>
    <x v="5"/>
  </r>
  <r>
    <s v="ORD-01131"/>
    <n v="45650"/>
    <n v="3914.76"/>
    <x v="3"/>
    <s v="Sports"/>
    <s v="Retail"/>
    <n v="49"/>
    <s v="North"/>
    <x v="8"/>
  </r>
  <r>
    <s v="ORD-01132"/>
    <n v="45380"/>
    <n v="26461.8"/>
    <x v="21"/>
    <s v="Home"/>
    <s v="Retail"/>
    <n v="35"/>
    <s v="East"/>
    <x v="2"/>
  </r>
  <r>
    <s v="ORD-01133"/>
    <n v="45322"/>
    <n v="1816.8"/>
    <x v="7"/>
    <s v="Sports"/>
    <s v="Retail"/>
    <n v="54"/>
    <s v="East"/>
    <x v="11"/>
  </r>
  <r>
    <s v="ORD-01134"/>
    <n v="45532"/>
    <n v="4234.5600000000004"/>
    <x v="18"/>
    <s v="Home"/>
    <s v="SMB"/>
    <n v="28"/>
    <s v="South"/>
    <x v="7"/>
  </r>
  <r>
    <s v="ORD-01135"/>
    <n v="45504"/>
    <n v="40054.949999999997"/>
    <x v="29"/>
    <s v="Electronics"/>
    <s v="SMB"/>
    <n v="43"/>
    <s v="South"/>
    <x v="10"/>
  </r>
  <r>
    <s v="ORD-01136"/>
    <n v="45516"/>
    <n v="12961"/>
    <x v="0"/>
    <s v="Electronics"/>
    <s v="Corporate"/>
    <n v="30"/>
    <s v="North"/>
    <x v="7"/>
  </r>
  <r>
    <s v="ORD-01137"/>
    <n v="45462"/>
    <n v="17515.84"/>
    <x v="26"/>
    <s v="Home"/>
    <s v="Retail"/>
    <n v="53"/>
    <s v="East"/>
    <x v="6"/>
  </r>
  <r>
    <s v="ORD-01138"/>
    <n v="45597"/>
    <n v="14077.7"/>
    <x v="25"/>
    <s v="Grocery"/>
    <s v="Retail"/>
    <n v="44"/>
    <s v="North"/>
    <x v="4"/>
  </r>
  <r>
    <s v="ORD-01139"/>
    <n v="45648"/>
    <n v="13746.96"/>
    <x v="3"/>
    <s v="Beauty"/>
    <s v="Retail"/>
    <n v="34"/>
    <s v="North"/>
    <x v="8"/>
  </r>
  <r>
    <s v="ORD-01140"/>
    <n v="45355"/>
    <n v="5547.6"/>
    <x v="18"/>
    <s v="Beauty"/>
    <s v="SMB"/>
    <n v="26"/>
    <s v="South"/>
    <x v="2"/>
  </r>
  <r>
    <s v="ORD-01141"/>
    <n v="45331"/>
    <n v="3705.4"/>
    <x v="6"/>
    <s v="Grocery"/>
    <s v="Retail"/>
    <n v="35"/>
    <s v="West"/>
    <x v="1"/>
  </r>
  <r>
    <s v="ORD-01142"/>
    <n v="45632"/>
    <n v="1443"/>
    <x v="24"/>
    <s v="Electronics"/>
    <s v="SMB"/>
    <n v="57"/>
    <s v="East"/>
    <x v="8"/>
  </r>
  <r>
    <s v="ORD-01143"/>
    <n v="45358"/>
    <n v="35444.160000000003"/>
    <x v="1"/>
    <s v="Electronics"/>
    <s v="Retail"/>
    <n v="62"/>
    <s v="North"/>
    <x v="2"/>
  </r>
  <r>
    <s v="ORD-01144"/>
    <n v="45440"/>
    <n v="9498.24"/>
    <x v="22"/>
    <s v="Apparel"/>
    <s v="Corporate"/>
    <n v="46"/>
    <s v="South"/>
    <x v="3"/>
  </r>
  <r>
    <s v="ORD-01145"/>
    <n v="45412"/>
    <n v="1757.7"/>
    <x v="13"/>
    <s v="Apparel"/>
    <s v="Retail"/>
    <n v="44"/>
    <s v="East"/>
    <x v="5"/>
  </r>
  <r>
    <s v="ORD-01146"/>
    <n v="45479"/>
    <n v="3012.24"/>
    <x v="6"/>
    <s v="Beauty"/>
    <s v="Corporate"/>
    <n v="55"/>
    <s v="West"/>
    <x v="10"/>
  </r>
  <r>
    <s v="ORD-01147"/>
    <n v="45534"/>
    <n v="1731.24"/>
    <x v="17"/>
    <s v="Beauty"/>
    <s v="Retail"/>
    <n v="46"/>
    <s v="West"/>
    <x v="7"/>
  </r>
  <r>
    <s v="ORD-01148"/>
    <n v="45313"/>
    <n v="21390.080000000002"/>
    <x v="26"/>
    <s v="Apparel"/>
    <s v="SMB"/>
    <n v="26"/>
    <s v="East"/>
    <x v="11"/>
  </r>
  <r>
    <s v="ORD-01149"/>
    <n v="45390"/>
    <n v="13056.96"/>
    <x v="12"/>
    <s v="Grocery"/>
    <s v="Corporate"/>
    <n v="25"/>
    <s v="East"/>
    <x v="5"/>
  </r>
  <r>
    <s v="ORD-01150"/>
    <n v="45370"/>
    <n v="25475.52"/>
    <x v="29"/>
    <s v="Electronics"/>
    <s v="Retail"/>
    <n v="26"/>
    <s v="South"/>
    <x v="2"/>
  </r>
  <r>
    <s v="ORD-01151"/>
    <n v="45324"/>
    <n v="29842.5"/>
    <x v="10"/>
    <s v="Sports"/>
    <s v="Retail"/>
    <n v="55"/>
    <s v="North"/>
    <x v="1"/>
  </r>
  <r>
    <s v="ORD-01152"/>
    <n v="45469"/>
    <n v="18532.8"/>
    <x v="0"/>
    <s v="Electronics"/>
    <s v="Retail"/>
    <n v="44"/>
    <s v="North"/>
    <x v="6"/>
  </r>
  <r>
    <s v="ORD-01153"/>
    <n v="45619"/>
    <n v="826.95"/>
    <x v="18"/>
    <s v="Home"/>
    <s v="Retail"/>
    <n v="24"/>
    <s v="South"/>
    <x v="4"/>
  </r>
  <r>
    <s v="ORD-01154"/>
    <n v="45627"/>
    <n v="3378.18"/>
    <x v="14"/>
    <s v="Electronics"/>
    <s v="Corporate"/>
    <n v="36"/>
    <s v="West"/>
    <x v="8"/>
  </r>
  <r>
    <s v="ORD-01155"/>
    <n v="45499"/>
    <n v="2016.96"/>
    <x v="24"/>
    <s v="Electronics"/>
    <s v="Retail"/>
    <n v="29"/>
    <s v="East"/>
    <x v="10"/>
  </r>
  <r>
    <s v="ORD-01156"/>
    <n v="45563"/>
    <n v="41539.5"/>
    <x v="23"/>
    <s v="Beauty"/>
    <s v="Retail"/>
    <n v="36"/>
    <s v="South"/>
    <x v="0"/>
  </r>
  <r>
    <s v="ORD-01157"/>
    <n v="45435"/>
    <n v="35112"/>
    <x v="4"/>
    <s v="Beauty"/>
    <s v="SMB"/>
    <n v="26"/>
    <s v="North"/>
    <x v="3"/>
  </r>
  <r>
    <s v="ORD-01158"/>
    <n v="45602"/>
    <n v="219.3"/>
    <x v="17"/>
    <s v="Electronics"/>
    <s v="Corporate"/>
    <n v="29"/>
    <s v="West"/>
    <x v="4"/>
  </r>
  <r>
    <s v="ORD-01159"/>
    <n v="45650"/>
    <n v="12955.8"/>
    <x v="16"/>
    <s v="Beauty"/>
    <s v="Retail"/>
    <n v="44"/>
    <s v="East"/>
    <x v="8"/>
  </r>
  <r>
    <s v="ORD-01160"/>
    <n v="45294"/>
    <n v="2371.1999999999998"/>
    <x v="26"/>
    <s v="Electronics"/>
    <s v="SMB"/>
    <n v="50"/>
    <s v="East"/>
    <x v="11"/>
  </r>
  <r>
    <s v="ORD-01161"/>
    <n v="45523"/>
    <n v="29969.1"/>
    <x v="23"/>
    <s v="Beauty"/>
    <s v="Retail"/>
    <n v="37"/>
    <s v="South"/>
    <x v="7"/>
  </r>
  <r>
    <s v="ORD-01162"/>
    <n v="45479"/>
    <n v="14635.72"/>
    <x v="6"/>
    <s v="Grocery"/>
    <s v="SMB"/>
    <n v="45"/>
    <s v="West"/>
    <x v="10"/>
  </r>
  <r>
    <s v="ORD-01163"/>
    <n v="45614"/>
    <n v="24562.44"/>
    <x v="6"/>
    <s v="Sports"/>
    <s v="SMB"/>
    <n v="51"/>
    <s v="West"/>
    <x v="4"/>
  </r>
  <r>
    <s v="ORD-01164"/>
    <n v="45407"/>
    <n v="5346"/>
    <x v="14"/>
    <s v="Home"/>
    <s v="SMB"/>
    <n v="44"/>
    <s v="West"/>
    <x v="5"/>
  </r>
  <r>
    <s v="ORD-01165"/>
    <n v="45603"/>
    <n v="7651.8"/>
    <x v="12"/>
    <s v="Electronics"/>
    <s v="Retail"/>
    <n v="55"/>
    <s v="East"/>
    <x v="4"/>
  </r>
  <r>
    <s v="ORD-01166"/>
    <n v="45375"/>
    <n v="13355.2"/>
    <x v="4"/>
    <s v="Apparel"/>
    <s v="Retail"/>
    <n v="63"/>
    <s v="North"/>
    <x v="2"/>
  </r>
  <r>
    <s v="ORD-01167"/>
    <n v="45485"/>
    <n v="20642.400000000001"/>
    <x v="27"/>
    <s v="Grocery"/>
    <s v="SMB"/>
    <n v="53"/>
    <s v="South"/>
    <x v="10"/>
  </r>
  <r>
    <s v="ORD-01168"/>
    <n v="45567"/>
    <n v="11909.7"/>
    <x v="1"/>
    <s v="Beauty"/>
    <s v="Retail"/>
    <n v="23"/>
    <s v="North"/>
    <x v="9"/>
  </r>
  <r>
    <s v="ORD-01169"/>
    <n v="45502"/>
    <n v="6632.34"/>
    <x v="7"/>
    <s v="Sports"/>
    <s v="SMB"/>
    <n v="65"/>
    <s v="East"/>
    <x v="10"/>
  </r>
  <r>
    <s v="ORD-01170"/>
    <n v="45429"/>
    <n v="12530.4"/>
    <x v="5"/>
    <s v="Sports"/>
    <s v="Retail"/>
    <n v="41"/>
    <s v="West"/>
    <x v="3"/>
  </r>
  <r>
    <s v="ORD-01171"/>
    <n v="45405"/>
    <n v="6731.48"/>
    <x v="11"/>
    <s v="Home"/>
    <s v="Retail"/>
    <n v="44"/>
    <s v="North"/>
    <x v="5"/>
  </r>
  <r>
    <s v="ORD-01172"/>
    <n v="45401"/>
    <n v="6601.16"/>
    <x v="29"/>
    <s v="Grocery"/>
    <s v="Retail"/>
    <n v="22"/>
    <s v="South"/>
    <x v="5"/>
  </r>
  <r>
    <s v="ORD-01173"/>
    <n v="45373"/>
    <n v="40736.519999999997"/>
    <x v="22"/>
    <s v="Home"/>
    <s v="Retail"/>
    <n v="61"/>
    <s v="South"/>
    <x v="2"/>
  </r>
  <r>
    <s v="ORD-01174"/>
    <n v="45602"/>
    <n v="26796.880000000001"/>
    <x v="20"/>
    <s v="Grocery"/>
    <s v="Retail"/>
    <n v="31"/>
    <s v="West"/>
    <x v="4"/>
  </r>
  <r>
    <s v="ORD-01175"/>
    <n v="45372"/>
    <n v="1526.14"/>
    <x v="1"/>
    <s v="Beauty"/>
    <s v="SMB"/>
    <n v="64"/>
    <s v="North"/>
    <x v="2"/>
  </r>
  <r>
    <s v="ORD-01176"/>
    <n v="45416"/>
    <n v="49470"/>
    <x v="6"/>
    <s v="Beauty"/>
    <s v="Retail"/>
    <n v="48"/>
    <s v="West"/>
    <x v="3"/>
  </r>
  <r>
    <s v="ORD-01177"/>
    <n v="45656"/>
    <n v="17332.560000000001"/>
    <x v="3"/>
    <s v="Apparel"/>
    <s v="Corporate"/>
    <n v="40"/>
    <s v="North"/>
    <x v="8"/>
  </r>
  <r>
    <s v="ORD-01178"/>
    <n v="45324"/>
    <n v="32452"/>
    <x v="11"/>
    <s v="Beauty"/>
    <s v="Retail"/>
    <n v="56"/>
    <s v="North"/>
    <x v="1"/>
  </r>
  <r>
    <s v="ORD-01179"/>
    <n v="45472"/>
    <n v="2531.7600000000002"/>
    <x v="6"/>
    <s v="Electronics"/>
    <s v="SMB"/>
    <n v="44"/>
    <s v="West"/>
    <x v="6"/>
  </r>
  <r>
    <s v="ORD-01180"/>
    <n v="45508"/>
    <n v="35018.28"/>
    <x v="16"/>
    <s v="Grocery"/>
    <s v="Retail"/>
    <n v="53"/>
    <s v="East"/>
    <x v="7"/>
  </r>
  <r>
    <s v="ORD-01181"/>
    <n v="45617"/>
    <n v="24161.759999999998"/>
    <x v="5"/>
    <s v="Electronics"/>
    <s v="Retail"/>
    <n v="28"/>
    <s v="West"/>
    <x v="4"/>
  </r>
  <r>
    <s v="ORD-01182"/>
    <n v="45470"/>
    <n v="25091.5"/>
    <x v="1"/>
    <s v="Beauty"/>
    <s v="SMB"/>
    <n v="55"/>
    <s v="North"/>
    <x v="6"/>
  </r>
  <r>
    <s v="ORD-01183"/>
    <n v="45307"/>
    <n v="10909.08"/>
    <x v="5"/>
    <s v="Sports"/>
    <s v="Retail"/>
    <n v="24"/>
    <s v="West"/>
    <x v="11"/>
  </r>
  <r>
    <s v="ORD-01184"/>
    <n v="45651"/>
    <n v="14151.48"/>
    <x v="4"/>
    <s v="Electronics"/>
    <s v="Corporate"/>
    <n v="52"/>
    <s v="North"/>
    <x v="8"/>
  </r>
  <r>
    <s v="ORD-01185"/>
    <n v="45436"/>
    <n v="11425.7"/>
    <x v="6"/>
    <s v="Sports"/>
    <s v="Retail"/>
    <n v="44"/>
    <s v="West"/>
    <x v="3"/>
  </r>
  <r>
    <s v="ORD-01186"/>
    <n v="45518"/>
    <n v="613.17999999999995"/>
    <x v="11"/>
    <s v="Apparel"/>
    <s v="Retail"/>
    <n v="41"/>
    <s v="North"/>
    <x v="7"/>
  </r>
  <r>
    <s v="ORD-01187"/>
    <n v="45432"/>
    <n v="3173.73"/>
    <x v="27"/>
    <s v="Electronics"/>
    <s v="SMB"/>
    <n v="44"/>
    <s v="South"/>
    <x v="3"/>
  </r>
  <r>
    <s v="ORD-01188"/>
    <n v="45551"/>
    <n v="5143.45"/>
    <x v="27"/>
    <s v="Electronics"/>
    <s v="Corporate"/>
    <n v="41"/>
    <s v="South"/>
    <x v="0"/>
  </r>
  <r>
    <s v="ORD-01189"/>
    <n v="45348"/>
    <n v="27948.06"/>
    <x v="26"/>
    <s v="Sports"/>
    <s v="SMB"/>
    <n v="22"/>
    <s v="East"/>
    <x v="1"/>
  </r>
  <r>
    <s v="ORD-01190"/>
    <n v="45374"/>
    <n v="48920.4"/>
    <x v="29"/>
    <s v="Home"/>
    <s v="Retail"/>
    <n v="42"/>
    <s v="South"/>
    <x v="2"/>
  </r>
  <r>
    <s v="ORD-01191"/>
    <n v="45370"/>
    <n v="30330.720000000001"/>
    <x v="1"/>
    <s v="Electronics"/>
    <s v="Retail"/>
    <n v="24"/>
    <s v="North"/>
    <x v="2"/>
  </r>
  <r>
    <s v="ORD-01192"/>
    <n v="45656"/>
    <n v="7027.65"/>
    <x v="24"/>
    <s v="Grocery"/>
    <s v="Retail"/>
    <n v="34"/>
    <s v="East"/>
    <x v="8"/>
  </r>
  <r>
    <s v="ORD-01193"/>
    <n v="45357"/>
    <n v="2310"/>
    <x v="18"/>
    <s v="Electronics"/>
    <s v="Retail"/>
    <n v="44"/>
    <s v="South"/>
    <x v="2"/>
  </r>
  <r>
    <s v="ORD-01194"/>
    <n v="45479"/>
    <n v="58428.800000000003"/>
    <x v="11"/>
    <s v="Beauty"/>
    <s v="SMB"/>
    <n v="64"/>
    <s v="North"/>
    <x v="10"/>
  </r>
  <r>
    <s v="ORD-01195"/>
    <n v="45539"/>
    <n v="9078"/>
    <x v="23"/>
    <s v="Beauty"/>
    <s v="SMB"/>
    <n v="39"/>
    <s v="South"/>
    <x v="0"/>
  </r>
  <r>
    <s v="ORD-01196"/>
    <n v="45394"/>
    <n v="23691.15"/>
    <x v="7"/>
    <s v="Apparel"/>
    <s v="Retail"/>
    <n v="42"/>
    <s v="East"/>
    <x v="5"/>
  </r>
  <r>
    <s v="ORD-01197"/>
    <n v="45335"/>
    <n v="9870.4"/>
    <x v="23"/>
    <s v="Apparel"/>
    <s v="Retail"/>
    <n v="29"/>
    <s v="South"/>
    <x v="1"/>
  </r>
  <r>
    <s v="ORD-01198"/>
    <n v="45334"/>
    <n v="740.24"/>
    <x v="9"/>
    <s v="Sports"/>
    <s v="Corporate"/>
    <n v="55"/>
    <s v="South"/>
    <x v="1"/>
  </r>
  <r>
    <s v="ORD-01199"/>
    <n v="45300"/>
    <n v="8344.52"/>
    <x v="16"/>
    <s v="Grocery"/>
    <s v="SMB"/>
    <n v="44"/>
    <s v="East"/>
    <x v="11"/>
  </r>
  <r>
    <s v="ORD-01200"/>
    <n v="45400"/>
    <n v="13089.65"/>
    <x v="8"/>
    <s v="Apparel"/>
    <s v="SMB"/>
    <n v="26"/>
    <s v="West"/>
    <x v="5"/>
  </r>
  <r>
    <s v="ORD-01201"/>
    <n v="45423"/>
    <n v="9434.8799999999992"/>
    <x v="10"/>
    <s v="Sports"/>
    <s v="Retail"/>
    <n v="56"/>
    <s v="North"/>
    <x v="3"/>
  </r>
  <r>
    <s v="ORD-01202"/>
    <n v="45518"/>
    <n v="19067.37"/>
    <x v="9"/>
    <s v="Electronics"/>
    <s v="SMB"/>
    <n v="43"/>
    <s v="South"/>
    <x v="7"/>
  </r>
  <r>
    <s v="ORD-01203"/>
    <n v="45559"/>
    <n v="2544.96"/>
    <x v="23"/>
    <s v="Home"/>
    <s v="Corporate"/>
    <n v="48"/>
    <s v="South"/>
    <x v="0"/>
  </r>
  <r>
    <s v="ORD-01204"/>
    <n v="45501"/>
    <n v="5180.7700000000004"/>
    <x v="9"/>
    <s v="Grocery"/>
    <s v="Retail"/>
    <n v="54"/>
    <s v="South"/>
    <x v="10"/>
  </r>
  <r>
    <s v="ORD-01205"/>
    <n v="45338"/>
    <n v="16925.12"/>
    <x v="3"/>
    <s v="Grocery"/>
    <s v="SMB"/>
    <n v="38"/>
    <s v="North"/>
    <x v="1"/>
  </r>
  <r>
    <s v="ORD-01206"/>
    <n v="45585"/>
    <n v="1764"/>
    <x v="27"/>
    <s v="Sports"/>
    <s v="SMB"/>
    <n v="65"/>
    <s v="South"/>
    <x v="9"/>
  </r>
  <r>
    <s v="ORD-01207"/>
    <n v="45525"/>
    <n v="17881.599999999999"/>
    <x v="9"/>
    <s v="Home"/>
    <s v="SMB"/>
    <n v="27"/>
    <s v="South"/>
    <x v="7"/>
  </r>
  <r>
    <s v="ORD-01208"/>
    <n v="45351"/>
    <n v="28280.7"/>
    <x v="2"/>
    <s v="Beauty"/>
    <s v="Retail"/>
    <n v="42"/>
    <s v="South"/>
    <x v="1"/>
  </r>
  <r>
    <s v="ORD-01209"/>
    <n v="45560"/>
    <n v="4792.4799999999996"/>
    <x v="19"/>
    <s v="Beauty"/>
    <s v="Retail"/>
    <n v="22"/>
    <s v="North"/>
    <x v="0"/>
  </r>
  <r>
    <s v="ORD-01210"/>
    <n v="45431"/>
    <n v="44805.599999999999"/>
    <x v="25"/>
    <s v="Home"/>
    <s v="Retail"/>
    <n v="65"/>
    <s v="North"/>
    <x v="3"/>
  </r>
  <r>
    <s v="ORD-01211"/>
    <n v="45296"/>
    <n v="26945.64"/>
    <x v="27"/>
    <s v="Apparel"/>
    <s v="Retail"/>
    <n v="49"/>
    <s v="South"/>
    <x v="11"/>
  </r>
  <r>
    <s v="ORD-01212"/>
    <n v="45629"/>
    <n v="1704.24"/>
    <x v="18"/>
    <s v="Home"/>
    <s v="Retail"/>
    <n v="27"/>
    <s v="South"/>
    <x v="8"/>
  </r>
  <r>
    <s v="ORD-01213"/>
    <n v="45310"/>
    <n v="9460.5"/>
    <x v="26"/>
    <s v="Grocery"/>
    <s v="Retail"/>
    <n v="50"/>
    <s v="East"/>
    <x v="11"/>
  </r>
  <r>
    <s v="ORD-01214"/>
    <n v="45498"/>
    <n v="22052.16"/>
    <x v="5"/>
    <s v="Apparel"/>
    <s v="SMB"/>
    <n v="57"/>
    <s v="West"/>
    <x v="10"/>
  </r>
  <r>
    <s v="ORD-01215"/>
    <n v="45348"/>
    <n v="20424.509999999998"/>
    <x v="27"/>
    <s v="Beauty"/>
    <s v="SMB"/>
    <n v="29"/>
    <s v="South"/>
    <x v="1"/>
  </r>
  <r>
    <s v="ORD-01216"/>
    <n v="45382"/>
    <n v="7296.75"/>
    <x v="23"/>
    <s v="Apparel"/>
    <s v="Retail"/>
    <n v="44"/>
    <s v="South"/>
    <x v="2"/>
  </r>
  <r>
    <s v="ORD-01217"/>
    <n v="45569"/>
    <n v="25026.3"/>
    <x v="6"/>
    <s v="Beauty"/>
    <s v="SMB"/>
    <n v="27"/>
    <s v="West"/>
    <x v="9"/>
  </r>
  <r>
    <s v="ORD-01218"/>
    <n v="45516"/>
    <n v="4149.6000000000004"/>
    <x v="14"/>
    <s v="Electronics"/>
    <s v="Corporate"/>
    <n v="59"/>
    <s v="West"/>
    <x v="7"/>
  </r>
  <r>
    <s v="ORD-01219"/>
    <n v="45519"/>
    <n v="2497.8000000000002"/>
    <x v="5"/>
    <s v="Grocery"/>
    <s v="SMB"/>
    <n v="49"/>
    <s v="West"/>
    <x v="7"/>
  </r>
  <r>
    <s v="ORD-01220"/>
    <n v="45593"/>
    <n v="15710.88"/>
    <x v="11"/>
    <s v="Home"/>
    <s v="Corporate"/>
    <n v="26"/>
    <s v="North"/>
    <x v="9"/>
  </r>
  <r>
    <s v="ORD-01221"/>
    <n v="45532"/>
    <n v="7164.72"/>
    <x v="6"/>
    <s v="Apparel"/>
    <s v="Retail"/>
    <n v="60"/>
    <s v="West"/>
    <x v="7"/>
  </r>
  <r>
    <s v="ORD-01222"/>
    <n v="45610"/>
    <n v="34595.9"/>
    <x v="23"/>
    <s v="Sports"/>
    <s v="SMB"/>
    <n v="29"/>
    <s v="South"/>
    <x v="4"/>
  </r>
  <r>
    <s v="ORD-01223"/>
    <n v="45560"/>
    <n v="15327.04"/>
    <x v="12"/>
    <s v="Grocery"/>
    <s v="SMB"/>
    <n v="48"/>
    <s v="East"/>
    <x v="0"/>
  </r>
  <r>
    <s v="ORD-01224"/>
    <n v="45431"/>
    <n v="23077.5"/>
    <x v="14"/>
    <s v="Beauty"/>
    <s v="SMB"/>
    <n v="36"/>
    <s v="West"/>
    <x v="3"/>
  </r>
  <r>
    <s v="ORD-01225"/>
    <n v="45594"/>
    <n v="14933.75"/>
    <x v="23"/>
    <s v="Home"/>
    <s v="SMB"/>
    <n v="43"/>
    <s v="South"/>
    <x v="9"/>
  </r>
  <r>
    <s v="ORD-01226"/>
    <n v="45609"/>
    <n v="19341.84"/>
    <x v="11"/>
    <s v="Electronics"/>
    <s v="Retail"/>
    <n v="59"/>
    <s v="North"/>
    <x v="4"/>
  </r>
  <r>
    <s v="ORD-01227"/>
    <n v="45546"/>
    <n v="17119.96"/>
    <x v="5"/>
    <s v="Electronics"/>
    <s v="Corporate"/>
    <n v="52"/>
    <s v="West"/>
    <x v="0"/>
  </r>
  <r>
    <s v="ORD-01228"/>
    <n v="45607"/>
    <n v="17037.3"/>
    <x v="10"/>
    <s v="Electronics"/>
    <s v="Retail"/>
    <n v="42"/>
    <s v="North"/>
    <x v="4"/>
  </r>
  <r>
    <s v="ORD-01229"/>
    <n v="45422"/>
    <n v="13682.8"/>
    <x v="20"/>
    <s v="Apparel"/>
    <s v="Retail"/>
    <n v="39"/>
    <s v="West"/>
    <x v="3"/>
  </r>
  <r>
    <s v="ORD-01230"/>
    <n v="45634"/>
    <n v="8686"/>
    <x v="7"/>
    <s v="Sports"/>
    <s v="Corporate"/>
    <n v="33"/>
    <s v="East"/>
    <x v="8"/>
  </r>
  <r>
    <s v="ORD-01231"/>
    <n v="45376"/>
    <n v="3987.06"/>
    <x v="11"/>
    <s v="Beauty"/>
    <s v="SMB"/>
    <n v="27"/>
    <s v="North"/>
    <x v="2"/>
  </r>
  <r>
    <s v="ORD-01232"/>
    <n v="45313"/>
    <n v="43962"/>
    <x v="18"/>
    <s v="Beauty"/>
    <s v="Retail"/>
    <n v="26"/>
    <s v="South"/>
    <x v="11"/>
  </r>
  <r>
    <s v="ORD-01233"/>
    <n v="45457"/>
    <n v="4225.6499999999996"/>
    <x v="14"/>
    <s v="Electronics"/>
    <s v="Retail"/>
    <n v="22"/>
    <s v="West"/>
    <x v="6"/>
  </r>
  <r>
    <s v="ORD-01234"/>
    <n v="45620"/>
    <n v="33730.559999999998"/>
    <x v="22"/>
    <s v="Home"/>
    <s v="Retail"/>
    <n v="31"/>
    <s v="South"/>
    <x v="4"/>
  </r>
  <r>
    <s v="ORD-01235"/>
    <n v="45495"/>
    <n v="8236.7999999999993"/>
    <x v="4"/>
    <s v="Beauty"/>
    <s v="Retail"/>
    <n v="22"/>
    <s v="North"/>
    <x v="10"/>
  </r>
  <r>
    <s v="ORD-01236"/>
    <n v="45460"/>
    <n v="7746.3"/>
    <x v="26"/>
    <s v="Beauty"/>
    <s v="SMB"/>
    <n v="31"/>
    <s v="East"/>
    <x v="6"/>
  </r>
  <r>
    <s v="ORD-01237"/>
    <n v="45438"/>
    <n v="5605.6"/>
    <x v="11"/>
    <s v="Beauty"/>
    <s v="SMB"/>
    <n v="54"/>
    <s v="North"/>
    <x v="3"/>
  </r>
  <r>
    <s v="ORD-00372"/>
    <n v="45307"/>
    <n v="26871.68"/>
    <x v="12"/>
    <s v="Sports"/>
    <s v="SMB"/>
    <n v="60"/>
    <s v="East"/>
    <x v="11"/>
  </r>
  <r>
    <s v="ORD-01239"/>
    <n v="45517"/>
    <n v="8353.7999999999993"/>
    <x v="21"/>
    <s v="Beauty"/>
    <s v="Retail"/>
    <n v="36"/>
    <s v="East"/>
    <x v="7"/>
  </r>
  <r>
    <s v="ORD-01240"/>
    <n v="45575"/>
    <n v="31884.06"/>
    <x v="29"/>
    <s v="Electronics"/>
    <s v="Corporate"/>
    <n v="33"/>
    <s v="South"/>
    <x v="9"/>
  </r>
  <r>
    <s v="ORD-01241"/>
    <n v="45449"/>
    <n v="4003.2"/>
    <x v="20"/>
    <s v="Sports"/>
    <s v="SMB"/>
    <n v="44"/>
    <s v="West"/>
    <x v="6"/>
  </r>
  <r>
    <s v="ORD-01365"/>
    <n v="45481"/>
    <n v="23971.64"/>
    <x v="24"/>
    <s v="Apparel"/>
    <s v="Corporate"/>
    <n v="46"/>
    <s v="East"/>
    <x v="10"/>
  </r>
  <r>
    <s v="ORD-01243"/>
    <n v="45368"/>
    <n v="11559.6"/>
    <x v="3"/>
    <s v="Electronics"/>
    <s v="Retail"/>
    <n v="35"/>
    <s v="North"/>
    <x v="2"/>
  </r>
  <r>
    <s v="ORD-01244"/>
    <n v="45298"/>
    <n v="14858.76"/>
    <x v="22"/>
    <s v="Electronics"/>
    <s v="Retail"/>
    <n v="49"/>
    <s v="South"/>
    <x v="11"/>
  </r>
  <r>
    <s v="ORD-01245"/>
    <n v="45472"/>
    <n v="19038.96"/>
    <x v="24"/>
    <s v="Apparel"/>
    <s v="SMB"/>
    <n v="65"/>
    <s v="East"/>
    <x v="6"/>
  </r>
  <r>
    <s v="ORD-01246"/>
    <n v="45568"/>
    <n v="9693.0400000000009"/>
    <x v="15"/>
    <s v="Electronics"/>
    <s v="SMB"/>
    <n v="38"/>
    <s v="South"/>
    <x v="9"/>
  </r>
  <r>
    <s v="ORD-01247"/>
    <n v="45540"/>
    <n v="3901.56"/>
    <x v="9"/>
    <s v="Electronics"/>
    <s v="Retail"/>
    <n v="35"/>
    <s v="South"/>
    <x v="0"/>
  </r>
  <r>
    <s v="ORD-01248"/>
    <n v="45544"/>
    <n v="16725.599999999999"/>
    <x v="28"/>
    <s v="Sports"/>
    <s v="Retail"/>
    <n v="53"/>
    <s v="West"/>
    <x v="0"/>
  </r>
  <r>
    <s v="ORD-01249"/>
    <n v="45334"/>
    <n v="1556.1"/>
    <x v="5"/>
    <s v="Sports"/>
    <s v="Retail"/>
    <n v="34"/>
    <s v="West"/>
    <x v="1"/>
  </r>
  <r>
    <s v="ORD-01250"/>
    <n v="45584"/>
    <n v="29227.14"/>
    <x v="18"/>
    <s v="Electronics"/>
    <s v="Corporate"/>
    <n v="22"/>
    <s v="South"/>
    <x v="9"/>
  </r>
  <r>
    <s v="ORD-01251"/>
    <n v="45404"/>
    <n v="15655.56"/>
    <x v="25"/>
    <s v="Home"/>
    <s v="Retail"/>
    <n v="60"/>
    <s v="North"/>
    <x v="5"/>
  </r>
  <r>
    <s v="ORD-01252"/>
    <n v="45476"/>
    <n v="1199.08"/>
    <x v="5"/>
    <s v="Apparel"/>
    <s v="Retail"/>
    <n v="50"/>
    <s v="West"/>
    <x v="10"/>
  </r>
  <r>
    <s v="ORD-01253"/>
    <n v="45481"/>
    <n v="7815.5"/>
    <x v="5"/>
    <s v="Beauty"/>
    <s v="Corporate"/>
    <n v="43"/>
    <s v="West"/>
    <x v="10"/>
  </r>
  <r>
    <s v="ORD-01254"/>
    <n v="45480"/>
    <n v="4516.7"/>
    <x v="21"/>
    <s v="Sports"/>
    <s v="Retail"/>
    <n v="22"/>
    <s v="East"/>
    <x v="10"/>
  </r>
  <r>
    <s v="ORD-01255"/>
    <n v="45603"/>
    <n v="17714.400000000001"/>
    <x v="25"/>
    <s v="Beauty"/>
    <s v="Retail"/>
    <n v="47"/>
    <s v="North"/>
    <x v="4"/>
  </r>
  <r>
    <s v="ORD-01256"/>
    <n v="45548"/>
    <n v="4960.97"/>
    <x v="20"/>
    <s v="Sports"/>
    <s v="SMB"/>
    <n v="53"/>
    <s v="West"/>
    <x v="0"/>
  </r>
  <r>
    <s v="ORD-01257"/>
    <n v="45482"/>
    <n v="28080.720000000001"/>
    <x v="24"/>
    <s v="Electronics"/>
    <s v="SMB"/>
    <n v="55"/>
    <s v="East"/>
    <x v="10"/>
  </r>
  <r>
    <s v="ORD-01258"/>
    <n v="45457"/>
    <n v="21146.400000000001"/>
    <x v="21"/>
    <s v="Electronics"/>
    <s v="SMB"/>
    <n v="26"/>
    <s v="East"/>
    <x v="6"/>
  </r>
  <r>
    <s v="ORD-01259"/>
    <n v="45508"/>
    <n v="4643.12"/>
    <x v="0"/>
    <s v="Home"/>
    <s v="Corporate"/>
    <n v="22"/>
    <s v="North"/>
    <x v="7"/>
  </r>
  <r>
    <s v="ORD-01260"/>
    <n v="45399"/>
    <n v="23926.5"/>
    <x v="26"/>
    <s v="Home"/>
    <s v="SMB"/>
    <n v="46"/>
    <s v="East"/>
    <x v="5"/>
  </r>
  <r>
    <s v="ORD-01261"/>
    <n v="45607"/>
    <n v="24645.759999999998"/>
    <x v="25"/>
    <s v="Electronics"/>
    <s v="Retail"/>
    <n v="49"/>
    <s v="North"/>
    <x v="4"/>
  </r>
  <r>
    <s v="ORD-01262"/>
    <n v="45407"/>
    <n v="1918.62"/>
    <x v="21"/>
    <s v="Home"/>
    <s v="Retail"/>
    <n v="29"/>
    <s v="East"/>
    <x v="5"/>
  </r>
  <r>
    <s v="ORD-01263"/>
    <n v="45357"/>
    <n v="15397.2"/>
    <x v="24"/>
    <s v="Electronics"/>
    <s v="Retail"/>
    <n v="42"/>
    <s v="East"/>
    <x v="2"/>
  </r>
  <r>
    <s v="ORD-01264"/>
    <n v="45565"/>
    <n v="4532.22"/>
    <x v="15"/>
    <s v="Home"/>
    <s v="Corporate"/>
    <n v="40"/>
    <s v="South"/>
    <x v="0"/>
  </r>
  <r>
    <s v="ORD-01265"/>
    <n v="45395"/>
    <n v="5747.7"/>
    <x v="13"/>
    <s v="Grocery"/>
    <s v="SMB"/>
    <n v="55"/>
    <s v="East"/>
    <x v="5"/>
  </r>
  <r>
    <s v="ORD-01266"/>
    <n v="45624"/>
    <n v="14478.75"/>
    <x v="9"/>
    <s v="Beauty"/>
    <s v="Retail"/>
    <n v="28"/>
    <s v="South"/>
    <x v="4"/>
  </r>
  <r>
    <s v="ORD-01267"/>
    <n v="45650"/>
    <n v="15966.72"/>
    <x v="3"/>
    <s v="Electronics"/>
    <s v="Unknown"/>
    <s v=""/>
    <s v="North"/>
    <x v="8"/>
  </r>
  <r>
    <s v="ORD-01268"/>
    <n v="45370"/>
    <n v="14432.32"/>
    <x v="22"/>
    <s v="Grocery"/>
    <s v="Retail"/>
    <n v="39"/>
    <s v="South"/>
    <x v="2"/>
  </r>
  <r>
    <s v="ORD-01269"/>
    <n v="45373"/>
    <n v="21304.400000000001"/>
    <x v="0"/>
    <s v="Grocery"/>
    <s v="SMB"/>
    <n v="55"/>
    <s v="North"/>
    <x v="2"/>
  </r>
  <r>
    <s v="ORD-01270"/>
    <n v="45391"/>
    <n v="45308.160000000003"/>
    <x v="26"/>
    <s v="Beauty"/>
    <s v="Retail"/>
    <n v="52"/>
    <s v="East"/>
    <x v="5"/>
  </r>
  <r>
    <s v="ORD-01271"/>
    <n v="45332"/>
    <n v="7086.16"/>
    <x v="24"/>
    <s v="Sports"/>
    <s v="Retail"/>
    <n v="65"/>
    <s v="East"/>
    <x v="1"/>
  </r>
  <r>
    <s v="ORD-01272"/>
    <n v="45582"/>
    <n v="26820.48"/>
    <x v="23"/>
    <s v="Grocery"/>
    <s v="Retail"/>
    <n v="65"/>
    <s v="South"/>
    <x v="9"/>
  </r>
  <r>
    <s v="ORD-01273"/>
    <n v="45443"/>
    <n v="31200.48"/>
    <x v="20"/>
    <s v="Home"/>
    <s v="SMB"/>
    <n v="49"/>
    <s v="West"/>
    <x v="3"/>
  </r>
  <r>
    <s v="ORD-01274"/>
    <n v="45525"/>
    <n v="34333.199999999997"/>
    <x v="3"/>
    <s v="Beauty"/>
    <s v="SMB"/>
    <n v="49"/>
    <s v="North"/>
    <x v="7"/>
  </r>
  <r>
    <s v="ORD-01275"/>
    <n v="45377"/>
    <n v="11627"/>
    <x v="7"/>
    <s v="Beauty"/>
    <s v="Retail"/>
    <n v="59"/>
    <s v="East"/>
    <x v="2"/>
  </r>
  <r>
    <s v="ORD-01276"/>
    <n v="45413"/>
    <n v="25068.959999999999"/>
    <x v="15"/>
    <s v="Sports"/>
    <s v="Retail"/>
    <n v="52"/>
    <s v="South"/>
    <x v="3"/>
  </r>
  <r>
    <s v="ORD-01277"/>
    <n v="45437"/>
    <n v="20221.5"/>
    <x v="19"/>
    <s v="Grocery"/>
    <s v="Corporate"/>
    <n v="47"/>
    <s v="North"/>
    <x v="3"/>
  </r>
  <r>
    <s v="ORD-01278"/>
    <n v="45604"/>
    <n v="8565.9599999999991"/>
    <x v="15"/>
    <s v="Grocery"/>
    <s v="Retail"/>
    <n v="42"/>
    <s v="South"/>
    <x v="4"/>
  </r>
  <r>
    <s v="ORD-01279"/>
    <n v="45540"/>
    <n v="1485"/>
    <x v="15"/>
    <s v="Beauty"/>
    <s v="Corporate"/>
    <n v="37"/>
    <s v="South"/>
    <x v="0"/>
  </r>
  <r>
    <s v="ORD-01280"/>
    <n v="45597"/>
    <n v="1100.0999999999999"/>
    <x v="1"/>
    <s v="Sports"/>
    <s v="Retail"/>
    <n v="61"/>
    <s v="North"/>
    <x v="4"/>
  </r>
  <r>
    <s v="ORD-01281"/>
    <n v="45589"/>
    <n v="19516.64"/>
    <x v="28"/>
    <s v="Sports"/>
    <s v="SMB"/>
    <n v="28"/>
    <s v="West"/>
    <x v="9"/>
  </r>
  <r>
    <s v="ORD-01282"/>
    <n v="45448"/>
    <n v="2173.5"/>
    <x v="14"/>
    <s v="Electronics"/>
    <s v="SMB"/>
    <n v="50"/>
    <s v="West"/>
    <x v="6"/>
  </r>
  <r>
    <s v="ORD-01283"/>
    <n v="45608"/>
    <n v="8668.7999999999993"/>
    <x v="0"/>
    <s v="Beauty"/>
    <s v="Retail"/>
    <n v="40"/>
    <s v="North"/>
    <x v="4"/>
  </r>
  <r>
    <s v="ORD-01284"/>
    <n v="45421"/>
    <n v="4079.5"/>
    <x v="22"/>
    <s v="Apparel"/>
    <s v="Retail"/>
    <n v="54"/>
    <s v="South"/>
    <x v="3"/>
  </r>
  <r>
    <s v="ORD-01285"/>
    <n v="45383"/>
    <n v="662.3"/>
    <x v="10"/>
    <s v="Home"/>
    <s v="Retail"/>
    <n v="28"/>
    <s v="North"/>
    <x v="5"/>
  </r>
  <r>
    <s v="ORD-01286"/>
    <n v="45453"/>
    <n v="42393.78"/>
    <x v="12"/>
    <s v="Home"/>
    <s v="Retail"/>
    <n v="35"/>
    <s v="East"/>
    <x v="6"/>
  </r>
  <r>
    <s v="ORD-01287"/>
    <n v="45398"/>
    <n v="905.76"/>
    <x v="26"/>
    <s v="Home"/>
    <s v="SMB"/>
    <n v="28"/>
    <s v="East"/>
    <x v="5"/>
  </r>
  <r>
    <s v="ORD-01288"/>
    <n v="45584"/>
    <n v="992.94"/>
    <x v="26"/>
    <s v="Sports"/>
    <s v="SMB"/>
    <n v="48"/>
    <s v="East"/>
    <x v="9"/>
  </r>
  <r>
    <s v="ORD-01289"/>
    <n v="45397"/>
    <n v="15947.36"/>
    <x v="12"/>
    <s v="Grocery"/>
    <s v="SMB"/>
    <n v="44"/>
    <s v="East"/>
    <x v="5"/>
  </r>
  <r>
    <s v="ORD-01290"/>
    <n v="45453"/>
    <n v="10579.8"/>
    <x v="18"/>
    <s v="Beauty"/>
    <s v="Retail"/>
    <n v="55"/>
    <s v="South"/>
    <x v="6"/>
  </r>
  <r>
    <s v="ORD-01291"/>
    <n v="45359"/>
    <n v="4884"/>
    <x v="22"/>
    <s v="Home"/>
    <s v="Retail"/>
    <n v="32"/>
    <s v="South"/>
    <x v="2"/>
  </r>
  <r>
    <s v="ORD-01292"/>
    <n v="45644"/>
    <n v="9736.32"/>
    <x v="10"/>
    <s v="Home"/>
    <s v="SMB"/>
    <n v="44"/>
    <s v="North"/>
    <x v="8"/>
  </r>
  <r>
    <s v="ORD-01293"/>
    <n v="45325"/>
    <n v="12000.3"/>
    <x v="5"/>
    <s v="Grocery"/>
    <s v="SMB"/>
    <n v="22"/>
    <s v="West"/>
    <x v="1"/>
  </r>
  <r>
    <s v="ORD-01294"/>
    <n v="45533"/>
    <n v="8857.7199999999993"/>
    <x v="21"/>
    <s v="Beauty"/>
    <s v="SMB"/>
    <n v="62"/>
    <s v="East"/>
    <x v="7"/>
  </r>
  <r>
    <s v="ORD-01295"/>
    <n v="45369"/>
    <n v="3990.6"/>
    <x v="17"/>
    <s v="Home"/>
    <s v="Corporate"/>
    <n v="46"/>
    <s v="West"/>
    <x v="2"/>
  </r>
  <r>
    <s v="ORD-01296"/>
    <n v="45312"/>
    <n v="5530.56"/>
    <x v="9"/>
    <s v="Sports"/>
    <s v="SMB"/>
    <n v="30"/>
    <s v="South"/>
    <x v="11"/>
  </r>
  <r>
    <s v="ORD-01297"/>
    <n v="45445"/>
    <n v="1682.4"/>
    <x v="4"/>
    <s v="Sports"/>
    <s v="SMB"/>
    <n v="47"/>
    <s v="North"/>
    <x v="6"/>
  </r>
  <r>
    <s v="ORD-01298"/>
    <n v="45636"/>
    <n v="14674.32"/>
    <x v="9"/>
    <s v="Beauty"/>
    <s v="Retail"/>
    <n v="38"/>
    <s v="South"/>
    <x v="8"/>
  </r>
  <r>
    <s v="ORD-01299"/>
    <n v="45294"/>
    <n v="8718.84"/>
    <x v="26"/>
    <s v="Home"/>
    <s v="Retail"/>
    <n v="37"/>
    <s v="East"/>
    <x v="11"/>
  </r>
  <r>
    <s v="ORD-01300"/>
    <n v="45449"/>
    <n v="1026.78"/>
    <x v="10"/>
    <s v="Home"/>
    <s v="Retail"/>
    <n v="55"/>
    <s v="North"/>
    <x v="6"/>
  </r>
  <r>
    <s v="ORD-01301"/>
    <n v="45560"/>
    <n v="5423.34"/>
    <x v="26"/>
    <s v="Grocery"/>
    <s v="Retail"/>
    <n v="37"/>
    <s v="East"/>
    <x v="0"/>
  </r>
  <r>
    <s v="ORD-01302"/>
    <n v="45588"/>
    <n v="28554.560000000001"/>
    <x v="15"/>
    <s v="Apparel"/>
    <s v="Corporate"/>
    <n v="47"/>
    <s v="South"/>
    <x v="9"/>
  </r>
  <r>
    <s v="ORD-01303"/>
    <n v="45360"/>
    <n v="10273.83"/>
    <x v="23"/>
    <s v="Home"/>
    <s v="Retail"/>
    <n v="26"/>
    <s v="South"/>
    <x v="2"/>
  </r>
  <r>
    <s v="ORD-01304"/>
    <n v="45316"/>
    <n v="2724.48"/>
    <x v="12"/>
    <s v="Electronics"/>
    <s v="Corporate"/>
    <n v="26"/>
    <s v="East"/>
    <x v="11"/>
  </r>
  <r>
    <s v="ORD-01305"/>
    <n v="45324"/>
    <n v="15743.7"/>
    <x v="2"/>
    <s v="Electronics"/>
    <s v="Retail"/>
    <n v="52"/>
    <s v="South"/>
    <x v="1"/>
  </r>
  <r>
    <s v="ORD-01306"/>
    <n v="45650"/>
    <n v="34250.58"/>
    <x v="7"/>
    <s v="Electronics"/>
    <s v="Corporate"/>
    <n v="31"/>
    <s v="East"/>
    <x v="8"/>
  </r>
  <r>
    <s v="ORD-01307"/>
    <n v="45564"/>
    <n v="5014.2"/>
    <x v="18"/>
    <s v="Electronics"/>
    <s v="Retail"/>
    <n v="36"/>
    <s v="South"/>
    <x v="0"/>
  </r>
  <r>
    <s v="ORD-01308"/>
    <n v="45587"/>
    <n v="17074.05"/>
    <x v="7"/>
    <s v="Apparel"/>
    <s v="Retail"/>
    <n v="49"/>
    <s v="East"/>
    <x v="9"/>
  </r>
  <r>
    <s v="ORD-01309"/>
    <n v="45538"/>
    <n v="19352.16"/>
    <x v="22"/>
    <s v="Apparel"/>
    <s v="SMB"/>
    <n v="65"/>
    <s v="South"/>
    <x v="0"/>
  </r>
  <r>
    <s v="ORD-01310"/>
    <n v="45385"/>
    <n v="1407.48"/>
    <x v="1"/>
    <s v="Home"/>
    <s v="Corporate"/>
    <n v="36"/>
    <s v="North"/>
    <x v="5"/>
  </r>
  <r>
    <s v="ORD-01311"/>
    <n v="45647"/>
    <n v="1034.56"/>
    <x v="11"/>
    <s v="Electronics"/>
    <s v="Retail"/>
    <n v="48"/>
    <s v="North"/>
    <x v="8"/>
  </r>
  <r>
    <s v="ORD-01312"/>
    <n v="45466"/>
    <n v="9576.84"/>
    <x v="3"/>
    <s v="Apparel"/>
    <s v="SMB"/>
    <n v="39"/>
    <s v="North"/>
    <x v="6"/>
  </r>
  <r>
    <s v="ORD-01313"/>
    <n v="45559"/>
    <n v="17346.88"/>
    <x v="9"/>
    <s v="Beauty"/>
    <s v="Corporate"/>
    <n v="62"/>
    <s v="South"/>
    <x v="0"/>
  </r>
  <r>
    <s v="ORD-01314"/>
    <n v="45469"/>
    <n v="14106.6"/>
    <x v="4"/>
    <s v="Beauty"/>
    <s v="Retail"/>
    <n v="27"/>
    <s v="North"/>
    <x v="6"/>
  </r>
  <r>
    <s v="ORD-01315"/>
    <n v="45407"/>
    <n v="2187"/>
    <x v="19"/>
    <s v="Electronics"/>
    <s v="Retail"/>
    <n v="49"/>
    <s v="North"/>
    <x v="5"/>
  </r>
  <r>
    <s v="ORD-01316"/>
    <n v="45634"/>
    <n v="16556.7"/>
    <x v="0"/>
    <s v="Beauty"/>
    <s v="SMB"/>
    <n v="44"/>
    <s v="North"/>
    <x v="8"/>
  </r>
  <r>
    <s v="ORD-01317"/>
    <n v="45454"/>
    <n v="26175.24"/>
    <x v="6"/>
    <s v="Apparel"/>
    <s v="Corporate"/>
    <n v="55"/>
    <s v="West"/>
    <x v="6"/>
  </r>
  <r>
    <s v="ORD-01318"/>
    <n v="45565"/>
    <n v="3030.72"/>
    <x v="24"/>
    <s v="Apparel"/>
    <s v="Retail"/>
    <n v="52"/>
    <s v="East"/>
    <x v="0"/>
  </r>
  <r>
    <s v="ORD-01319"/>
    <n v="45443"/>
    <n v="953.51"/>
    <x v="2"/>
    <s v="Grocery"/>
    <s v="Corporate"/>
    <n v="42"/>
    <s v="South"/>
    <x v="3"/>
  </r>
  <r>
    <s v="ORD-01320"/>
    <n v="45318"/>
    <n v="15931"/>
    <x v="7"/>
    <s v="Apparel"/>
    <s v="Retail"/>
    <n v="60"/>
    <s v="East"/>
    <x v="11"/>
  </r>
  <r>
    <s v="ORD-01321"/>
    <n v="45308"/>
    <n v="6383.04"/>
    <x v="18"/>
    <s v="Home"/>
    <s v="Retail"/>
    <n v="60"/>
    <s v="South"/>
    <x v="11"/>
  </r>
  <r>
    <s v="ORD-01322"/>
    <n v="45306"/>
    <n v="14938.56"/>
    <x v="21"/>
    <s v="Electronics"/>
    <s v="Retail"/>
    <n v="33"/>
    <s v="East"/>
    <x v="11"/>
  </r>
  <r>
    <s v="ORD-01323"/>
    <n v="45432"/>
    <n v="16118.2"/>
    <x v="19"/>
    <s v="Electronics"/>
    <s v="Retail"/>
    <n v="28"/>
    <s v="North"/>
    <x v="3"/>
  </r>
  <r>
    <s v="ORD-01324"/>
    <n v="45369"/>
    <n v="37017.96"/>
    <x v="13"/>
    <s v="Sports"/>
    <s v="Retail"/>
    <n v="49"/>
    <s v="East"/>
    <x v="2"/>
  </r>
  <r>
    <s v="ORD-01325"/>
    <n v="45544"/>
    <n v="6494.4"/>
    <x v="10"/>
    <s v="Sports"/>
    <s v="SMB"/>
    <n v="27"/>
    <s v="North"/>
    <x v="0"/>
  </r>
  <r>
    <s v="ORD-01326"/>
    <n v="45395"/>
    <n v="20258.400000000001"/>
    <x v="12"/>
    <s v="Sports"/>
    <s v="Retail"/>
    <n v="44"/>
    <s v="East"/>
    <x v="5"/>
  </r>
  <r>
    <s v="ORD-01327"/>
    <n v="45389"/>
    <n v="4611.6000000000004"/>
    <x v="10"/>
    <s v="Electronics"/>
    <s v="SMB"/>
    <n v="30"/>
    <s v="North"/>
    <x v="5"/>
  </r>
  <r>
    <s v="ORD-01328"/>
    <n v="45536"/>
    <n v="481.74"/>
    <x v="0"/>
    <s v="Apparel"/>
    <s v="Retail"/>
    <n v="62"/>
    <s v="North"/>
    <x v="0"/>
  </r>
  <r>
    <s v="ORD-01329"/>
    <n v="45348"/>
    <n v="262.5"/>
    <x v="12"/>
    <s v="Electronics"/>
    <s v="SMB"/>
    <n v="64"/>
    <s v="East"/>
    <x v="1"/>
  </r>
  <r>
    <s v="ORD-01330"/>
    <n v="45502"/>
    <n v="2602.77"/>
    <x v="16"/>
    <s v="Sports"/>
    <s v="Retail"/>
    <n v="35"/>
    <s v="East"/>
    <x v="10"/>
  </r>
  <r>
    <s v="ORD-01331"/>
    <n v="45600"/>
    <n v="8453.1200000000008"/>
    <x v="28"/>
    <s v="Home"/>
    <s v="Retail"/>
    <n v="63"/>
    <s v="West"/>
    <x v="4"/>
  </r>
  <r>
    <s v="ORD-01332"/>
    <n v="45416"/>
    <n v="4967.5200000000004"/>
    <x v="28"/>
    <s v="Apparel"/>
    <s v="SMB"/>
    <n v="40"/>
    <s v="West"/>
    <x v="3"/>
  </r>
  <r>
    <s v="ORD-01333"/>
    <n v="45535"/>
    <n v="19006.05"/>
    <x v="29"/>
    <s v="Beauty"/>
    <s v="SMB"/>
    <n v="49"/>
    <s v="South"/>
    <x v="7"/>
  </r>
  <r>
    <s v="ORD-01334"/>
    <n v="45322"/>
    <n v="10201.620000000001"/>
    <x v="3"/>
    <s v="Electronics"/>
    <s v="Corporate"/>
    <n v="47"/>
    <s v="North"/>
    <x v="11"/>
  </r>
  <r>
    <s v="ORD-01335"/>
    <n v="45626"/>
    <n v="33693.699999999997"/>
    <x v="2"/>
    <s v="Sports"/>
    <s v="Retail"/>
    <n v="44"/>
    <s v="South"/>
    <x v="4"/>
  </r>
  <r>
    <s v="ORD-01336"/>
    <n v="45534"/>
    <n v="2778.6"/>
    <x v="8"/>
    <s v="Home"/>
    <s v="Retail"/>
    <n v="34"/>
    <s v="West"/>
    <x v="7"/>
  </r>
  <r>
    <s v="ORD-01337"/>
    <n v="45519"/>
    <n v="45716.4"/>
    <x v="22"/>
    <s v="Beauty"/>
    <s v="Corporate"/>
    <n v="52"/>
    <s v="South"/>
    <x v="7"/>
  </r>
  <r>
    <s v="ORD-01338"/>
    <n v="45315"/>
    <n v="8184"/>
    <x v="2"/>
    <s v="Beauty"/>
    <s v="Unknown"/>
    <s v=""/>
    <s v="South"/>
    <x v="11"/>
  </r>
  <r>
    <s v="ORD-01339"/>
    <n v="45566"/>
    <n v="18982.599999999999"/>
    <x v="26"/>
    <s v="Apparel"/>
    <s v="Retail"/>
    <n v="24"/>
    <s v="East"/>
    <x v="9"/>
  </r>
  <r>
    <s v="ORD-01340"/>
    <n v="45643"/>
    <n v="25590.720000000001"/>
    <x v="20"/>
    <s v="Beauty"/>
    <s v="Retail"/>
    <n v="64"/>
    <s v="West"/>
    <x v="8"/>
  </r>
  <r>
    <s v="ORD-01341"/>
    <n v="45422"/>
    <n v="17866.16"/>
    <x v="8"/>
    <s v="Electronics"/>
    <s v="Retail"/>
    <n v="35"/>
    <s v="West"/>
    <x v="3"/>
  </r>
  <r>
    <s v="ORD-01342"/>
    <n v="45400"/>
    <n v="12072.51"/>
    <x v="12"/>
    <s v="Home"/>
    <s v="SMB"/>
    <n v="49"/>
    <s v="East"/>
    <x v="5"/>
  </r>
  <r>
    <s v="ORD-01343"/>
    <n v="45564"/>
    <n v="1175.72"/>
    <x v="25"/>
    <s v="Sports"/>
    <s v="Corporate"/>
    <n v="55"/>
    <s v="North"/>
    <x v="0"/>
  </r>
  <r>
    <s v="ORD-01344"/>
    <n v="45437"/>
    <n v="11992.2"/>
    <x v="29"/>
    <s v="Apparel"/>
    <s v="Retail"/>
    <n v="27"/>
    <s v="South"/>
    <x v="3"/>
  </r>
  <r>
    <s v="ORD-01345"/>
    <n v="45395"/>
    <n v="985.36"/>
    <x v="12"/>
    <s v="Home"/>
    <s v="Retail"/>
    <n v="23"/>
    <s v="East"/>
    <x v="5"/>
  </r>
  <r>
    <s v="ORD-01346"/>
    <n v="45447"/>
    <n v="3196.8"/>
    <x v="10"/>
    <s v="Home"/>
    <s v="Corporate"/>
    <n v="27"/>
    <s v="North"/>
    <x v="6"/>
  </r>
  <r>
    <s v="ORD-01347"/>
    <n v="45300"/>
    <n v="10028.200000000001"/>
    <x v="25"/>
    <s v="Electronics"/>
    <s v="Retail"/>
    <n v="51"/>
    <s v="North"/>
    <x v="11"/>
  </r>
  <r>
    <s v="ORD-01348"/>
    <n v="45327"/>
    <n v="10580.32"/>
    <x v="26"/>
    <s v="Apparel"/>
    <s v="Retail"/>
    <n v="34"/>
    <s v="East"/>
    <x v="1"/>
  </r>
  <r>
    <s v="ORD-01349"/>
    <n v="45410"/>
    <n v="7672.32"/>
    <x v="1"/>
    <s v="Beauty"/>
    <s v="Corporate"/>
    <n v="52"/>
    <s v="North"/>
    <x v="5"/>
  </r>
  <r>
    <s v="ORD-01350"/>
    <n v="45644"/>
    <n v="3093.2"/>
    <x v="6"/>
    <s v="Home"/>
    <s v="Retail"/>
    <n v="37"/>
    <s v="West"/>
    <x v="8"/>
  </r>
  <r>
    <s v="ORD-01351"/>
    <n v="45399"/>
    <n v="10542.72"/>
    <x v="20"/>
    <s v="Apparel"/>
    <s v="Retail"/>
    <n v="37"/>
    <s v="West"/>
    <x v="5"/>
  </r>
  <r>
    <s v="ORD-01352"/>
    <n v="45441"/>
    <n v="47345.599999999999"/>
    <x v="1"/>
    <s v="Home"/>
    <s v="Corporate"/>
    <n v="24"/>
    <s v="North"/>
    <x v="3"/>
  </r>
  <r>
    <s v="ORD-01353"/>
    <n v="45379"/>
    <n v="10634.76"/>
    <x v="4"/>
    <s v="Beauty"/>
    <s v="Corporate"/>
    <n v="25"/>
    <s v="North"/>
    <x v="2"/>
  </r>
  <r>
    <s v="ORD-01354"/>
    <n v="45502"/>
    <n v="8037.12"/>
    <x v="3"/>
    <s v="Grocery"/>
    <s v="Corporate"/>
    <n v="42"/>
    <s v="North"/>
    <x v="10"/>
  </r>
  <r>
    <s v="ORD-01355"/>
    <n v="45466"/>
    <n v="19367.64"/>
    <x v="28"/>
    <s v="Grocery"/>
    <s v="Retail"/>
    <n v="65"/>
    <s v="West"/>
    <x v="6"/>
  </r>
  <r>
    <s v="ORD-01356"/>
    <n v="45500"/>
    <n v="6295.08"/>
    <x v="4"/>
    <s v="Apparel"/>
    <s v="SMB"/>
    <n v="53"/>
    <s v="North"/>
    <x v="10"/>
  </r>
  <r>
    <s v="ORD-01357"/>
    <n v="45337"/>
    <n v="1820.7"/>
    <x v="27"/>
    <s v="Grocery"/>
    <s v="Retail"/>
    <n v="46"/>
    <s v="South"/>
    <x v="1"/>
  </r>
  <r>
    <s v="ORD-01358"/>
    <n v="45447"/>
    <n v="5360.04"/>
    <x v="7"/>
    <s v="Sports"/>
    <s v="Retail"/>
    <n v="37"/>
    <s v="East"/>
    <x v="6"/>
  </r>
  <r>
    <s v="ORD-01359"/>
    <n v="45546"/>
    <n v="2835.9"/>
    <x v="17"/>
    <s v="Apparel"/>
    <s v="Retail"/>
    <n v="35"/>
    <s v="West"/>
    <x v="0"/>
  </r>
  <r>
    <s v="ORD-01360"/>
    <n v="45451"/>
    <n v="24712.32"/>
    <x v="3"/>
    <s v="Beauty"/>
    <s v="Retail"/>
    <n v="44"/>
    <s v="North"/>
    <x v="6"/>
  </r>
  <r>
    <s v="ORD-01361"/>
    <n v="45427"/>
    <n v="5328"/>
    <x v="29"/>
    <s v="Beauty"/>
    <s v="SMB"/>
    <n v="40"/>
    <s v="South"/>
    <x v="3"/>
  </r>
  <r>
    <s v="ORD-01362"/>
    <n v="45532"/>
    <n v="3100.76"/>
    <x v="12"/>
    <s v="Apparel"/>
    <s v="Retail"/>
    <n v="22"/>
    <s v="East"/>
    <x v="7"/>
  </r>
  <r>
    <s v="ORD-01363"/>
    <n v="45466"/>
    <n v="16625.7"/>
    <x v="1"/>
    <s v="Grocery"/>
    <s v="Retail"/>
    <n v="26"/>
    <s v="North"/>
    <x v="6"/>
  </r>
  <r>
    <s v="ORD-01364"/>
    <n v="45545"/>
    <n v="20889.599999999999"/>
    <x v="16"/>
    <s v="Apparel"/>
    <s v="Corporate"/>
    <n v="46"/>
    <s v="East"/>
    <x v="0"/>
  </r>
  <r>
    <s v="ORD-01365"/>
    <n v="45547"/>
    <n v="2081.8200000000002"/>
    <x v="24"/>
    <s v="Grocery"/>
    <s v="SMB"/>
    <n v="43"/>
    <s v="East"/>
    <x v="0"/>
  </r>
  <r>
    <s v="ORD-01366"/>
    <n v="45547"/>
    <n v="12437.25"/>
    <x v="22"/>
    <s v="Beauty"/>
    <s v="Retail"/>
    <n v="54"/>
    <s v="South"/>
    <x v="0"/>
  </r>
  <r>
    <s v="ORD-01367"/>
    <n v="45550"/>
    <n v="18164.16"/>
    <x v="12"/>
    <s v="Grocery"/>
    <s v="SMB"/>
    <n v="36"/>
    <s v="East"/>
    <x v="0"/>
  </r>
  <r>
    <s v="ORD-01368"/>
    <n v="45551"/>
    <n v="3603.32"/>
    <x v="25"/>
    <s v="Grocery"/>
    <s v="SMB"/>
    <n v="53"/>
    <s v="North"/>
    <x v="0"/>
  </r>
  <r>
    <s v="ORD-01369"/>
    <n v="45560"/>
    <n v="29925.360000000001"/>
    <x v="27"/>
    <s v="Apparel"/>
    <s v="Corporate"/>
    <n v="46"/>
    <s v="South"/>
    <x v="0"/>
  </r>
  <r>
    <s v="ORD-01370"/>
    <n v="45330"/>
    <n v="6029.24"/>
    <x v="26"/>
    <s v="Electronics"/>
    <s v="Corporate"/>
    <n v="35"/>
    <s v="East"/>
    <x v="1"/>
  </r>
  <r>
    <s v="ORD-01371"/>
    <n v="45560"/>
    <n v="43916.32"/>
    <x v="21"/>
    <s v="Sports"/>
    <s v="Retail"/>
    <n v="37"/>
    <s v="East"/>
    <x v="0"/>
  </r>
  <r>
    <s v="ORD-01372"/>
    <n v="45395"/>
    <n v="1809.4"/>
    <x v="24"/>
    <s v="Home"/>
    <s v="SMB"/>
    <n v="43"/>
    <s v="East"/>
    <x v="5"/>
  </r>
  <r>
    <s v="ORD-01373"/>
    <n v="45486"/>
    <n v="7720.72"/>
    <x v="8"/>
    <s v="Grocery"/>
    <s v="Retail"/>
    <n v="31"/>
    <s v="West"/>
    <x v="10"/>
  </r>
  <r>
    <s v="ORD-01374"/>
    <n v="45578"/>
    <n v="10773.42"/>
    <x v="10"/>
    <s v="Grocery"/>
    <s v="SMB"/>
    <n v="43"/>
    <s v="North"/>
    <x v="9"/>
  </r>
  <r>
    <s v="ORD-01375"/>
    <n v="45581"/>
    <n v="15225"/>
    <x v="7"/>
    <s v="Home"/>
    <s v="Retail"/>
    <n v="36"/>
    <s v="East"/>
    <x v="9"/>
  </r>
  <r>
    <s v="ORD-01376"/>
    <n v="45508"/>
    <n v="2874.33"/>
    <x v="28"/>
    <s v="Home"/>
    <s v="SMB"/>
    <n v="54"/>
    <s v="West"/>
    <x v="7"/>
  </r>
  <r>
    <s v="ORD-01377"/>
    <n v="45303"/>
    <n v="5368.89"/>
    <x v="21"/>
    <s v="Apparel"/>
    <s v="SMB"/>
    <n v="43"/>
    <s v="East"/>
    <x v="11"/>
  </r>
  <r>
    <s v="ORD-01378"/>
    <n v="45412"/>
    <n v="15240.78"/>
    <x v="17"/>
    <s v="Grocery"/>
    <s v="Retail"/>
    <n v="53"/>
    <s v="West"/>
    <x v="5"/>
  </r>
  <r>
    <s v="ORD-01379"/>
    <n v="45400"/>
    <n v="32121.27"/>
    <x v="20"/>
    <s v="Electronics"/>
    <s v="Corporate"/>
    <n v="46"/>
    <s v="West"/>
    <x v="5"/>
  </r>
  <r>
    <s v="ORD-01380"/>
    <n v="45570"/>
    <n v="12278.76"/>
    <x v="2"/>
    <s v="Grocery"/>
    <s v="SMB"/>
    <n v="65"/>
    <s v="South"/>
    <x v="9"/>
  </r>
  <r>
    <s v="ORD-01381"/>
    <n v="45360"/>
    <n v="8559.32"/>
    <x v="21"/>
    <s v="Beauty"/>
    <s v="Retail"/>
    <n v="44"/>
    <s v="East"/>
    <x v="2"/>
  </r>
  <r>
    <s v="ORD-01382"/>
    <n v="45334"/>
    <n v="40618.71"/>
    <x v="28"/>
    <s v="Home"/>
    <s v="Retail"/>
    <n v="63"/>
    <s v="West"/>
    <x v="1"/>
  </r>
  <r>
    <s v="ORD-01383"/>
    <n v="45527"/>
    <n v="34419.9"/>
    <x v="25"/>
    <s v="Electronics"/>
    <s v="Retail"/>
    <n v="56"/>
    <s v="North"/>
    <x v="7"/>
  </r>
  <r>
    <s v="ORD-01384"/>
    <n v="45534"/>
    <n v="17704.96"/>
    <x v="4"/>
    <s v="Electronics"/>
    <s v="Retail"/>
    <n v="41"/>
    <s v="North"/>
    <x v="7"/>
  </r>
  <r>
    <s v="ORD-01385"/>
    <n v="45329"/>
    <n v="15856.2"/>
    <x v="13"/>
    <s v="Beauty"/>
    <s v="Corporate"/>
    <n v="54"/>
    <s v="East"/>
    <x v="1"/>
  </r>
  <r>
    <s v="ORD-01386"/>
    <n v="45621"/>
    <n v="3703.6"/>
    <x v="0"/>
    <s v="Sports"/>
    <s v="SMB"/>
    <n v="48"/>
    <s v="North"/>
    <x v="4"/>
  </r>
  <r>
    <s v="ORD-00168"/>
    <n v="45334"/>
    <n v="23787.54"/>
    <x v="24"/>
    <s v="Sports"/>
    <s v="Retail"/>
    <n v="22"/>
    <s v="East"/>
    <x v="1"/>
  </r>
  <r>
    <s v="ORD-01388"/>
    <n v="45324"/>
    <n v="10403.879999999999"/>
    <x v="28"/>
    <s v="Apparel"/>
    <s v="SMB"/>
    <n v="36"/>
    <s v="West"/>
    <x v="1"/>
  </r>
  <r>
    <s v="ORD-01389"/>
    <n v="45541"/>
    <n v="6115.2"/>
    <x v="8"/>
    <s v="Beauty"/>
    <s v="Retail"/>
    <n v="53"/>
    <s v="West"/>
    <x v="0"/>
  </r>
  <r>
    <s v="ORD-01390"/>
    <n v="45344"/>
    <n v="33098"/>
    <x v="0"/>
    <s v="Beauty"/>
    <s v="Retail"/>
    <n v="28"/>
    <s v="North"/>
    <x v="1"/>
  </r>
  <r>
    <s v="ORD-01391"/>
    <n v="45388"/>
    <n v="6091.2"/>
    <x v="14"/>
    <s v="Sports"/>
    <s v="SMB"/>
    <n v="28"/>
    <s v="West"/>
    <x v="5"/>
  </r>
  <r>
    <s v="ORD-01392"/>
    <n v="45407"/>
    <n v="5119.3999999999996"/>
    <x v="25"/>
    <s v="Sports"/>
    <s v="Retail"/>
    <n v="29"/>
    <s v="North"/>
    <x v="5"/>
  </r>
  <r>
    <s v="ORD-01393"/>
    <n v="45620"/>
    <n v="8619.56"/>
    <x v="4"/>
    <s v="Beauty"/>
    <s v="SMB"/>
    <n v="46"/>
    <s v="North"/>
    <x v="4"/>
  </r>
  <r>
    <s v="ORD-01394"/>
    <n v="45499"/>
    <n v="36004.15"/>
    <x v="12"/>
    <s v="Electronics"/>
    <s v="Retail"/>
    <n v="50"/>
    <s v="East"/>
    <x v="10"/>
  </r>
  <r>
    <s v="ORD-01395"/>
    <n v="45585"/>
    <n v="29083.599999999999"/>
    <x v="26"/>
    <s v="Apparel"/>
    <s v="Retail"/>
    <n v="41"/>
    <s v="East"/>
    <x v="9"/>
  </r>
  <r>
    <s v="ORD-01396"/>
    <n v="45633"/>
    <n v="49733.2"/>
    <x v="6"/>
    <s v="Home"/>
    <s v="SMB"/>
    <n v="40"/>
    <s v="West"/>
    <x v="8"/>
  </r>
  <r>
    <s v="ORD-01397"/>
    <n v="45517"/>
    <n v="3553.4"/>
    <x v="26"/>
    <s v="Home"/>
    <s v="SMB"/>
    <n v="26"/>
    <s v="East"/>
    <x v="7"/>
  </r>
  <r>
    <s v="ORD-01398"/>
    <n v="45645"/>
    <n v="25357.5"/>
    <x v="14"/>
    <s v="Beauty"/>
    <s v="Corporate"/>
    <n v="47"/>
    <s v="West"/>
    <x v="8"/>
  </r>
  <r>
    <s v="ORD-01399"/>
    <n v="45483"/>
    <n v="43090.65"/>
    <x v="18"/>
    <s v="Sports"/>
    <s v="Retail"/>
    <n v="53"/>
    <s v="South"/>
    <x v="10"/>
  </r>
  <r>
    <s v="ORD-01400"/>
    <n v="45445"/>
    <n v="30956.85"/>
    <x v="14"/>
    <s v="Apparel"/>
    <s v="SMB"/>
    <n v="34"/>
    <s v="West"/>
    <x v="6"/>
  </r>
  <r>
    <s v="ORD-01401"/>
    <n v="45614"/>
    <n v="27302.400000000001"/>
    <x v="5"/>
    <s v="Apparel"/>
    <s v="Retail"/>
    <n v="29"/>
    <s v="West"/>
    <x v="4"/>
  </r>
  <r>
    <s v="ORD-01402"/>
    <n v="45433"/>
    <n v="3640.56"/>
    <x v="17"/>
    <s v="Beauty"/>
    <s v="Corporate"/>
    <n v="57"/>
    <s v="West"/>
    <x v="3"/>
  </r>
  <r>
    <s v="ORD-01403"/>
    <n v="45402"/>
    <n v="15015"/>
    <x v="24"/>
    <s v="Apparel"/>
    <s v="SMB"/>
    <n v="54"/>
    <s v="East"/>
    <x v="5"/>
  </r>
  <r>
    <s v="ORD-01404"/>
    <n v="45302"/>
    <n v="13759.2"/>
    <x v="25"/>
    <s v="Sports"/>
    <s v="Retail"/>
    <n v="60"/>
    <s v="North"/>
    <x v="11"/>
  </r>
  <r>
    <s v="ORD-01405"/>
    <n v="45526"/>
    <n v="22301.279999999999"/>
    <x v="5"/>
    <s v="Apparel"/>
    <s v="Retail"/>
    <n v="59"/>
    <s v="West"/>
    <x v="7"/>
  </r>
  <r>
    <s v="ORD-01406"/>
    <n v="45648"/>
    <n v="13321.6"/>
    <x v="10"/>
    <s v="Apparel"/>
    <s v="Retail"/>
    <n v="49"/>
    <s v="North"/>
    <x v="8"/>
  </r>
  <r>
    <s v="ORD-01407"/>
    <n v="45325"/>
    <n v="3443.1"/>
    <x v="10"/>
    <s v="Apparel"/>
    <s v="Retail"/>
    <n v="61"/>
    <s v="North"/>
    <x v="1"/>
  </r>
  <r>
    <s v="ORD-01408"/>
    <n v="45640"/>
    <n v="24307.919999999998"/>
    <x v="2"/>
    <s v="Apparel"/>
    <s v="SMB"/>
    <n v="29"/>
    <s v="South"/>
    <x v="8"/>
  </r>
  <r>
    <s v="ORD-01409"/>
    <n v="45423"/>
    <n v="5105.7"/>
    <x v="12"/>
    <s v="Apparel"/>
    <s v="Retail"/>
    <n v="33"/>
    <s v="East"/>
    <x v="3"/>
  </r>
  <r>
    <s v="ORD-01410"/>
    <n v="45423"/>
    <n v="35607.599999999999"/>
    <x v="29"/>
    <s v="Sports"/>
    <s v="Retail"/>
    <n v="24"/>
    <s v="South"/>
    <x v="3"/>
  </r>
  <r>
    <s v="ORD-01411"/>
    <n v="45518"/>
    <n v="18467.61"/>
    <x v="18"/>
    <s v="Electronics"/>
    <s v="SMB"/>
    <n v="55"/>
    <s v="South"/>
    <x v="7"/>
  </r>
  <r>
    <s v="ORD-01412"/>
    <n v="45306"/>
    <n v="3174.6"/>
    <x v="25"/>
    <s v="Beauty"/>
    <s v="Retail"/>
    <n v="24"/>
    <s v="North"/>
    <x v="11"/>
  </r>
  <r>
    <s v="ORD-01413"/>
    <n v="45346"/>
    <n v="1789.44"/>
    <x v="27"/>
    <s v="Beauty"/>
    <s v="SMB"/>
    <n v="54"/>
    <s v="South"/>
    <x v="1"/>
  </r>
  <r>
    <s v="ORD-01414"/>
    <n v="45376"/>
    <n v="583.20000000000005"/>
    <x v="3"/>
    <s v="Electronics"/>
    <s v="Corporate"/>
    <n v="62"/>
    <s v="North"/>
    <x v="2"/>
  </r>
  <r>
    <s v="ORD-01415"/>
    <n v="45561"/>
    <n v="34469.4"/>
    <x v="28"/>
    <s v="Grocery"/>
    <s v="Retail"/>
    <n v="57"/>
    <s v="West"/>
    <x v="0"/>
  </r>
  <r>
    <s v="ORD-01416"/>
    <n v="45320"/>
    <n v="31340.400000000001"/>
    <x v="24"/>
    <s v="Electronics"/>
    <s v="Retail"/>
    <n v="36"/>
    <s v="East"/>
    <x v="11"/>
  </r>
  <r>
    <s v="ORD-01417"/>
    <n v="45572"/>
    <n v="25345.35"/>
    <x v="13"/>
    <s v="Home"/>
    <s v="Retail"/>
    <n v="44"/>
    <s v="East"/>
    <x v="9"/>
  </r>
  <r>
    <s v="ORD-01418"/>
    <n v="45611"/>
    <n v="5812.48"/>
    <x v="14"/>
    <s v="Beauty"/>
    <s v="Retail"/>
    <n v="60"/>
    <s v="West"/>
    <x v="4"/>
  </r>
  <r>
    <s v="ORD-01419"/>
    <n v="45524"/>
    <n v="12348.8"/>
    <x v="5"/>
    <s v="Apparel"/>
    <s v="Retail"/>
    <n v="33"/>
    <s v="West"/>
    <x v="7"/>
  </r>
  <r>
    <s v="ORD-01420"/>
    <n v="45438"/>
    <n v="2911.8"/>
    <x v="12"/>
    <s v="Apparel"/>
    <s v="Retail"/>
    <n v="61"/>
    <s v="East"/>
    <x v="3"/>
  </r>
  <r>
    <s v="ORD-01421"/>
    <n v="45484"/>
    <n v="2171.2800000000002"/>
    <x v="24"/>
    <s v="Home"/>
    <s v="Retail"/>
    <n v="53"/>
    <s v="East"/>
    <x v="10"/>
  </r>
  <r>
    <s v="ORD-01422"/>
    <n v="45643"/>
    <n v="6497.4"/>
    <x v="21"/>
    <s v="Electronics"/>
    <s v="Retail"/>
    <n v="38"/>
    <s v="East"/>
    <x v="8"/>
  </r>
  <r>
    <s v="ORD-01423"/>
    <n v="45437"/>
    <n v="21516.48"/>
    <x v="2"/>
    <s v="Apparel"/>
    <s v="SMB"/>
    <n v="55"/>
    <s v="South"/>
    <x v="3"/>
  </r>
  <r>
    <s v="ORD-01424"/>
    <n v="45303"/>
    <n v="32489.1"/>
    <x v="24"/>
    <s v="Grocery"/>
    <s v="Retail"/>
    <n v="25"/>
    <s v="East"/>
    <x v="11"/>
  </r>
  <r>
    <s v="ORD-01425"/>
    <n v="45631"/>
    <n v="19751.900000000001"/>
    <x v="9"/>
    <s v="Grocery"/>
    <s v="SMB"/>
    <n v="28"/>
    <s v="South"/>
    <x v="8"/>
  </r>
  <r>
    <s v="ORD-01426"/>
    <n v="45564"/>
    <n v="1924.8"/>
    <x v="25"/>
    <s v="Electronics"/>
    <s v="Corporate"/>
    <n v="40"/>
    <s v="North"/>
    <x v="0"/>
  </r>
  <r>
    <s v="ORD-01427"/>
    <n v="45454"/>
    <n v="25577.5"/>
    <x v="25"/>
    <s v="Home"/>
    <s v="SMB"/>
    <n v="22"/>
    <s v="North"/>
    <x v="6"/>
  </r>
  <r>
    <s v="ORD-01428"/>
    <n v="45616"/>
    <n v="4936.3599999999997"/>
    <x v="18"/>
    <s v="Sports"/>
    <s v="Retail"/>
    <n v="36"/>
    <s v="South"/>
    <x v="4"/>
  </r>
  <r>
    <s v="ORD-01429"/>
    <n v="45523"/>
    <n v="10321.200000000001"/>
    <x v="21"/>
    <s v="Electronics"/>
    <s v="Retail"/>
    <n v="24"/>
    <s v="East"/>
    <x v="7"/>
  </r>
  <r>
    <s v="ORD-01430"/>
    <n v="45439"/>
    <n v="11124.54"/>
    <x v="9"/>
    <s v="Grocery"/>
    <s v="Retail"/>
    <n v="27"/>
    <s v="South"/>
    <x v="3"/>
  </r>
  <r>
    <s v="ORD-01431"/>
    <n v="45579"/>
    <n v="32775.300000000003"/>
    <x v="26"/>
    <s v="Home"/>
    <s v="Retail"/>
    <n v="47"/>
    <s v="East"/>
    <x v="9"/>
  </r>
  <r>
    <s v="ORD-01432"/>
    <n v="45495"/>
    <n v="10691.7"/>
    <x v="20"/>
    <s v="Grocery"/>
    <s v="Corporate"/>
    <n v="54"/>
    <s v="West"/>
    <x v="10"/>
  </r>
  <r>
    <s v="ORD-01433"/>
    <n v="45600"/>
    <n v="13876.59"/>
    <x v="12"/>
    <s v="Grocery"/>
    <s v="Corporate"/>
    <n v="24"/>
    <s v="East"/>
    <x v="4"/>
  </r>
  <r>
    <s v="ORD-01434"/>
    <n v="45605"/>
    <n v="6827.76"/>
    <x v="18"/>
    <s v="Home"/>
    <s v="Unknown"/>
    <s v=""/>
    <s v="South"/>
    <x v="4"/>
  </r>
  <r>
    <s v="ORD-01435"/>
    <n v="45598"/>
    <n v="14346.8"/>
    <x v="25"/>
    <s v="Apparel"/>
    <s v="Corporate"/>
    <n v="41"/>
    <s v="North"/>
    <x v="4"/>
  </r>
  <r>
    <s v="ORD-01436"/>
    <n v="45452"/>
    <n v="5076.26"/>
    <x v="8"/>
    <s v="Sports"/>
    <s v="Retail"/>
    <n v="39"/>
    <s v="West"/>
    <x v="6"/>
  </r>
  <r>
    <s v="ORD-01437"/>
    <n v="45470"/>
    <n v="2951.62"/>
    <x v="15"/>
    <s v="Home"/>
    <s v="Corporate"/>
    <n v="51"/>
    <s v="South"/>
    <x v="6"/>
  </r>
  <r>
    <s v="ORD-01438"/>
    <n v="45350"/>
    <n v="31788.12"/>
    <x v="27"/>
    <s v="Electronics"/>
    <s v="Retail"/>
    <n v="41"/>
    <s v="South"/>
    <x v="1"/>
  </r>
  <r>
    <s v="ORD-01439"/>
    <n v="45514"/>
    <n v="3907.2"/>
    <x v="0"/>
    <s v="Electronics"/>
    <s v="Retail"/>
    <n v="42"/>
    <s v="North"/>
    <x v="7"/>
  </r>
  <r>
    <s v="ORD-01440"/>
    <n v="45447"/>
    <n v="20662.88"/>
    <x v="27"/>
    <s v="Electronics"/>
    <s v="SMB"/>
    <n v="22"/>
    <s v="South"/>
    <x v="6"/>
  </r>
  <r>
    <s v="ORD-01441"/>
    <n v="45390"/>
    <n v="17335.5"/>
    <x v="12"/>
    <s v="Home"/>
    <s v="SMB"/>
    <n v="53"/>
    <s v="East"/>
    <x v="5"/>
  </r>
  <r>
    <s v="ORD-01442"/>
    <n v="45307"/>
    <n v="2132.65"/>
    <x v="10"/>
    <s v="Grocery"/>
    <s v="Retail"/>
    <n v="25"/>
    <s v="North"/>
    <x v="11"/>
  </r>
  <r>
    <s v="ORD-01443"/>
    <n v="45432"/>
    <n v="2917.08"/>
    <x v="7"/>
    <s v="Home"/>
    <s v="Retail"/>
    <n v="57"/>
    <s v="East"/>
    <x v="3"/>
  </r>
  <r>
    <s v="ORD-01444"/>
    <n v="45453"/>
    <n v="10376.1"/>
    <x v="24"/>
    <s v="Sports"/>
    <s v="Retail"/>
    <n v="24"/>
    <s v="East"/>
    <x v="6"/>
  </r>
  <r>
    <s v="ORD-01445"/>
    <n v="45397"/>
    <n v="1965.46"/>
    <x v="25"/>
    <s v="Sports"/>
    <s v="Retail"/>
    <n v="22"/>
    <s v="North"/>
    <x v="5"/>
  </r>
  <r>
    <s v="ORD-01446"/>
    <n v="45639"/>
    <n v="1423.52"/>
    <x v="27"/>
    <s v="Apparel"/>
    <s v="Retail"/>
    <n v="61"/>
    <s v="South"/>
    <x v="8"/>
  </r>
  <r>
    <s v="ORD-01447"/>
    <n v="45482"/>
    <n v="3147.6"/>
    <x v="27"/>
    <s v="Grocery"/>
    <s v="SMB"/>
    <n v="29"/>
    <s v="South"/>
    <x v="10"/>
  </r>
  <r>
    <s v="ORD-01448"/>
    <n v="45447"/>
    <n v="11440.8"/>
    <x v="21"/>
    <s v="Grocery"/>
    <s v="Retail"/>
    <n v="37"/>
    <s v="East"/>
    <x v="6"/>
  </r>
  <r>
    <s v="ORD-01449"/>
    <n v="45598"/>
    <n v="4784.6400000000003"/>
    <x v="7"/>
    <s v="Beauty"/>
    <s v="Retail"/>
    <n v="41"/>
    <s v="East"/>
    <x v="4"/>
  </r>
  <r>
    <s v="ORD-01450"/>
    <n v="45645"/>
    <n v="17648.82"/>
    <x v="5"/>
    <s v="Home"/>
    <s v="SMB"/>
    <n v="53"/>
    <s v="West"/>
    <x v="8"/>
  </r>
  <r>
    <s v="ORD-01451"/>
    <n v="45299"/>
    <n v="12395.04"/>
    <x v="1"/>
    <s v="Grocery"/>
    <s v="SMB"/>
    <n v="49"/>
    <s v="North"/>
    <x v="11"/>
  </r>
  <r>
    <s v="ORD-01452"/>
    <n v="45308"/>
    <n v="31498.5"/>
    <x v="18"/>
    <s v="Beauty"/>
    <s v="SMB"/>
    <n v="51"/>
    <s v="South"/>
    <x v="11"/>
  </r>
  <r>
    <s v="ORD-01453"/>
    <n v="45487"/>
    <n v="4573.4399999999996"/>
    <x v="13"/>
    <s v="Beauty"/>
    <s v="Retail"/>
    <n v="53"/>
    <s v="East"/>
    <x v="10"/>
  </r>
  <r>
    <s v="ORD-01454"/>
    <n v="45341"/>
    <n v="35101.599999999999"/>
    <x v="22"/>
    <s v="Apparel"/>
    <s v="Retail"/>
    <n v="63"/>
    <s v="South"/>
    <x v="1"/>
  </r>
  <r>
    <s v="ORD-01455"/>
    <n v="45354"/>
    <n v="8769.2800000000007"/>
    <x v="2"/>
    <s v="Apparel"/>
    <s v="Retail"/>
    <n v="53"/>
    <s v="South"/>
    <x v="2"/>
  </r>
  <r>
    <s v="ORD-01456"/>
    <n v="45458"/>
    <n v="5148.3999999999996"/>
    <x v="20"/>
    <s v="Electronics"/>
    <s v="SMB"/>
    <n v="29"/>
    <s v="West"/>
    <x v="6"/>
  </r>
  <r>
    <s v="ORD-01457"/>
    <n v="45364"/>
    <n v="4632.5"/>
    <x v="17"/>
    <s v="Home"/>
    <s v="Retail"/>
    <n v="27"/>
    <s v="West"/>
    <x v="2"/>
  </r>
  <r>
    <s v="ORD-01458"/>
    <n v="45618"/>
    <n v="2484.1799999999998"/>
    <x v="20"/>
    <s v="Home"/>
    <s v="SMB"/>
    <n v="54"/>
    <s v="West"/>
    <x v="4"/>
  </r>
  <r>
    <s v="ORD-01459"/>
    <n v="45456"/>
    <n v="17217.2"/>
    <x v="0"/>
    <s v="Sports"/>
    <s v="SMB"/>
    <n v="43"/>
    <s v="North"/>
    <x v="6"/>
  </r>
  <r>
    <s v="ORD-01460"/>
    <n v="45490"/>
    <n v="2172.4299999999998"/>
    <x v="17"/>
    <s v="Grocery"/>
    <s v="Corporate"/>
    <n v="26"/>
    <s v="West"/>
    <x v="10"/>
  </r>
  <r>
    <s v="ORD-01461"/>
    <n v="45584"/>
    <n v="2319.27"/>
    <x v="5"/>
    <s v="Grocery"/>
    <s v="SMB"/>
    <n v="24"/>
    <s v="West"/>
    <x v="9"/>
  </r>
  <r>
    <s v="ORD-01462"/>
    <n v="45476"/>
    <n v="14756.2"/>
    <x v="13"/>
    <s v="Apparel"/>
    <s v="Retail"/>
    <n v="27"/>
    <s v="East"/>
    <x v="10"/>
  </r>
  <r>
    <s v="ORD-01463"/>
    <n v="45387"/>
    <n v="9417.6"/>
    <x v="12"/>
    <s v="Home"/>
    <s v="Corporate"/>
    <n v="56"/>
    <s v="East"/>
    <x v="5"/>
  </r>
  <r>
    <s v="ORD-01464"/>
    <n v="45324"/>
    <n v="3590.46"/>
    <x v="23"/>
    <s v="Electronics"/>
    <s v="Retail"/>
    <n v="59"/>
    <s v="South"/>
    <x v="1"/>
  </r>
  <r>
    <s v="ORD-01465"/>
    <n v="45479"/>
    <n v="3181.69"/>
    <x v="18"/>
    <s v="Home"/>
    <s v="Unknown"/>
    <s v=""/>
    <s v="South"/>
    <x v="10"/>
  </r>
  <r>
    <s v="ORD-01466"/>
    <n v="45628"/>
    <n v="3723.72"/>
    <x v="19"/>
    <s v="Electronics"/>
    <s v="SMB"/>
    <n v="52"/>
    <s v="North"/>
    <x v="8"/>
  </r>
  <r>
    <s v="ORD-01467"/>
    <n v="45413"/>
    <n v="9509.1200000000008"/>
    <x v="26"/>
    <s v="Beauty"/>
    <s v="Corporate"/>
    <n v="56"/>
    <s v="East"/>
    <x v="3"/>
  </r>
  <r>
    <s v="ORD-01468"/>
    <n v="45343"/>
    <n v="32451.3"/>
    <x v="15"/>
    <s v="Beauty"/>
    <s v="Retail"/>
    <n v="26"/>
    <s v="South"/>
    <x v="1"/>
  </r>
  <r>
    <s v="ORD-01469"/>
    <n v="45424"/>
    <n v="16335.75"/>
    <x v="2"/>
    <s v="Apparel"/>
    <s v="SMB"/>
    <n v="43"/>
    <s v="South"/>
    <x v="3"/>
  </r>
  <r>
    <s v="ORD-01470"/>
    <n v="45632"/>
    <n v="17714.34"/>
    <x v="25"/>
    <s v="Electronics"/>
    <s v="Retail"/>
    <n v="44"/>
    <s v="North"/>
    <x v="8"/>
  </r>
  <r>
    <s v="ORD-01471"/>
    <n v="45444"/>
    <n v="22156.2"/>
    <x v="26"/>
    <s v="Home"/>
    <s v="Retail"/>
    <n v="38"/>
    <s v="East"/>
    <x v="6"/>
  </r>
  <r>
    <s v="ORD-01472"/>
    <n v="45545"/>
    <n v="13139.28"/>
    <x v="7"/>
    <s v="Sports"/>
    <s v="Corporate"/>
    <n v="55"/>
    <s v="East"/>
    <x v="0"/>
  </r>
  <r>
    <s v="ORD-01473"/>
    <n v="45511"/>
    <n v="1812.22"/>
    <x v="23"/>
    <s v="Apparel"/>
    <s v="SMB"/>
    <n v="42"/>
    <s v="South"/>
    <x v="7"/>
  </r>
  <r>
    <s v="ORD-01474"/>
    <n v="45577"/>
    <n v="4199.58"/>
    <x v="0"/>
    <s v="Home"/>
    <s v="Retail"/>
    <n v="63"/>
    <s v="North"/>
    <x v="9"/>
  </r>
  <r>
    <s v="ORD-01475"/>
    <n v="45507"/>
    <n v="22524.32"/>
    <x v="14"/>
    <s v="Apparel"/>
    <s v="Retail"/>
    <n v="33"/>
    <s v="West"/>
    <x v="7"/>
  </r>
  <r>
    <s v="ORD-01476"/>
    <n v="45415"/>
    <n v="32200.32"/>
    <x v="7"/>
    <s v="Sports"/>
    <s v="Corporate"/>
    <n v="52"/>
    <s v="East"/>
    <x v="3"/>
  </r>
  <r>
    <s v="ORD-01477"/>
    <n v="45342"/>
    <n v="8601.6"/>
    <x v="4"/>
    <s v="Sports"/>
    <s v="Retail"/>
    <n v="40"/>
    <s v="North"/>
    <x v="1"/>
  </r>
  <r>
    <s v="ORD-01478"/>
    <n v="45333"/>
    <n v="10387.08"/>
    <x v="8"/>
    <s v="Home"/>
    <s v="Corporate"/>
    <n v="35"/>
    <s v="West"/>
    <x v="1"/>
  </r>
  <r>
    <s v="ORD-01479"/>
    <n v="45516"/>
    <n v="9184.56"/>
    <x v="29"/>
    <s v="Beauty"/>
    <s v="Retail"/>
    <n v="42"/>
    <s v="South"/>
    <x v="7"/>
  </r>
  <r>
    <s v="ORD-01480"/>
    <n v="45343"/>
    <n v="15830.1"/>
    <x v="19"/>
    <s v="Electronics"/>
    <s v="Retail"/>
    <n v="31"/>
    <s v="North"/>
    <x v="1"/>
  </r>
  <r>
    <s v="ORD-01481"/>
    <n v="45522"/>
    <n v="14877.72"/>
    <x v="27"/>
    <s v="Sports"/>
    <s v="Corporate"/>
    <n v="60"/>
    <s v="South"/>
    <x v="7"/>
  </r>
  <r>
    <s v="ORD-01482"/>
    <n v="45305"/>
    <n v="12868.56"/>
    <x v="3"/>
    <s v="Beauty"/>
    <s v="Retail"/>
    <n v="52"/>
    <s v="North"/>
    <x v="11"/>
  </r>
  <r>
    <s v="ORD-01483"/>
    <n v="45353"/>
    <n v="12186.05"/>
    <x v="1"/>
    <s v="Apparel"/>
    <s v="SMB"/>
    <n v="59"/>
    <s v="North"/>
    <x v="2"/>
  </r>
  <r>
    <s v="ORD-01484"/>
    <n v="45525"/>
    <n v="25725.599999999999"/>
    <x v="16"/>
    <s v="Electronics"/>
    <s v="Unknown"/>
    <s v=""/>
    <s v="East"/>
    <x v="7"/>
  </r>
  <r>
    <s v="ORD-01485"/>
    <n v="45593"/>
    <n v="1520.92"/>
    <x v="28"/>
    <s v="Sports"/>
    <s v="Retail"/>
    <n v="44"/>
    <s v="West"/>
    <x v="9"/>
  </r>
  <r>
    <s v="ORD-01486"/>
    <n v="45550"/>
    <n v="30892.68"/>
    <x v="5"/>
    <s v="Electronics"/>
    <s v="Retail"/>
    <n v="29"/>
    <s v="West"/>
    <x v="0"/>
  </r>
  <r>
    <s v="ORD-01487"/>
    <n v="45511"/>
    <n v="4146.3599999999997"/>
    <x v="27"/>
    <s v="Home"/>
    <s v="SMB"/>
    <n v="46"/>
    <s v="South"/>
    <x v="7"/>
  </r>
  <r>
    <s v="ORD-01488"/>
    <n v="45456"/>
    <n v="1737.2"/>
    <x v="18"/>
    <s v="Sports"/>
    <s v="SMB"/>
    <n v="30"/>
    <s v="South"/>
    <x v="6"/>
  </r>
  <r>
    <s v="ORD-01489"/>
    <n v="45343"/>
    <n v="31973.94"/>
    <x v="29"/>
    <s v="Electronics"/>
    <s v="Corporate"/>
    <n v="40"/>
    <s v="South"/>
    <x v="1"/>
  </r>
  <r>
    <s v="ORD-01490"/>
    <n v="45491"/>
    <n v="15659.42"/>
    <x v="22"/>
    <s v="Electronics"/>
    <s v="Retail"/>
    <n v="41"/>
    <s v="South"/>
    <x v="10"/>
  </r>
  <r>
    <s v="ORD-01491"/>
    <n v="45619"/>
    <n v="4255.68"/>
    <x v="7"/>
    <s v="Electronics"/>
    <s v="Corporate"/>
    <n v="55"/>
    <s v="East"/>
    <x v="4"/>
  </r>
  <r>
    <s v="ORD-01492"/>
    <n v="45374"/>
    <n v="15733.12"/>
    <x v="12"/>
    <s v="Beauty"/>
    <s v="Corporate"/>
    <n v="36"/>
    <s v="East"/>
    <x v="2"/>
  </r>
  <r>
    <s v="ORD-01493"/>
    <n v="45566"/>
    <n v="345.8"/>
    <x v="19"/>
    <s v="Sports"/>
    <s v="Retail"/>
    <n v="55"/>
    <s v="North"/>
    <x v="9"/>
  </r>
  <r>
    <s v="ORD-01494"/>
    <n v="45415"/>
    <n v="2911.28"/>
    <x v="7"/>
    <s v="Beauty"/>
    <s v="Corporate"/>
    <n v="31"/>
    <s v="East"/>
    <x v="3"/>
  </r>
  <r>
    <s v="ORD-01495"/>
    <n v="45601"/>
    <n v="9564.7999999999993"/>
    <x v="7"/>
    <s v="Beauty"/>
    <s v="Corporate"/>
    <n v="57"/>
    <s v="East"/>
    <x v="4"/>
  </r>
  <r>
    <s v="ORD-01496"/>
    <n v="45319"/>
    <n v="8496"/>
    <x v="28"/>
    <s v="Sports"/>
    <s v="Corporate"/>
    <n v="41"/>
    <s v="West"/>
    <x v="11"/>
  </r>
  <r>
    <s v="ORD-01497"/>
    <n v="45357"/>
    <n v="12099.2"/>
    <x v="25"/>
    <s v="Beauty"/>
    <s v="Retail"/>
    <n v="65"/>
    <s v="North"/>
    <x v="2"/>
  </r>
  <r>
    <s v="ORD-01498"/>
    <n v="45384"/>
    <n v="14610.82"/>
    <x v="12"/>
    <s v="Grocery"/>
    <s v="Retail"/>
    <n v="32"/>
    <s v="East"/>
    <x v="5"/>
  </r>
  <r>
    <s v="ORD-01499"/>
    <n v="45509"/>
    <n v="12227.6"/>
    <x v="19"/>
    <s v="Beauty"/>
    <s v="SMB"/>
    <n v="62"/>
    <s v="North"/>
    <x v="7"/>
  </r>
  <r>
    <s v="ORD-01500"/>
    <n v="45520"/>
    <n v="25437.51"/>
    <x v="8"/>
    <s v="Electronics"/>
    <s v="Retail"/>
    <n v="49"/>
    <s v="West"/>
    <x v="7"/>
  </r>
  <r>
    <s v="ORD-01501"/>
    <n v="45383"/>
    <n v="957.93"/>
    <x v="13"/>
    <s v="Home"/>
    <s v="Corporate"/>
    <n v="40"/>
    <s v="East"/>
    <x v="5"/>
  </r>
  <r>
    <s v="ORD-01502"/>
    <n v="45328"/>
    <n v="1516.96"/>
    <x v="28"/>
    <s v="Sports"/>
    <s v="Retail"/>
    <n v="42"/>
    <s v="West"/>
    <x v="1"/>
  </r>
  <r>
    <s v="ORD-01503"/>
    <n v="45501"/>
    <n v="8571.42"/>
    <x v="23"/>
    <s v="Electronics"/>
    <s v="Retail"/>
    <n v="39"/>
    <s v="South"/>
    <x v="10"/>
  </r>
  <r>
    <s v="ORD-01504"/>
    <n v="45346"/>
    <n v="1823.6"/>
    <x v="16"/>
    <s v="Sports"/>
    <s v="Corporate"/>
    <n v="35"/>
    <s v="East"/>
    <x v="1"/>
  </r>
  <r>
    <s v="ORD-01505"/>
    <n v="45446"/>
    <n v="14083.36"/>
    <x v="10"/>
    <s v="Apparel"/>
    <s v="Retail"/>
    <n v="49"/>
    <s v="North"/>
    <x v="6"/>
  </r>
  <r>
    <s v="ORD-01506"/>
    <n v="45521"/>
    <n v="20252"/>
    <x v="27"/>
    <s v="Beauty"/>
    <s v="Retail"/>
    <n v="49"/>
    <s v="South"/>
    <x v="7"/>
  </r>
  <r>
    <s v="ORD-01507"/>
    <n v="45483"/>
    <n v="28274.400000000001"/>
    <x v="18"/>
    <s v="Electronics"/>
    <s v="Retail"/>
    <n v="26"/>
    <s v="South"/>
    <x v="10"/>
  </r>
  <r>
    <s v="ORD-01508"/>
    <n v="45370"/>
    <n v="16001.1"/>
    <x v="5"/>
    <s v="Sports"/>
    <s v="Retail"/>
    <n v="34"/>
    <s v="West"/>
    <x v="2"/>
  </r>
  <r>
    <s v="ORD-01509"/>
    <n v="45456"/>
    <n v="7840.8"/>
    <x v="25"/>
    <s v="Home"/>
    <s v="Corporate"/>
    <n v="55"/>
    <s v="North"/>
    <x v="6"/>
  </r>
  <r>
    <s v="ORD-01510"/>
    <n v="45605"/>
    <n v="7659.96"/>
    <x v="5"/>
    <s v="Beauty"/>
    <s v="SMB"/>
    <n v="59"/>
    <s v="West"/>
    <x v="4"/>
  </r>
  <r>
    <s v="ORD-01511"/>
    <n v="45556"/>
    <n v="11734.08"/>
    <x v="22"/>
    <s v="Apparel"/>
    <s v="Unknown"/>
    <s v=""/>
    <s v="South"/>
    <x v="0"/>
  </r>
  <r>
    <s v="ORD-01512"/>
    <n v="45569"/>
    <n v="9032.24"/>
    <x v="1"/>
    <s v="Home"/>
    <s v="Retail"/>
    <n v="27"/>
    <s v="North"/>
    <x v="9"/>
  </r>
  <r>
    <s v="ORD-01513"/>
    <n v="45329"/>
    <n v="2762.1"/>
    <x v="4"/>
    <s v="Apparel"/>
    <s v="Unknown"/>
    <s v=""/>
    <s v="North"/>
    <x v="1"/>
  </r>
  <r>
    <s v="ORD-01514"/>
    <n v="45377"/>
    <n v="7068"/>
    <x v="11"/>
    <s v="Apparel"/>
    <s v="SMB"/>
    <n v="54"/>
    <s v="North"/>
    <x v="2"/>
  </r>
  <r>
    <s v="ORD-01515"/>
    <n v="45537"/>
    <n v="7099.29"/>
    <x v="1"/>
    <s v="Sports"/>
    <s v="Corporate"/>
    <n v="55"/>
    <s v="North"/>
    <x v="0"/>
  </r>
  <r>
    <s v="ORD-01516"/>
    <n v="45550"/>
    <n v="1976.4"/>
    <x v="10"/>
    <s v="Home"/>
    <s v="Retail"/>
    <n v="22"/>
    <s v="North"/>
    <x v="0"/>
  </r>
  <r>
    <s v="ORD-01517"/>
    <n v="45325"/>
    <n v="2162"/>
    <x v="5"/>
    <s v="Sports"/>
    <s v="Retail"/>
    <n v="53"/>
    <s v="West"/>
    <x v="1"/>
  </r>
  <r>
    <s v="ORD-01518"/>
    <n v="45375"/>
    <n v="29119.95"/>
    <x v="16"/>
    <s v="Electronics"/>
    <s v="Retail"/>
    <n v="25"/>
    <s v="East"/>
    <x v="2"/>
  </r>
  <r>
    <s v="ORD-01519"/>
    <n v="45614"/>
    <n v="11954.25"/>
    <x v="9"/>
    <s v="Beauty"/>
    <s v="Retail"/>
    <n v="29"/>
    <s v="South"/>
    <x v="4"/>
  </r>
  <r>
    <s v="ORD-01520"/>
    <n v="45364"/>
    <n v="28913.85"/>
    <x v="3"/>
    <s v="Beauty"/>
    <s v="Retail"/>
    <n v="31"/>
    <s v="North"/>
    <x v="2"/>
  </r>
  <r>
    <s v="ORD-01521"/>
    <n v="45342"/>
    <n v="23454.76"/>
    <x v="12"/>
    <s v="Electronics"/>
    <s v="Corporate"/>
    <n v="55"/>
    <s v="East"/>
    <x v="1"/>
  </r>
  <r>
    <s v="ORD-01522"/>
    <n v="45454"/>
    <n v="21511.98"/>
    <x v="26"/>
    <s v="Grocery"/>
    <s v="Retail"/>
    <n v="36"/>
    <s v="East"/>
    <x v="6"/>
  </r>
  <r>
    <s v="ORD-01523"/>
    <n v="45625"/>
    <n v="2663.36"/>
    <x v="22"/>
    <s v="Apparel"/>
    <s v="Retail"/>
    <n v="49"/>
    <s v="South"/>
    <x v="4"/>
  </r>
  <r>
    <s v="ORD-01524"/>
    <n v="45600"/>
    <n v="1339.8"/>
    <x v="24"/>
    <s v="Beauty"/>
    <s v="Retail"/>
    <n v="56"/>
    <s v="East"/>
    <x v="4"/>
  </r>
  <r>
    <s v="ORD-01525"/>
    <n v="45397"/>
    <n v="7484.4"/>
    <x v="13"/>
    <s v="Grocery"/>
    <s v="Retail"/>
    <n v="25"/>
    <s v="East"/>
    <x v="5"/>
  </r>
  <r>
    <s v="ORD-01526"/>
    <n v="45417"/>
    <n v="9215.7000000000007"/>
    <x v="28"/>
    <s v="Grocery"/>
    <s v="Retail"/>
    <n v="41"/>
    <s v="West"/>
    <x v="3"/>
  </r>
  <r>
    <s v="ORD-01527"/>
    <n v="45487"/>
    <n v="62043.6"/>
    <x v="9"/>
    <s v="Sports"/>
    <s v="Retail"/>
    <n v="27"/>
    <s v="South"/>
    <x v="10"/>
  </r>
  <r>
    <s v="ORD-01528"/>
    <n v="45454"/>
    <n v="16084.96"/>
    <x v="1"/>
    <s v="Beauty"/>
    <s v="SMB"/>
    <n v="62"/>
    <s v="North"/>
    <x v="6"/>
  </r>
  <r>
    <s v="ORD-01529"/>
    <n v="45529"/>
    <n v="7734.3"/>
    <x v="5"/>
    <s v="Home"/>
    <s v="Retail"/>
    <n v="26"/>
    <s v="West"/>
    <x v="7"/>
  </r>
  <r>
    <s v="ORD-01530"/>
    <n v="45546"/>
    <n v="10992.93"/>
    <x v="20"/>
    <s v="Electronics"/>
    <s v="SMB"/>
    <n v="30"/>
    <s v="West"/>
    <x v="0"/>
  </r>
  <r>
    <s v="ORD-01821"/>
    <n v="45481"/>
    <n v="775.72"/>
    <x v="29"/>
    <s v="Apparel"/>
    <s v="Corporate"/>
    <n v="51"/>
    <s v="South"/>
    <x v="10"/>
  </r>
  <r>
    <s v="ORD-01532"/>
    <n v="45472"/>
    <n v="11389.41"/>
    <x v="5"/>
    <s v="Electronics"/>
    <s v="Retail"/>
    <n v="31"/>
    <s v="West"/>
    <x v="6"/>
  </r>
  <r>
    <s v="ORD-01533"/>
    <n v="45296"/>
    <n v="4242.78"/>
    <x v="24"/>
    <s v="Grocery"/>
    <s v="Retail"/>
    <n v="44"/>
    <s v="East"/>
    <x v="11"/>
  </r>
  <r>
    <s v="ORD-01534"/>
    <n v="45567"/>
    <n v="3572.16"/>
    <x v="5"/>
    <s v="Beauty"/>
    <s v="SMB"/>
    <n v="43"/>
    <s v="West"/>
    <x v="9"/>
  </r>
  <r>
    <s v="ORD-01535"/>
    <n v="45337"/>
    <n v="1766.06"/>
    <x v="12"/>
    <s v="Grocery"/>
    <s v="Corporate"/>
    <n v="41"/>
    <s v="East"/>
    <x v="1"/>
  </r>
  <r>
    <s v="ORD-01536"/>
    <n v="45376"/>
    <n v="26944.5"/>
    <x v="17"/>
    <s v="Beauty"/>
    <s v="SMB"/>
    <n v="46"/>
    <s v="West"/>
    <x v="2"/>
  </r>
  <r>
    <s v="ORD-01537"/>
    <n v="45616"/>
    <n v="5509.29"/>
    <x v="23"/>
    <s v="Grocery"/>
    <s v="SMB"/>
    <n v="43"/>
    <s v="South"/>
    <x v="4"/>
  </r>
  <r>
    <s v="ORD-01538"/>
    <n v="45360"/>
    <n v="17171.7"/>
    <x v="14"/>
    <s v="Grocery"/>
    <s v="Retail"/>
    <n v="28"/>
    <s v="West"/>
    <x v="2"/>
  </r>
  <r>
    <s v="ORD-01539"/>
    <n v="45465"/>
    <n v="13739.04"/>
    <x v="23"/>
    <s v="Home"/>
    <s v="SMB"/>
    <n v="59"/>
    <s v="South"/>
    <x v="6"/>
  </r>
  <r>
    <s v="ORD-01540"/>
    <n v="45380"/>
    <n v="13701.5"/>
    <x v="12"/>
    <s v="Beauty"/>
    <s v="Retail"/>
    <n v="44"/>
    <s v="East"/>
    <x v="2"/>
  </r>
  <r>
    <s v="ORD-01541"/>
    <n v="45358"/>
    <n v="21810.880000000001"/>
    <x v="4"/>
    <s v="Apparel"/>
    <s v="Retail"/>
    <n v="35"/>
    <s v="North"/>
    <x v="2"/>
  </r>
  <r>
    <s v="ORD-01542"/>
    <n v="45385"/>
    <n v="24808.95"/>
    <x v="26"/>
    <s v="Sports"/>
    <s v="Retail"/>
    <n v="37"/>
    <s v="East"/>
    <x v="5"/>
  </r>
  <r>
    <s v="ORD-01543"/>
    <n v="45443"/>
    <n v="16580.7"/>
    <x v="11"/>
    <s v="Beauty"/>
    <s v="SMB"/>
    <n v="38"/>
    <s v="North"/>
    <x v="3"/>
  </r>
  <r>
    <s v="ORD-01544"/>
    <n v="45599"/>
    <n v="8720.32"/>
    <x v="24"/>
    <s v="Beauty"/>
    <s v="Retail"/>
    <n v="31"/>
    <s v="East"/>
    <x v="4"/>
  </r>
  <r>
    <s v="ORD-01545"/>
    <n v="45479"/>
    <n v="8432.64"/>
    <x v="9"/>
    <s v="Sports"/>
    <s v="Retail"/>
    <n v="65"/>
    <s v="South"/>
    <x v="10"/>
  </r>
  <r>
    <s v="ORD-01546"/>
    <n v="45489"/>
    <n v="32652.63"/>
    <x v="5"/>
    <s v="Home"/>
    <s v="SMB"/>
    <n v="26"/>
    <s v="West"/>
    <x v="10"/>
  </r>
  <r>
    <s v="ORD-01547"/>
    <n v="45514"/>
    <n v="3089.04"/>
    <x v="11"/>
    <s v="Grocery"/>
    <s v="SMB"/>
    <n v="53"/>
    <s v="North"/>
    <x v="7"/>
  </r>
  <r>
    <s v="ORD-01548"/>
    <n v="45653"/>
    <n v="10586.8"/>
    <x v="27"/>
    <s v="Electronics"/>
    <s v="Corporate"/>
    <n v="46"/>
    <s v="South"/>
    <x v="8"/>
  </r>
  <r>
    <s v="ORD-01549"/>
    <n v="45401"/>
    <n v="12258.4"/>
    <x v="17"/>
    <s v="Beauty"/>
    <s v="SMB"/>
    <n v="38"/>
    <s v="West"/>
    <x v="5"/>
  </r>
  <r>
    <s v="ORD-01550"/>
    <n v="45621"/>
    <n v="12307"/>
    <x v="10"/>
    <s v="Electronics"/>
    <s v="Retail"/>
    <n v="59"/>
    <s v="North"/>
    <x v="4"/>
  </r>
  <r>
    <s v="ORD-01551"/>
    <n v="45368"/>
    <n v="29090.880000000001"/>
    <x v="0"/>
    <s v="Sports"/>
    <s v="SMB"/>
    <n v="62"/>
    <s v="North"/>
    <x v="2"/>
  </r>
  <r>
    <s v="ORD-01552"/>
    <n v="45550"/>
    <n v="8734.9599999999991"/>
    <x v="10"/>
    <s v="Grocery"/>
    <s v="SMB"/>
    <n v="28"/>
    <s v="North"/>
    <x v="0"/>
  </r>
  <r>
    <s v="ORD-01553"/>
    <n v="45304"/>
    <n v="9821"/>
    <x v="18"/>
    <s v="Electronics"/>
    <s v="SMB"/>
    <n v="65"/>
    <s v="South"/>
    <x v="11"/>
  </r>
  <r>
    <s v="ORD-01554"/>
    <n v="45321"/>
    <n v="30887"/>
    <x v="15"/>
    <s v="Beauty"/>
    <s v="Retail"/>
    <n v="29"/>
    <s v="South"/>
    <x v="11"/>
  </r>
  <r>
    <s v="ORD-01555"/>
    <n v="45358"/>
    <n v="20049.75"/>
    <x v="14"/>
    <s v="Beauty"/>
    <s v="Unknown"/>
    <s v=""/>
    <s v="West"/>
    <x v="2"/>
  </r>
  <r>
    <s v="ORD-01556"/>
    <n v="45440"/>
    <n v="30304.799999999999"/>
    <x v="2"/>
    <s v="Home"/>
    <s v="Retail"/>
    <n v="51"/>
    <s v="South"/>
    <x v="3"/>
  </r>
  <r>
    <s v="ORD-01557"/>
    <n v="45618"/>
    <n v="6872.58"/>
    <x v="26"/>
    <s v="Sports"/>
    <s v="SMB"/>
    <n v="39"/>
    <s v="East"/>
    <x v="4"/>
  </r>
  <r>
    <s v="ORD-01558"/>
    <n v="45295"/>
    <n v="5599.44"/>
    <x v="6"/>
    <s v="Electronics"/>
    <s v="Retail"/>
    <n v="24"/>
    <s v="West"/>
    <x v="11"/>
  </r>
  <r>
    <s v="ORD-01559"/>
    <n v="45384"/>
    <n v="23404.799999999999"/>
    <x v="20"/>
    <s v="Apparel"/>
    <s v="Corporate"/>
    <n v="34"/>
    <s v="West"/>
    <x v="5"/>
  </r>
  <r>
    <s v="ORD-01560"/>
    <n v="45349"/>
    <n v="2064.6"/>
    <x v="5"/>
    <s v="Home"/>
    <s v="SMB"/>
    <n v="38"/>
    <s v="West"/>
    <x v="1"/>
  </r>
  <r>
    <s v="ORD-01561"/>
    <n v="45439"/>
    <n v="38691.800000000003"/>
    <x v="20"/>
    <s v="Grocery"/>
    <s v="SMB"/>
    <n v="22"/>
    <s v="West"/>
    <x v="3"/>
  </r>
  <r>
    <s v="ORD-01562"/>
    <n v="45426"/>
    <n v="3165.66"/>
    <x v="6"/>
    <s v="Electronics"/>
    <s v="Corporate"/>
    <n v="55"/>
    <s v="West"/>
    <x v="3"/>
  </r>
  <r>
    <s v="ORD-01563"/>
    <n v="45385"/>
    <n v="5122.13"/>
    <x v="3"/>
    <s v="Electronics"/>
    <s v="Corporate"/>
    <n v="42"/>
    <s v="North"/>
    <x v="5"/>
  </r>
  <r>
    <s v="ORD-01564"/>
    <n v="45312"/>
    <n v="2921.52"/>
    <x v="16"/>
    <s v="Home"/>
    <s v="Retail"/>
    <n v="27"/>
    <s v="East"/>
    <x v="11"/>
  </r>
  <r>
    <s v="ORD-01565"/>
    <n v="45622"/>
    <n v="1950.9"/>
    <x v="16"/>
    <s v="Electronics"/>
    <s v="Retail"/>
    <n v="61"/>
    <s v="East"/>
    <x v="4"/>
  </r>
  <r>
    <s v="ORD-01566"/>
    <n v="45508"/>
    <n v="23798.400000000001"/>
    <x v="27"/>
    <s v="Beauty"/>
    <s v="Retail"/>
    <n v="53"/>
    <s v="South"/>
    <x v="7"/>
  </r>
  <r>
    <s v="ORD-01567"/>
    <n v="45528"/>
    <n v="41515.08"/>
    <x v="18"/>
    <s v="Sports"/>
    <s v="SMB"/>
    <n v="51"/>
    <s v="South"/>
    <x v="7"/>
  </r>
  <r>
    <s v="ORD-01568"/>
    <n v="45483"/>
    <n v="8707.2000000000007"/>
    <x v="4"/>
    <s v="Beauty"/>
    <s v="Retail"/>
    <n v="32"/>
    <s v="North"/>
    <x v="10"/>
  </r>
  <r>
    <s v="ORD-01569"/>
    <n v="45625"/>
    <n v="22852.799999999999"/>
    <x v="13"/>
    <s v="Grocery"/>
    <s v="Retail"/>
    <n v="38"/>
    <s v="East"/>
    <x v="4"/>
  </r>
  <r>
    <s v="ORD-01570"/>
    <n v="45358"/>
    <n v="6646.56"/>
    <x v="17"/>
    <s v="Grocery"/>
    <s v="SMB"/>
    <n v="64"/>
    <s v="West"/>
    <x v="2"/>
  </r>
  <r>
    <s v="ORD-01571"/>
    <n v="45342"/>
    <n v="3796"/>
    <x v="13"/>
    <s v="Electronics"/>
    <s v="Retail"/>
    <n v="22"/>
    <s v="East"/>
    <x v="1"/>
  </r>
  <r>
    <s v="ORD-01572"/>
    <n v="45304"/>
    <n v="12523.56"/>
    <x v="6"/>
    <s v="Electronics"/>
    <s v="SMB"/>
    <n v="36"/>
    <s v="West"/>
    <x v="11"/>
  </r>
  <r>
    <s v="ORD-01573"/>
    <n v="45316"/>
    <n v="25069.8"/>
    <x v="29"/>
    <s v="Home"/>
    <s v="Retail"/>
    <n v="65"/>
    <s v="South"/>
    <x v="11"/>
  </r>
  <r>
    <s v="ORD-01574"/>
    <n v="45340"/>
    <n v="3590.4"/>
    <x v="29"/>
    <s v="Beauty"/>
    <s v="Retail"/>
    <n v="40"/>
    <s v="South"/>
    <x v="1"/>
  </r>
  <r>
    <s v="ORD-01575"/>
    <n v="45604"/>
    <n v="2579.36"/>
    <x v="9"/>
    <s v="Sports"/>
    <s v="Corporate"/>
    <n v="62"/>
    <s v="South"/>
    <x v="4"/>
  </r>
  <r>
    <s v="ORD-01576"/>
    <n v="45625"/>
    <n v="4265.12"/>
    <x v="28"/>
    <s v="Electronics"/>
    <s v="Retail"/>
    <n v="53"/>
    <s v="West"/>
    <x v="4"/>
  </r>
  <r>
    <s v="ORD-01577"/>
    <n v="45293"/>
    <n v="3583.48"/>
    <x v="4"/>
    <s v="Sports"/>
    <s v="Retail"/>
    <n v="44"/>
    <s v="North"/>
    <x v="11"/>
  </r>
  <r>
    <s v="ORD-01578"/>
    <n v="45454"/>
    <n v="13585.92"/>
    <x v="1"/>
    <s v="Grocery"/>
    <s v="SMB"/>
    <n v="65"/>
    <s v="North"/>
    <x v="6"/>
  </r>
  <r>
    <s v="ORD-01579"/>
    <n v="45345"/>
    <n v="20203.2"/>
    <x v="9"/>
    <s v="Home"/>
    <s v="Retail"/>
    <n v="22"/>
    <s v="South"/>
    <x v="1"/>
  </r>
  <r>
    <s v="ORD-01580"/>
    <n v="45645"/>
    <n v="11290.98"/>
    <x v="11"/>
    <s v="Grocery"/>
    <s v="Corporate"/>
    <n v="48"/>
    <s v="North"/>
    <x v="8"/>
  </r>
  <r>
    <s v="ORD-01581"/>
    <n v="45588"/>
    <n v="15998.96"/>
    <x v="15"/>
    <s v="Grocery"/>
    <s v="Retail"/>
    <n v="25"/>
    <s v="South"/>
    <x v="9"/>
  </r>
  <r>
    <s v="ORD-01582"/>
    <n v="45592"/>
    <n v="14804.4"/>
    <x v="26"/>
    <s v="Electronics"/>
    <s v="SMB"/>
    <n v="60"/>
    <s v="East"/>
    <x v="9"/>
  </r>
  <r>
    <s v="ORD-01583"/>
    <n v="45403"/>
    <n v="34203.06"/>
    <x v="28"/>
    <s v="Electronics"/>
    <s v="Retail"/>
    <n v="34"/>
    <s v="West"/>
    <x v="5"/>
  </r>
  <r>
    <s v="ORD-01584"/>
    <n v="45459"/>
    <n v="10933.38"/>
    <x v="3"/>
    <s v="Electronics"/>
    <s v="SMB"/>
    <n v="53"/>
    <s v="North"/>
    <x v="6"/>
  </r>
  <r>
    <s v="ORD-01585"/>
    <n v="45438"/>
    <n v="6765.12"/>
    <x v="8"/>
    <s v="Beauty"/>
    <s v="Retail"/>
    <n v="28"/>
    <s v="West"/>
    <x v="3"/>
  </r>
  <r>
    <s v="ORD-01586"/>
    <n v="45632"/>
    <n v="12935.31"/>
    <x v="5"/>
    <s v="Sports"/>
    <s v="Retail"/>
    <n v="63"/>
    <s v="West"/>
    <x v="8"/>
  </r>
  <r>
    <s v="ORD-01587"/>
    <n v="45579"/>
    <n v="9149.4"/>
    <x v="1"/>
    <s v="Apparel"/>
    <s v="Corporate"/>
    <n v="44"/>
    <s v="North"/>
    <x v="9"/>
  </r>
  <r>
    <s v="ORD-01588"/>
    <n v="45392"/>
    <n v="4783.68"/>
    <x v="4"/>
    <s v="Beauty"/>
    <s v="Retail"/>
    <n v="53"/>
    <s v="North"/>
    <x v="5"/>
  </r>
  <r>
    <s v="ORD-01589"/>
    <n v="45563"/>
    <n v="509.01"/>
    <x v="25"/>
    <s v="Sports"/>
    <s v="SMB"/>
    <n v="54"/>
    <s v="North"/>
    <x v="0"/>
  </r>
  <r>
    <s v="ORD-01590"/>
    <n v="45294"/>
    <n v="13890.52"/>
    <x v="27"/>
    <s v="Home"/>
    <s v="SMB"/>
    <n v="44"/>
    <s v="South"/>
    <x v="11"/>
  </r>
  <r>
    <s v="ORD-01591"/>
    <n v="45503"/>
    <n v="24156.9"/>
    <x v="5"/>
    <s v="Sports"/>
    <s v="SMB"/>
    <n v="47"/>
    <s v="West"/>
    <x v="10"/>
  </r>
  <r>
    <s v="ORD-01592"/>
    <n v="45336"/>
    <n v="11100.12"/>
    <x v="25"/>
    <s v="Electronics"/>
    <s v="Corporate"/>
    <n v="36"/>
    <s v="North"/>
    <x v="1"/>
  </r>
  <r>
    <s v="ORD-01593"/>
    <n v="45462"/>
    <n v="2495.0100000000002"/>
    <x v="24"/>
    <s v="Home"/>
    <s v="Retail"/>
    <n v="52"/>
    <s v="East"/>
    <x v="6"/>
  </r>
  <r>
    <s v="ORD-01594"/>
    <n v="45300"/>
    <n v="4945.08"/>
    <x v="12"/>
    <s v="Home"/>
    <s v="SMB"/>
    <n v="49"/>
    <s v="East"/>
    <x v="11"/>
  </r>
  <r>
    <s v="ORD-01595"/>
    <n v="45367"/>
    <n v="6975.98"/>
    <x v="4"/>
    <s v="Grocery"/>
    <s v="Corporate"/>
    <n v="22"/>
    <s v="North"/>
    <x v="2"/>
  </r>
  <r>
    <s v="ORD-01596"/>
    <n v="45410"/>
    <n v="9393.9"/>
    <x v="8"/>
    <s v="Apparel"/>
    <s v="Corporate"/>
    <n v="49"/>
    <s v="West"/>
    <x v="5"/>
  </r>
  <r>
    <s v="ORD-01597"/>
    <n v="45623"/>
    <n v="3906.68"/>
    <x v="19"/>
    <s v="Sports"/>
    <s v="Retail"/>
    <n v="31"/>
    <s v="North"/>
    <x v="4"/>
  </r>
  <r>
    <s v="ORD-01598"/>
    <n v="45491"/>
    <n v="6783.21"/>
    <x v="1"/>
    <s v="Grocery"/>
    <s v="SMB"/>
    <n v="38"/>
    <s v="North"/>
    <x v="10"/>
  </r>
  <r>
    <s v="ORD-01599"/>
    <n v="45571"/>
    <n v="1919.95"/>
    <x v="28"/>
    <s v="Sports"/>
    <s v="Retail"/>
    <n v="47"/>
    <s v="West"/>
    <x v="9"/>
  </r>
  <r>
    <s v="ORD-01600"/>
    <n v="45393"/>
    <n v="26192.400000000001"/>
    <x v="9"/>
    <s v="Apparel"/>
    <s v="Retail"/>
    <n v="37"/>
    <s v="South"/>
    <x v="5"/>
  </r>
  <r>
    <s v="ORD-01601"/>
    <n v="45465"/>
    <n v="2484.2399999999998"/>
    <x v="24"/>
    <s v="Electronics"/>
    <s v="Corporate"/>
    <n v="40"/>
    <s v="East"/>
    <x v="6"/>
  </r>
  <r>
    <s v="ORD-01602"/>
    <n v="45354"/>
    <n v="28024.5"/>
    <x v="16"/>
    <s v="Electronics"/>
    <s v="Retail"/>
    <n v="26"/>
    <s v="East"/>
    <x v="2"/>
  </r>
  <r>
    <s v="ORD-01603"/>
    <n v="45581"/>
    <n v="12669.8"/>
    <x v="29"/>
    <s v="Electronics"/>
    <s v="Retail"/>
    <n v="22"/>
    <s v="South"/>
    <x v="9"/>
  </r>
  <r>
    <s v="ORD-01604"/>
    <n v="45643"/>
    <n v="5181.12"/>
    <x v="22"/>
    <s v="Sports"/>
    <s v="Retail"/>
    <n v="32"/>
    <s v="South"/>
    <x v="8"/>
  </r>
  <r>
    <s v="ORD-01605"/>
    <n v="45606"/>
    <n v="25506"/>
    <x v="9"/>
    <s v="Home"/>
    <s v="Retail"/>
    <n v="27"/>
    <s v="South"/>
    <x v="4"/>
  </r>
  <r>
    <s v="ORD-01606"/>
    <n v="45356"/>
    <n v="25461"/>
    <x v="26"/>
    <s v="Sports"/>
    <s v="Corporate"/>
    <n v="22"/>
    <s v="East"/>
    <x v="2"/>
  </r>
  <r>
    <s v="ORD-01607"/>
    <n v="45343"/>
    <n v="10044.75"/>
    <x v="29"/>
    <s v="Grocery"/>
    <s v="SMB"/>
    <n v="40"/>
    <s v="South"/>
    <x v="1"/>
  </r>
  <r>
    <s v="ORD-01608"/>
    <n v="45449"/>
    <n v="15836.88"/>
    <x v="7"/>
    <s v="Beauty"/>
    <s v="Retail"/>
    <n v="46"/>
    <s v="East"/>
    <x v="6"/>
  </r>
  <r>
    <s v="ORD-01609"/>
    <n v="45317"/>
    <n v="18057.599999999999"/>
    <x v="4"/>
    <s v="Electronics"/>
    <s v="Retail"/>
    <n v="55"/>
    <s v="North"/>
    <x v="11"/>
  </r>
  <r>
    <s v="ORD-01610"/>
    <n v="45561"/>
    <n v="3314.2"/>
    <x v="28"/>
    <s v="Grocery"/>
    <s v="Retail"/>
    <n v="42"/>
    <s v="West"/>
    <x v="0"/>
  </r>
  <r>
    <s v="ORD-01611"/>
    <n v="45636"/>
    <n v="18105.599999999999"/>
    <x v="28"/>
    <s v="Grocery"/>
    <s v="Retail"/>
    <n v="36"/>
    <s v="West"/>
    <x v="8"/>
  </r>
  <r>
    <s v="ORD-01612"/>
    <n v="45398"/>
    <n v="26903.84"/>
    <x v="12"/>
    <s v="Apparel"/>
    <s v="Retail"/>
    <n v="31"/>
    <s v="East"/>
    <x v="5"/>
  </r>
  <r>
    <s v="ORD-01613"/>
    <n v="45477"/>
    <n v="15315.52"/>
    <x v="13"/>
    <s v="Beauty"/>
    <s v="Retail"/>
    <n v="54"/>
    <s v="East"/>
    <x v="10"/>
  </r>
  <r>
    <s v="ORD-01614"/>
    <n v="45462"/>
    <n v="4860.8999999999996"/>
    <x v="7"/>
    <s v="Beauty"/>
    <s v="Corporate"/>
    <n v="41"/>
    <s v="East"/>
    <x v="6"/>
  </r>
  <r>
    <s v="ORD-01615"/>
    <n v="45642"/>
    <n v="12440.22"/>
    <x v="26"/>
    <s v="Electronics"/>
    <s v="Corporate"/>
    <n v="35"/>
    <s v="East"/>
    <x v="8"/>
  </r>
  <r>
    <s v="ORD-01616"/>
    <n v="45534"/>
    <n v="6206.76"/>
    <x v="24"/>
    <s v="Home"/>
    <s v="Retail"/>
    <n v="35"/>
    <s v="East"/>
    <x v="7"/>
  </r>
  <r>
    <s v="ORD-01617"/>
    <n v="45460"/>
    <n v="11504.6"/>
    <x v="24"/>
    <s v="Electronics"/>
    <s v="Corporate"/>
    <n v="46"/>
    <s v="East"/>
    <x v="6"/>
  </r>
  <r>
    <s v="ORD-01618"/>
    <n v="45648"/>
    <n v="6105"/>
    <x v="14"/>
    <s v="Home"/>
    <s v="Corporate"/>
    <n v="46"/>
    <s v="West"/>
    <x v="8"/>
  </r>
  <r>
    <s v="ORD-01619"/>
    <n v="45557"/>
    <n v="4607.28"/>
    <x v="16"/>
    <s v="Home"/>
    <s v="Retail"/>
    <n v="65"/>
    <s v="East"/>
    <x v="0"/>
  </r>
  <r>
    <s v="ORD-01620"/>
    <n v="45584"/>
    <n v="15667.54"/>
    <x v="16"/>
    <s v="Grocery"/>
    <s v="Corporate"/>
    <n v="30"/>
    <s v="East"/>
    <x v="9"/>
  </r>
  <r>
    <s v="ORD-01621"/>
    <n v="45475"/>
    <n v="1003.44"/>
    <x v="8"/>
    <s v="Home"/>
    <s v="SMB"/>
    <n v="29"/>
    <s v="West"/>
    <x v="10"/>
  </r>
  <r>
    <s v="ORD-01622"/>
    <n v="45365"/>
    <n v="6137.19"/>
    <x v="18"/>
    <s v="Grocery"/>
    <s v="Retail"/>
    <n v="57"/>
    <s v="South"/>
    <x v="2"/>
  </r>
  <r>
    <s v="ORD-00613"/>
    <n v="45405"/>
    <n v="555.52"/>
    <x v="11"/>
    <s v="Apparel"/>
    <s v="Retail"/>
    <n v="54"/>
    <s v="North"/>
    <x v="5"/>
  </r>
  <r>
    <s v="ORD-01624"/>
    <n v="45533"/>
    <n v="16836"/>
    <x v="20"/>
    <s v="Grocery"/>
    <s v="Corporate"/>
    <n v="62"/>
    <s v="West"/>
    <x v="7"/>
  </r>
  <r>
    <s v="ORD-01625"/>
    <n v="45628"/>
    <n v="13350.61"/>
    <x v="6"/>
    <s v="Grocery"/>
    <s v="Corporate"/>
    <n v="46"/>
    <s v="West"/>
    <x v="8"/>
  </r>
  <r>
    <s v="ORD-01626"/>
    <n v="45631"/>
    <n v="3345.3"/>
    <x v="8"/>
    <s v="Sports"/>
    <s v="Retail"/>
    <n v="53"/>
    <s v="West"/>
    <x v="8"/>
  </r>
  <r>
    <s v="ORD-01627"/>
    <n v="45601"/>
    <n v="18356"/>
    <x v="1"/>
    <s v="Electronics"/>
    <s v="Retail"/>
    <n v="35"/>
    <s v="North"/>
    <x v="4"/>
  </r>
  <r>
    <s v="ORD-01628"/>
    <n v="45365"/>
    <n v="9707.0400000000009"/>
    <x v="21"/>
    <s v="Grocery"/>
    <s v="Corporate"/>
    <n v="60"/>
    <s v="East"/>
    <x v="2"/>
  </r>
  <r>
    <s v="ORD-01629"/>
    <n v="45421"/>
    <n v="19324.8"/>
    <x v="11"/>
    <s v="Electronics"/>
    <s v="SMB"/>
    <n v="34"/>
    <s v="North"/>
    <x v="3"/>
  </r>
  <r>
    <s v="ORD-01630"/>
    <n v="45347"/>
    <n v="2972.43"/>
    <x v="22"/>
    <s v="Home"/>
    <s v="Retail"/>
    <n v="35"/>
    <s v="South"/>
    <x v="1"/>
  </r>
  <r>
    <s v="ORD-01631"/>
    <n v="45574"/>
    <n v="7969.5"/>
    <x v="6"/>
    <s v="Apparel"/>
    <s v="SMB"/>
    <n v="46"/>
    <s v="West"/>
    <x v="9"/>
  </r>
  <r>
    <s v="ORD-01632"/>
    <n v="45365"/>
    <n v="949.44"/>
    <x v="15"/>
    <s v="Beauty"/>
    <s v="Retail"/>
    <n v="42"/>
    <s v="South"/>
    <x v="2"/>
  </r>
  <r>
    <s v="ORD-01633"/>
    <n v="45577"/>
    <n v="29975.4"/>
    <x v="14"/>
    <s v="Grocery"/>
    <s v="SMB"/>
    <n v="49"/>
    <s v="West"/>
    <x v="9"/>
  </r>
  <r>
    <s v="ORD-01634"/>
    <n v="45420"/>
    <n v="9421.98"/>
    <x v="4"/>
    <s v="Home"/>
    <s v="Retail"/>
    <n v="43"/>
    <s v="North"/>
    <x v="3"/>
  </r>
  <r>
    <s v="ORD-01635"/>
    <n v="45347"/>
    <n v="22905.96"/>
    <x v="10"/>
    <s v="Grocery"/>
    <s v="Corporate"/>
    <n v="60"/>
    <s v="North"/>
    <x v="1"/>
  </r>
  <r>
    <s v="ORD-01636"/>
    <n v="45329"/>
    <n v="2271.64"/>
    <x v="24"/>
    <s v="Electronics"/>
    <s v="SMB"/>
    <n v="65"/>
    <s v="East"/>
    <x v="1"/>
  </r>
  <r>
    <s v="ORD-01637"/>
    <n v="45378"/>
    <n v="5280.03"/>
    <x v="11"/>
    <s v="Home"/>
    <s v="Retail"/>
    <n v="63"/>
    <s v="North"/>
    <x v="2"/>
  </r>
  <r>
    <s v="ORD-01638"/>
    <n v="45393"/>
    <n v="14317.92"/>
    <x v="19"/>
    <s v="Grocery"/>
    <s v="Retail"/>
    <n v="28"/>
    <s v="North"/>
    <x v="5"/>
  </r>
  <r>
    <s v="ORD-01639"/>
    <n v="45364"/>
    <n v="4936.96"/>
    <x v="3"/>
    <s v="Electronics"/>
    <s v="Retail"/>
    <n v="42"/>
    <s v="North"/>
    <x v="2"/>
  </r>
  <r>
    <s v="ORD-01640"/>
    <n v="45624"/>
    <n v="7437.12"/>
    <x v="22"/>
    <s v="Beauty"/>
    <s v="SMB"/>
    <n v="48"/>
    <s v="South"/>
    <x v="4"/>
  </r>
  <r>
    <s v="ORD-01641"/>
    <n v="45411"/>
    <n v="3391.35"/>
    <x v="23"/>
    <s v="Apparel"/>
    <s v="Retail"/>
    <n v="36"/>
    <s v="South"/>
    <x v="5"/>
  </r>
  <r>
    <s v="ORD-01642"/>
    <n v="45550"/>
    <n v="9929.76"/>
    <x v="12"/>
    <s v="Beauty"/>
    <s v="SMB"/>
    <n v="54"/>
    <s v="East"/>
    <x v="0"/>
  </r>
  <r>
    <s v="ORD-01643"/>
    <n v="45512"/>
    <n v="37934.04"/>
    <x v="13"/>
    <s v="Sports"/>
    <s v="Retail"/>
    <n v="47"/>
    <s v="East"/>
    <x v="7"/>
  </r>
  <r>
    <s v="ORD-01644"/>
    <n v="45523"/>
    <n v="25143.599999999999"/>
    <x v="12"/>
    <s v="Grocery"/>
    <s v="SMB"/>
    <n v="64"/>
    <s v="East"/>
    <x v="7"/>
  </r>
  <r>
    <s v="ORD-01645"/>
    <n v="45310"/>
    <n v="6074.88"/>
    <x v="16"/>
    <s v="Beauty"/>
    <s v="Corporate"/>
    <n v="48"/>
    <s v="East"/>
    <x v="11"/>
  </r>
  <r>
    <s v="ORD-01646"/>
    <n v="45498"/>
    <n v="2722.56"/>
    <x v="27"/>
    <s v="Beauty"/>
    <s v="Retail"/>
    <n v="52"/>
    <s v="South"/>
    <x v="10"/>
  </r>
  <r>
    <s v="ORD-01647"/>
    <n v="45410"/>
    <n v="888.52"/>
    <x v="13"/>
    <s v="Grocery"/>
    <s v="Retail"/>
    <n v="55"/>
    <s v="East"/>
    <x v="5"/>
  </r>
  <r>
    <s v="ORD-01648"/>
    <n v="45400"/>
    <n v="25049.599999999999"/>
    <x v="12"/>
    <s v="Beauty"/>
    <s v="Retail"/>
    <n v="57"/>
    <s v="East"/>
    <x v="5"/>
  </r>
  <r>
    <s v="ORD-01649"/>
    <n v="45525"/>
    <n v="11448.48"/>
    <x v="22"/>
    <s v="Grocery"/>
    <s v="Retail"/>
    <n v="47"/>
    <s v="South"/>
    <x v="7"/>
  </r>
  <r>
    <s v="ORD-01650"/>
    <n v="45462"/>
    <n v="19403.46"/>
    <x v="4"/>
    <s v="Home"/>
    <s v="SMB"/>
    <n v="57"/>
    <s v="North"/>
    <x v="6"/>
  </r>
  <r>
    <s v="ORD-01651"/>
    <n v="45625"/>
    <n v="24396.48"/>
    <x v="20"/>
    <s v="Electronics"/>
    <s v="SMB"/>
    <n v="55"/>
    <s v="West"/>
    <x v="4"/>
  </r>
  <r>
    <s v="ORD-01652"/>
    <n v="45390"/>
    <n v="9494.4"/>
    <x v="29"/>
    <s v="Grocery"/>
    <s v="Corporate"/>
    <n v="42"/>
    <s v="South"/>
    <x v="5"/>
  </r>
  <r>
    <s v="ORD-01653"/>
    <n v="45597"/>
    <n v="9948.4"/>
    <x v="16"/>
    <s v="Grocery"/>
    <s v="Retail"/>
    <n v="26"/>
    <s v="East"/>
    <x v="4"/>
  </r>
  <r>
    <s v="ORD-01654"/>
    <n v="45307"/>
    <n v="9715.84"/>
    <x v="15"/>
    <s v="Beauty"/>
    <s v="Unknown"/>
    <s v=""/>
    <s v="South"/>
    <x v="11"/>
  </r>
  <r>
    <s v="ORD-01655"/>
    <n v="45568"/>
    <n v="1186.68"/>
    <x v="29"/>
    <s v="Apparel"/>
    <s v="Retail"/>
    <n v="38"/>
    <s v="South"/>
    <x v="9"/>
  </r>
  <r>
    <s v="ORD-01656"/>
    <n v="45654"/>
    <n v="25491.69"/>
    <x v="27"/>
    <s v="Electronics"/>
    <s v="Corporate"/>
    <n v="35"/>
    <s v="South"/>
    <x v="8"/>
  </r>
  <r>
    <s v="ORD-01657"/>
    <n v="45412"/>
    <n v="21534.240000000002"/>
    <x v="16"/>
    <s v="Electronics"/>
    <s v="SMB"/>
    <n v="44"/>
    <s v="East"/>
    <x v="5"/>
  </r>
  <r>
    <s v="ORD-01658"/>
    <n v="45653"/>
    <n v="2885.63"/>
    <x v="9"/>
    <s v="Grocery"/>
    <s v="Retail"/>
    <n v="34"/>
    <s v="South"/>
    <x v="8"/>
  </r>
  <r>
    <s v="ORD-01659"/>
    <n v="45568"/>
    <n v="673.22"/>
    <x v="21"/>
    <s v="Apparel"/>
    <s v="SMB"/>
    <n v="26"/>
    <s v="East"/>
    <x v="9"/>
  </r>
  <r>
    <s v="ORD-01660"/>
    <n v="45643"/>
    <n v="11143.8"/>
    <x v="20"/>
    <s v="Beauty"/>
    <s v="Retail"/>
    <n v="29"/>
    <s v="West"/>
    <x v="8"/>
  </r>
  <r>
    <s v="ORD-01661"/>
    <n v="45411"/>
    <n v="30117.599999999999"/>
    <x v="24"/>
    <s v="Apparel"/>
    <s v="Corporate"/>
    <n v="22"/>
    <s v="East"/>
    <x v="5"/>
  </r>
  <r>
    <s v="ORD-01662"/>
    <n v="45467"/>
    <n v="9235.9500000000007"/>
    <x v="19"/>
    <s v="Beauty"/>
    <s v="Corporate"/>
    <n v="29"/>
    <s v="North"/>
    <x v="6"/>
  </r>
  <r>
    <s v="ORD-01663"/>
    <n v="45542"/>
    <n v="21297"/>
    <x v="5"/>
    <s v="Beauty"/>
    <s v="Retail"/>
    <n v="48"/>
    <s v="West"/>
    <x v="0"/>
  </r>
  <r>
    <s v="ORD-01664"/>
    <n v="45483"/>
    <n v="15393.96"/>
    <x v="11"/>
    <s v="Grocery"/>
    <s v="Retail"/>
    <n v="61"/>
    <s v="North"/>
    <x v="10"/>
  </r>
  <r>
    <s v="ORD-01665"/>
    <n v="45426"/>
    <n v="20232.96"/>
    <x v="22"/>
    <s v="Electronics"/>
    <s v="Corporate"/>
    <n v="55"/>
    <s v="South"/>
    <x v="3"/>
  </r>
  <r>
    <s v="ORD-01666"/>
    <n v="45386"/>
    <n v="1739"/>
    <x v="3"/>
    <s v="Home"/>
    <s v="Retail"/>
    <n v="63"/>
    <s v="North"/>
    <x v="5"/>
  </r>
  <r>
    <s v="ORD-01667"/>
    <n v="45377"/>
    <n v="19469.79"/>
    <x v="0"/>
    <s v="Grocery"/>
    <s v="Retail"/>
    <n v="49"/>
    <s v="North"/>
    <x v="2"/>
  </r>
  <r>
    <s v="ORD-01668"/>
    <n v="45414"/>
    <n v="2607"/>
    <x v="23"/>
    <s v="Home"/>
    <s v="Retail"/>
    <n v="37"/>
    <s v="South"/>
    <x v="3"/>
  </r>
  <r>
    <s v="ORD-01669"/>
    <n v="45407"/>
    <n v="1779.84"/>
    <x v="11"/>
    <s v="Sports"/>
    <s v="Unknown"/>
    <s v=""/>
    <s v="North"/>
    <x v="5"/>
  </r>
  <r>
    <s v="ORD-01670"/>
    <n v="45509"/>
    <n v="12087"/>
    <x v="18"/>
    <s v="Beauty"/>
    <s v="Retail"/>
    <n v="32"/>
    <s v="South"/>
    <x v="7"/>
  </r>
  <r>
    <s v="ORD-01671"/>
    <n v="45566"/>
    <n v="8200.2000000000007"/>
    <x v="10"/>
    <s v="Apparel"/>
    <s v="Retail"/>
    <n v="25"/>
    <s v="North"/>
    <x v="9"/>
  </r>
  <r>
    <s v="ORD-01672"/>
    <n v="45524"/>
    <n v="11337.48"/>
    <x v="1"/>
    <s v="Beauty"/>
    <s v="Unknown"/>
    <s v=""/>
    <s v="North"/>
    <x v="7"/>
  </r>
  <r>
    <s v="ORD-01673"/>
    <n v="45431"/>
    <n v="10156.799999999999"/>
    <x v="6"/>
    <s v="Beauty"/>
    <s v="SMB"/>
    <n v="46"/>
    <s v="West"/>
    <x v="3"/>
  </r>
  <r>
    <s v="ORD-01674"/>
    <n v="45598"/>
    <n v="8863.1200000000008"/>
    <x v="17"/>
    <s v="Grocery"/>
    <s v="Retail"/>
    <n v="61"/>
    <s v="West"/>
    <x v="4"/>
  </r>
  <r>
    <s v="ORD-01675"/>
    <n v="45419"/>
    <n v="5751.66"/>
    <x v="11"/>
    <s v="Home"/>
    <s v="Retail"/>
    <n v="25"/>
    <s v="North"/>
    <x v="3"/>
  </r>
  <r>
    <s v="ORD-01676"/>
    <n v="45549"/>
    <n v="21385"/>
    <x v="25"/>
    <s v="Home"/>
    <s v="Retail"/>
    <n v="43"/>
    <s v="North"/>
    <x v="0"/>
  </r>
  <r>
    <s v="ORD-01677"/>
    <n v="45519"/>
    <n v="3739.32"/>
    <x v="16"/>
    <s v="Sports"/>
    <s v="Retail"/>
    <n v="35"/>
    <s v="East"/>
    <x v="7"/>
  </r>
  <r>
    <s v="ORD-01678"/>
    <n v="45574"/>
    <n v="8289.7999999999993"/>
    <x v="17"/>
    <s v="Beauty"/>
    <s v="Corporate"/>
    <n v="43"/>
    <s v="West"/>
    <x v="9"/>
  </r>
  <r>
    <s v="ORD-01679"/>
    <n v="45462"/>
    <n v="7001.28"/>
    <x v="20"/>
    <s v="Electronics"/>
    <s v="Retail"/>
    <n v="31"/>
    <s v="West"/>
    <x v="6"/>
  </r>
  <r>
    <s v="ORD-01680"/>
    <n v="45336"/>
    <n v="16116.1"/>
    <x v="25"/>
    <s v="Sports"/>
    <s v="Retail"/>
    <n v="54"/>
    <s v="North"/>
    <x v="1"/>
  </r>
  <r>
    <s v="ORD-01681"/>
    <n v="45439"/>
    <n v="20562"/>
    <x v="16"/>
    <s v="Beauty"/>
    <s v="Retail"/>
    <n v="65"/>
    <s v="East"/>
    <x v="3"/>
  </r>
  <r>
    <s v="ORD-01682"/>
    <n v="45578"/>
    <n v="32113.759999999998"/>
    <x v="7"/>
    <s v="Sports"/>
    <s v="Retail"/>
    <n v="62"/>
    <s v="East"/>
    <x v="9"/>
  </r>
  <r>
    <s v="ORD-01683"/>
    <n v="45588"/>
    <n v="2397.6"/>
    <x v="5"/>
    <s v="Home"/>
    <s v="Retail"/>
    <n v="62"/>
    <s v="West"/>
    <x v="9"/>
  </r>
  <r>
    <s v="ORD-01684"/>
    <n v="45354"/>
    <n v="19493.759999999998"/>
    <x v="7"/>
    <s v="Sports"/>
    <s v="Retail"/>
    <n v="46"/>
    <s v="East"/>
    <x v="2"/>
  </r>
  <r>
    <s v="ORD-01685"/>
    <n v="45332"/>
    <n v="11101.52"/>
    <x v="22"/>
    <s v="Beauty"/>
    <s v="Unknown"/>
    <s v=""/>
    <s v="South"/>
    <x v="1"/>
  </r>
  <r>
    <s v="ORD-01686"/>
    <n v="45649"/>
    <n v="3594.24"/>
    <x v="5"/>
    <s v="Sports"/>
    <s v="SMB"/>
    <n v="54"/>
    <s v="West"/>
    <x v="8"/>
  </r>
  <r>
    <s v="ORD-01687"/>
    <n v="45596"/>
    <n v="13018.68"/>
    <x v="20"/>
    <s v="Electronics"/>
    <s v="Corporate"/>
    <n v="60"/>
    <s v="West"/>
    <x v="9"/>
  </r>
  <r>
    <s v="ORD-01688"/>
    <n v="45378"/>
    <n v="11091.6"/>
    <x v="16"/>
    <s v="Apparel"/>
    <s v="Retail"/>
    <n v="39"/>
    <s v="East"/>
    <x v="2"/>
  </r>
  <r>
    <s v="ORD-01689"/>
    <n v="45403"/>
    <n v="12178.5"/>
    <x v="28"/>
    <s v="Beauty"/>
    <s v="SMB"/>
    <n v="30"/>
    <s v="West"/>
    <x v="5"/>
  </r>
  <r>
    <s v="ORD-01690"/>
    <n v="45535"/>
    <n v="7008"/>
    <x v="26"/>
    <s v="Beauty"/>
    <s v="SMB"/>
    <n v="26"/>
    <s v="East"/>
    <x v="7"/>
  </r>
  <r>
    <s v="ORD-01691"/>
    <n v="45429"/>
    <n v="55450.6"/>
    <x v="26"/>
    <s v="Sports"/>
    <s v="Retail"/>
    <n v="27"/>
    <s v="East"/>
    <x v="3"/>
  </r>
  <r>
    <s v="ORD-01692"/>
    <n v="45436"/>
    <n v="19915.2"/>
    <x v="18"/>
    <s v="Sports"/>
    <s v="Corporate"/>
    <n v="26"/>
    <s v="South"/>
    <x v="3"/>
  </r>
  <r>
    <s v="ORD-01693"/>
    <n v="45397"/>
    <n v="4176.5200000000004"/>
    <x v="21"/>
    <s v="Sports"/>
    <s v="Retail"/>
    <n v="38"/>
    <s v="East"/>
    <x v="5"/>
  </r>
  <r>
    <s v="ORD-01694"/>
    <n v="45629"/>
    <n v="6934.48"/>
    <x v="10"/>
    <s v="Electronics"/>
    <s v="Retail"/>
    <n v="54"/>
    <s v="North"/>
    <x v="8"/>
  </r>
  <r>
    <s v="ORD-01695"/>
    <n v="45595"/>
    <n v="833.85"/>
    <x v="7"/>
    <s v="Home"/>
    <s v="Retail"/>
    <n v="31"/>
    <s v="East"/>
    <x v="9"/>
  </r>
  <r>
    <s v="ORD-01696"/>
    <n v="45531"/>
    <n v="5393.04"/>
    <x v="12"/>
    <s v="Grocery"/>
    <s v="Retail"/>
    <n v="28"/>
    <s v="East"/>
    <x v="7"/>
  </r>
  <r>
    <s v="ORD-01697"/>
    <n v="45626"/>
    <n v="8739.36"/>
    <x v="17"/>
    <s v="Electronics"/>
    <s v="SMB"/>
    <n v="43"/>
    <s v="West"/>
    <x v="4"/>
  </r>
  <r>
    <s v="ORD-01698"/>
    <n v="45502"/>
    <n v="6336.68"/>
    <x v="10"/>
    <s v="Electronics"/>
    <s v="Retail"/>
    <n v="28"/>
    <s v="North"/>
    <x v="10"/>
  </r>
  <r>
    <s v="ORD-01699"/>
    <n v="45501"/>
    <n v="17988.3"/>
    <x v="20"/>
    <s v="Sports"/>
    <s v="Retail"/>
    <n v="39"/>
    <s v="West"/>
    <x v="10"/>
  </r>
  <r>
    <s v="ORD-01700"/>
    <n v="45435"/>
    <n v="18431.400000000001"/>
    <x v="10"/>
    <s v="Grocery"/>
    <s v="Retail"/>
    <n v="36"/>
    <s v="North"/>
    <x v="3"/>
  </r>
  <r>
    <s v="ORD-01701"/>
    <n v="45295"/>
    <n v="20460"/>
    <x v="28"/>
    <s v="Apparel"/>
    <s v="Corporate"/>
    <n v="42"/>
    <s v="West"/>
    <x v="11"/>
  </r>
  <r>
    <s v="ORD-01702"/>
    <n v="45566"/>
    <n v="21674.25"/>
    <x v="7"/>
    <s v="Home"/>
    <s v="Retail"/>
    <n v="39"/>
    <s v="East"/>
    <x v="9"/>
  </r>
  <r>
    <s v="ORD-01703"/>
    <n v="45474"/>
    <n v="5940"/>
    <x v="4"/>
    <s v="Sports"/>
    <s v="Retail"/>
    <n v="37"/>
    <s v="North"/>
    <x v="10"/>
  </r>
  <r>
    <s v="ORD-01704"/>
    <n v="45372"/>
    <n v="39687.760000000002"/>
    <x v="3"/>
    <s v="Sports"/>
    <s v="Retail"/>
    <n v="35"/>
    <s v="North"/>
    <x v="2"/>
  </r>
  <r>
    <s v="ORD-01705"/>
    <n v="45622"/>
    <n v="2446.6"/>
    <x v="26"/>
    <s v="Electronics"/>
    <s v="Retail"/>
    <n v="52"/>
    <s v="East"/>
    <x v="4"/>
  </r>
  <r>
    <s v="ORD-01706"/>
    <n v="45603"/>
    <n v="39666.199999999997"/>
    <x v="11"/>
    <s v="Grocery"/>
    <s v="Retail"/>
    <n v="25"/>
    <s v="North"/>
    <x v="4"/>
  </r>
  <r>
    <s v="ORD-01707"/>
    <n v="45352"/>
    <n v="36697.050000000003"/>
    <x v="16"/>
    <s v="Electronics"/>
    <s v="Retail"/>
    <n v="56"/>
    <s v="East"/>
    <x v="2"/>
  </r>
  <r>
    <s v="ORD-01708"/>
    <n v="45600"/>
    <n v="20307.7"/>
    <x v="5"/>
    <s v="Beauty"/>
    <s v="Retail"/>
    <n v="29"/>
    <s v="West"/>
    <x v="4"/>
  </r>
  <r>
    <s v="ORD-01709"/>
    <n v="45631"/>
    <n v="7369.36"/>
    <x v="2"/>
    <s v="Apparel"/>
    <s v="SMB"/>
    <n v="61"/>
    <s v="South"/>
    <x v="8"/>
  </r>
  <r>
    <s v="ORD-01710"/>
    <n v="45456"/>
    <n v="2560.96"/>
    <x v="13"/>
    <s v="Beauty"/>
    <s v="SMB"/>
    <n v="44"/>
    <s v="East"/>
    <x v="6"/>
  </r>
  <r>
    <s v="ORD-01711"/>
    <n v="45539"/>
    <n v="768.34"/>
    <x v="20"/>
    <s v="Apparel"/>
    <s v="Retail"/>
    <n v="40"/>
    <s v="West"/>
    <x v="0"/>
  </r>
  <r>
    <s v="ORD-01712"/>
    <n v="45488"/>
    <n v="12184.96"/>
    <x v="28"/>
    <s v="Apparel"/>
    <s v="Retail"/>
    <n v="47"/>
    <s v="West"/>
    <x v="10"/>
  </r>
  <r>
    <s v="ORD-01713"/>
    <n v="45370"/>
    <n v="2627.88"/>
    <x v="27"/>
    <s v="Grocery"/>
    <s v="SMB"/>
    <n v="55"/>
    <s v="South"/>
    <x v="2"/>
  </r>
  <r>
    <s v="ORD-01714"/>
    <n v="45394"/>
    <n v="1525.2"/>
    <x v="17"/>
    <s v="Apparel"/>
    <s v="Retail"/>
    <n v="52"/>
    <s v="West"/>
    <x v="5"/>
  </r>
  <r>
    <s v="ORD-01715"/>
    <n v="45446"/>
    <n v="9163"/>
    <x v="24"/>
    <s v="Grocery"/>
    <s v="Retail"/>
    <n v="53"/>
    <s v="East"/>
    <x v="6"/>
  </r>
  <r>
    <s v="ORD-01716"/>
    <n v="45612"/>
    <n v="2813.49"/>
    <x v="22"/>
    <s v="Electronics"/>
    <s v="SMB"/>
    <n v="43"/>
    <s v="South"/>
    <x v="4"/>
  </r>
  <r>
    <s v="ORD-01717"/>
    <n v="45301"/>
    <n v="2577"/>
    <x v="0"/>
    <s v="Electronics"/>
    <s v="Corporate"/>
    <n v="41"/>
    <s v="North"/>
    <x v="11"/>
  </r>
  <r>
    <s v="ORD-01718"/>
    <n v="45647"/>
    <n v="44523"/>
    <x v="28"/>
    <s v="Beauty"/>
    <s v="Retail"/>
    <n v="46"/>
    <s v="West"/>
    <x v="8"/>
  </r>
  <r>
    <s v="ORD-01719"/>
    <n v="45589"/>
    <n v="2268.7199999999998"/>
    <x v="22"/>
    <s v="Grocery"/>
    <s v="Retail"/>
    <n v="37"/>
    <s v="South"/>
    <x v="9"/>
  </r>
  <r>
    <s v="ORD-01720"/>
    <n v="45382"/>
    <n v="35647.040000000001"/>
    <x v="25"/>
    <s v="Electronics"/>
    <s v="SMB"/>
    <n v="65"/>
    <s v="North"/>
    <x v="2"/>
  </r>
  <r>
    <s v="ORD-01721"/>
    <n v="45457"/>
    <n v="803.96"/>
    <x v="29"/>
    <s v="Sports"/>
    <s v="Corporate"/>
    <n v="41"/>
    <s v="South"/>
    <x v="6"/>
  </r>
  <r>
    <s v="ORD-01722"/>
    <n v="45376"/>
    <n v="18806.2"/>
    <x v="7"/>
    <s v="Electronics"/>
    <s v="Retail"/>
    <n v="36"/>
    <s v="East"/>
    <x v="2"/>
  </r>
  <r>
    <s v="ORD-01723"/>
    <n v="45506"/>
    <n v="32014.080000000002"/>
    <x v="23"/>
    <s v="Electronics"/>
    <s v="Retail"/>
    <n v="34"/>
    <s v="South"/>
    <x v="7"/>
  </r>
  <r>
    <s v="ORD-01724"/>
    <n v="45472"/>
    <n v="8470.7999999999993"/>
    <x v="4"/>
    <s v="Apparel"/>
    <s v="SMB"/>
    <n v="43"/>
    <s v="North"/>
    <x v="6"/>
  </r>
  <r>
    <s v="ORD-01725"/>
    <n v="45383"/>
    <n v="12108.18"/>
    <x v="26"/>
    <s v="Grocery"/>
    <s v="Retail"/>
    <n v="38"/>
    <s v="East"/>
    <x v="5"/>
  </r>
  <r>
    <s v="ORD-01726"/>
    <n v="45543"/>
    <n v="6610.24"/>
    <x v="2"/>
    <s v="Grocery"/>
    <s v="Retail"/>
    <n v="34"/>
    <s v="South"/>
    <x v="0"/>
  </r>
  <r>
    <s v="ORD-01727"/>
    <n v="45576"/>
    <n v="27844.400000000001"/>
    <x v="27"/>
    <s v="Home"/>
    <s v="Retail"/>
    <n v="41"/>
    <s v="South"/>
    <x v="9"/>
  </r>
  <r>
    <s v="ORD-01728"/>
    <n v="45366"/>
    <n v="1040.82"/>
    <x v="16"/>
    <s v="Sports"/>
    <s v="Retail"/>
    <n v="41"/>
    <s v="East"/>
    <x v="2"/>
  </r>
  <r>
    <s v="ORD-01729"/>
    <n v="45617"/>
    <n v="10058.65"/>
    <x v="17"/>
    <s v="Home"/>
    <s v="Corporate"/>
    <n v="52"/>
    <s v="West"/>
    <x v="4"/>
  </r>
  <r>
    <s v="ORD-01730"/>
    <n v="45614"/>
    <n v="3691.49"/>
    <x v="16"/>
    <s v="Grocery"/>
    <s v="SMB"/>
    <n v="30"/>
    <s v="East"/>
    <x v="4"/>
  </r>
  <r>
    <s v="ORD-01731"/>
    <n v="45460"/>
    <n v="6038.73"/>
    <x v="19"/>
    <s v="Beauty"/>
    <s v="SMB"/>
    <n v="48"/>
    <s v="North"/>
    <x v="6"/>
  </r>
  <r>
    <s v="ORD-01732"/>
    <n v="45514"/>
    <n v="24935.05"/>
    <x v="16"/>
    <s v="Home"/>
    <s v="Retail"/>
    <n v="22"/>
    <s v="East"/>
    <x v="7"/>
  </r>
  <r>
    <s v="ORD-01733"/>
    <n v="45306"/>
    <n v="2867.5"/>
    <x v="1"/>
    <s v="Apparel"/>
    <s v="Retail"/>
    <n v="22"/>
    <s v="North"/>
    <x v="11"/>
  </r>
  <r>
    <s v="ORD-01734"/>
    <n v="45455"/>
    <n v="17656.32"/>
    <x v="9"/>
    <s v="Electronics"/>
    <s v="Corporate"/>
    <n v="27"/>
    <s v="South"/>
    <x v="6"/>
  </r>
  <r>
    <s v="ORD-01735"/>
    <n v="45564"/>
    <n v="20598.48"/>
    <x v="10"/>
    <s v="Grocery"/>
    <s v="SMB"/>
    <n v="57"/>
    <s v="North"/>
    <x v="0"/>
  </r>
  <r>
    <s v="ORD-01736"/>
    <n v="45507"/>
    <n v="1223.44"/>
    <x v="16"/>
    <s v="Apparel"/>
    <s v="Retail"/>
    <n v="50"/>
    <s v="East"/>
    <x v="7"/>
  </r>
  <r>
    <s v="ORD-01737"/>
    <n v="45596"/>
    <n v="5304.72"/>
    <x v="13"/>
    <s v="Apparel"/>
    <s v="Retail"/>
    <n v="29"/>
    <s v="East"/>
    <x v="9"/>
  </r>
  <r>
    <s v="ORD-01738"/>
    <n v="45534"/>
    <n v="49308.800000000003"/>
    <x v="8"/>
    <s v="Beauty"/>
    <s v="Retail"/>
    <n v="32"/>
    <s v="West"/>
    <x v="7"/>
  </r>
  <r>
    <s v="ORD-01739"/>
    <n v="45336"/>
    <n v="179.17"/>
    <x v="24"/>
    <s v="Sports"/>
    <s v="SMB"/>
    <n v="39"/>
    <s v="East"/>
    <x v="1"/>
  </r>
  <r>
    <s v="ORD-01740"/>
    <n v="45463"/>
    <n v="6667.92"/>
    <x v="17"/>
    <s v="Sports"/>
    <s v="Retail"/>
    <n v="41"/>
    <s v="West"/>
    <x v="6"/>
  </r>
  <r>
    <s v="ORD-01741"/>
    <n v="45602"/>
    <n v="13016.25"/>
    <x v="19"/>
    <s v="Home"/>
    <s v="Retail"/>
    <n v="34"/>
    <s v="North"/>
    <x v="4"/>
  </r>
  <r>
    <s v="ORD-01742"/>
    <n v="45365"/>
    <n v="13627.39"/>
    <x v="4"/>
    <s v="Home"/>
    <s v="SMB"/>
    <n v="34"/>
    <s v="North"/>
    <x v="2"/>
  </r>
  <r>
    <s v="ORD-01743"/>
    <n v="45651"/>
    <n v="18812.400000000001"/>
    <x v="27"/>
    <s v="Beauty"/>
    <s v="Retail"/>
    <n v="65"/>
    <s v="South"/>
    <x v="8"/>
  </r>
  <r>
    <s v="ORD-01744"/>
    <n v="45297"/>
    <n v="8522.4"/>
    <x v="16"/>
    <s v="Beauty"/>
    <s v="SMB"/>
    <n v="29"/>
    <s v="East"/>
    <x v="11"/>
  </r>
  <r>
    <s v="ORD-01745"/>
    <n v="45425"/>
    <n v="24310"/>
    <x v="20"/>
    <s v="Sports"/>
    <s v="Retail"/>
    <n v="59"/>
    <s v="West"/>
    <x v="3"/>
  </r>
  <r>
    <s v="ORD-01746"/>
    <n v="45444"/>
    <n v="16853.25"/>
    <x v="26"/>
    <s v="Beauty"/>
    <s v="Retail"/>
    <n v="42"/>
    <s v="East"/>
    <x v="6"/>
  </r>
  <r>
    <s v="ORD-01747"/>
    <n v="45397"/>
    <n v="6619.32"/>
    <x v="15"/>
    <s v="Grocery"/>
    <s v="SMB"/>
    <n v="44"/>
    <s v="South"/>
    <x v="5"/>
  </r>
  <r>
    <s v="ORD-01748"/>
    <n v="45354"/>
    <n v="24360.959999999999"/>
    <x v="0"/>
    <s v="Grocery"/>
    <s v="SMB"/>
    <n v="29"/>
    <s v="North"/>
    <x v="2"/>
  </r>
  <r>
    <s v="ORD-01749"/>
    <n v="45469"/>
    <n v="17377.080000000002"/>
    <x v="4"/>
    <s v="Beauty"/>
    <s v="Retail"/>
    <n v="53"/>
    <s v="North"/>
    <x v="6"/>
  </r>
  <r>
    <s v="ORD-01750"/>
    <n v="45587"/>
    <n v="6584.76"/>
    <x v="2"/>
    <s v="Home"/>
    <s v="Retail"/>
    <n v="54"/>
    <s v="South"/>
    <x v="9"/>
  </r>
  <r>
    <s v="ORD-01751"/>
    <n v="45494"/>
    <n v="4149.5600000000004"/>
    <x v="27"/>
    <s v="Grocery"/>
    <s v="SMB"/>
    <n v="61"/>
    <s v="South"/>
    <x v="10"/>
  </r>
  <r>
    <s v="ORD-01752"/>
    <n v="45445"/>
    <n v="4581.8"/>
    <x v="27"/>
    <s v="Apparel"/>
    <s v="SMB"/>
    <n v="54"/>
    <s v="South"/>
    <x v="6"/>
  </r>
  <r>
    <s v="ORD-01753"/>
    <n v="45561"/>
    <n v="7811.44"/>
    <x v="15"/>
    <s v="Grocery"/>
    <s v="Retail"/>
    <n v="52"/>
    <s v="South"/>
    <x v="0"/>
  </r>
  <r>
    <s v="ORD-01754"/>
    <n v="45488"/>
    <n v="2725.38"/>
    <x v="27"/>
    <s v="Grocery"/>
    <s v="Corporate"/>
    <n v="29"/>
    <s v="South"/>
    <x v="10"/>
  </r>
  <r>
    <s v="ORD-01755"/>
    <n v="45617"/>
    <n v="18316.48"/>
    <x v="24"/>
    <s v="Grocery"/>
    <s v="SMB"/>
    <n v="55"/>
    <s v="East"/>
    <x v="4"/>
  </r>
  <r>
    <s v="ORD-01756"/>
    <n v="45378"/>
    <n v="28404.53"/>
    <x v="6"/>
    <s v="Grocery"/>
    <s v="Retail"/>
    <n v="38"/>
    <s v="West"/>
    <x v="2"/>
  </r>
  <r>
    <s v="ORD-01757"/>
    <n v="45459"/>
    <n v="15301.44"/>
    <x v="16"/>
    <s v="Electronics"/>
    <s v="Retail"/>
    <n v="29"/>
    <s v="East"/>
    <x v="6"/>
  </r>
  <r>
    <s v="ORD-01758"/>
    <n v="45377"/>
    <n v="32772.6"/>
    <x v="14"/>
    <s v="Sports"/>
    <s v="Retail"/>
    <n v="31"/>
    <s v="West"/>
    <x v="2"/>
  </r>
  <r>
    <s v="ORD-01759"/>
    <n v="45302"/>
    <n v="26290.799999999999"/>
    <x v="18"/>
    <s v="Beauty"/>
    <s v="Corporate"/>
    <n v="62"/>
    <s v="South"/>
    <x v="11"/>
  </r>
  <r>
    <s v="ORD-01760"/>
    <n v="45459"/>
    <n v="18735.64"/>
    <x v="6"/>
    <s v="Apparel"/>
    <s v="SMB"/>
    <n v="35"/>
    <s v="West"/>
    <x v="6"/>
  </r>
  <r>
    <s v="ORD-01761"/>
    <n v="45428"/>
    <n v="14157"/>
    <x v="10"/>
    <s v="Sports"/>
    <s v="SMB"/>
    <n v="36"/>
    <s v="North"/>
    <x v="3"/>
  </r>
  <r>
    <s v="ORD-01762"/>
    <n v="45341"/>
    <n v="2019.6"/>
    <x v="9"/>
    <s v="Electronics"/>
    <s v="Corporate"/>
    <n v="43"/>
    <s v="South"/>
    <x v="1"/>
  </r>
  <r>
    <s v="ORD-01763"/>
    <n v="45296"/>
    <n v="932.9"/>
    <x v="16"/>
    <s v="Sports"/>
    <s v="Corporate"/>
    <n v="29"/>
    <s v="East"/>
    <x v="11"/>
  </r>
  <r>
    <s v="ORD-01764"/>
    <n v="45533"/>
    <n v="6278.16"/>
    <x v="13"/>
    <s v="Sports"/>
    <s v="Retail"/>
    <n v="65"/>
    <s v="East"/>
    <x v="7"/>
  </r>
  <r>
    <s v="ORD-01765"/>
    <n v="45515"/>
    <n v="25281.599999999999"/>
    <x v="19"/>
    <s v="Sports"/>
    <s v="SMB"/>
    <n v="50"/>
    <s v="North"/>
    <x v="7"/>
  </r>
  <r>
    <s v="ORD-01766"/>
    <n v="45597"/>
    <n v="832.5"/>
    <x v="19"/>
    <s v="Electronics"/>
    <s v="Corporate"/>
    <n v="52"/>
    <s v="North"/>
    <x v="4"/>
  </r>
  <r>
    <s v="ORD-01767"/>
    <n v="45370"/>
    <n v="11219.84"/>
    <x v="26"/>
    <s v="Home"/>
    <s v="SMB"/>
    <n v="54"/>
    <s v="East"/>
    <x v="2"/>
  </r>
  <r>
    <s v="ORD-01768"/>
    <n v="45462"/>
    <n v="10896"/>
    <x v="16"/>
    <s v="Sports"/>
    <s v="Corporate"/>
    <n v="55"/>
    <s v="East"/>
    <x v="6"/>
  </r>
  <r>
    <s v="ORD-01769"/>
    <n v="45609"/>
    <n v="8081.28"/>
    <x v="19"/>
    <s v="Grocery"/>
    <s v="Retail"/>
    <n v="59"/>
    <s v="North"/>
    <x v="4"/>
  </r>
  <r>
    <s v="ORD-01770"/>
    <n v="45548"/>
    <n v="2827.52"/>
    <x v="18"/>
    <s v="Sports"/>
    <s v="Retail"/>
    <n v="26"/>
    <s v="South"/>
    <x v="0"/>
  </r>
  <r>
    <s v="ORD-01771"/>
    <n v="45633"/>
    <n v="1147.74"/>
    <x v="28"/>
    <s v="Sports"/>
    <s v="Retail"/>
    <n v="61"/>
    <s v="West"/>
    <x v="8"/>
  </r>
  <r>
    <s v="ORD-01772"/>
    <n v="45580"/>
    <n v="562.4"/>
    <x v="8"/>
    <s v="Home"/>
    <s v="Retail"/>
    <n v="59"/>
    <s v="West"/>
    <x v="9"/>
  </r>
  <r>
    <s v="ORD-01773"/>
    <n v="45329"/>
    <n v="9507.42"/>
    <x v="19"/>
    <s v="Grocery"/>
    <s v="Retail"/>
    <n v="29"/>
    <s v="North"/>
    <x v="1"/>
  </r>
  <r>
    <s v="ORD-01774"/>
    <n v="45549"/>
    <n v="15156.96"/>
    <x v="25"/>
    <s v="Sports"/>
    <s v="SMB"/>
    <n v="43"/>
    <s v="North"/>
    <x v="0"/>
  </r>
  <r>
    <s v="ORD-01775"/>
    <n v="45423"/>
    <n v="15103.2"/>
    <x v="26"/>
    <s v="Home"/>
    <s v="Retail"/>
    <n v="54"/>
    <s v="East"/>
    <x v="3"/>
  </r>
  <r>
    <s v="ORD-01776"/>
    <n v="45533"/>
    <n v="8244.6299999999992"/>
    <x v="21"/>
    <s v="Sports"/>
    <s v="Retail"/>
    <n v="54"/>
    <s v="East"/>
    <x v="7"/>
  </r>
  <r>
    <s v="ORD-01777"/>
    <n v="45571"/>
    <n v="9763.9"/>
    <x v="25"/>
    <s v="Apparel"/>
    <s v="Retail"/>
    <n v="28"/>
    <s v="North"/>
    <x v="9"/>
  </r>
  <r>
    <s v="ORD-01778"/>
    <n v="45441"/>
    <n v="2627"/>
    <x v="25"/>
    <s v="Home"/>
    <s v="Retail"/>
    <n v="29"/>
    <s v="North"/>
    <x v="3"/>
  </r>
  <r>
    <s v="ORD-01779"/>
    <n v="45403"/>
    <n v="6725.76"/>
    <x v="13"/>
    <s v="Apparel"/>
    <s v="Retail"/>
    <n v="25"/>
    <s v="East"/>
    <x v="5"/>
  </r>
  <r>
    <s v="ORD-01780"/>
    <n v="45644"/>
    <n v="7112.16"/>
    <x v="21"/>
    <s v="Electronics"/>
    <s v="Retail"/>
    <n v="22"/>
    <s v="East"/>
    <x v="8"/>
  </r>
  <r>
    <s v="ORD-01781"/>
    <n v="45504"/>
    <n v="854.56"/>
    <x v="16"/>
    <s v="Home"/>
    <s v="Retail"/>
    <n v="26"/>
    <s v="East"/>
    <x v="10"/>
  </r>
  <r>
    <s v="ORD-01782"/>
    <n v="45606"/>
    <n v="29446.5"/>
    <x v="25"/>
    <s v="Beauty"/>
    <s v="Retail"/>
    <n v="38"/>
    <s v="North"/>
    <x v="4"/>
  </r>
  <r>
    <s v="ORD-01783"/>
    <n v="45562"/>
    <n v="17826.560000000001"/>
    <x v="15"/>
    <s v="Beauty"/>
    <s v="Retail"/>
    <n v="26"/>
    <s v="South"/>
    <x v="0"/>
  </r>
  <r>
    <s v="ORD-01784"/>
    <n v="45372"/>
    <n v="2499.84"/>
    <x v="25"/>
    <s v="Beauty"/>
    <s v="Retail"/>
    <n v="65"/>
    <s v="North"/>
    <x v="2"/>
  </r>
  <r>
    <s v="ORD-01785"/>
    <n v="45610"/>
    <n v="29876.58"/>
    <x v="0"/>
    <s v="Grocery"/>
    <s v="SMB"/>
    <n v="24"/>
    <s v="North"/>
    <x v="4"/>
  </r>
  <r>
    <s v="ORD-01786"/>
    <n v="45388"/>
    <n v="19002.599999999999"/>
    <x v="7"/>
    <s v="Beauty"/>
    <s v="Corporate"/>
    <n v="24"/>
    <s v="East"/>
    <x v="5"/>
  </r>
  <r>
    <s v="ORD-01787"/>
    <n v="45421"/>
    <n v="28913.919999999998"/>
    <x v="16"/>
    <s v="Home"/>
    <s v="Retail"/>
    <n v="35"/>
    <s v="East"/>
    <x v="3"/>
  </r>
  <r>
    <s v="ORD-01788"/>
    <n v="45529"/>
    <n v="1603.2"/>
    <x v="18"/>
    <s v="Sports"/>
    <s v="Retail"/>
    <n v="55"/>
    <s v="South"/>
    <x v="7"/>
  </r>
  <r>
    <s v="ORD-01789"/>
    <n v="45553"/>
    <n v="2553.7399999999998"/>
    <x v="12"/>
    <s v="Home"/>
    <s v="SMB"/>
    <n v="64"/>
    <s v="East"/>
    <x v="0"/>
  </r>
  <r>
    <s v="ORD-01790"/>
    <n v="45535"/>
    <n v="5951.94"/>
    <x v="10"/>
    <s v="Grocery"/>
    <s v="Corporate"/>
    <n v="22"/>
    <s v="North"/>
    <x v="7"/>
  </r>
  <r>
    <s v="ORD-00268"/>
    <n v="45301"/>
    <n v="2671.5"/>
    <x v="2"/>
    <s v="Home"/>
    <s v="Corporate"/>
    <n v="42"/>
    <s v="South"/>
    <x v="11"/>
  </r>
  <r>
    <s v="ORD-01792"/>
    <n v="45404"/>
    <n v="2498.6"/>
    <x v="26"/>
    <s v="Apparel"/>
    <s v="Corporate"/>
    <n v="54"/>
    <s v="East"/>
    <x v="5"/>
  </r>
  <r>
    <s v="ORD-01793"/>
    <n v="45600"/>
    <n v="13581.96"/>
    <x v="1"/>
    <s v="Electronics"/>
    <s v="SMB"/>
    <n v="54"/>
    <s v="North"/>
    <x v="4"/>
  </r>
  <r>
    <s v="ORD-01794"/>
    <n v="45526"/>
    <n v="14299"/>
    <x v="19"/>
    <s v="Apparel"/>
    <s v="Retail"/>
    <n v="47"/>
    <s v="North"/>
    <x v="7"/>
  </r>
  <r>
    <s v="ORD-01795"/>
    <n v="45580"/>
    <n v="3064.88"/>
    <x v="13"/>
    <s v="Apparel"/>
    <s v="Retail"/>
    <n v="48"/>
    <s v="East"/>
    <x v="9"/>
  </r>
  <r>
    <s v="ORD-01796"/>
    <n v="45444"/>
    <n v="1212.68"/>
    <x v="0"/>
    <s v="Electronics"/>
    <s v="Retail"/>
    <n v="52"/>
    <s v="North"/>
    <x v="6"/>
  </r>
  <r>
    <s v="ORD-01797"/>
    <n v="45350"/>
    <n v="24651.200000000001"/>
    <x v="25"/>
    <s v="Apparel"/>
    <s v="SMB"/>
    <n v="46"/>
    <s v="North"/>
    <x v="1"/>
  </r>
  <r>
    <s v="ORD-01798"/>
    <n v="45634"/>
    <n v="10870.2"/>
    <x v="28"/>
    <s v="Beauty"/>
    <s v="Retail"/>
    <n v="61"/>
    <s v="West"/>
    <x v="8"/>
  </r>
  <r>
    <s v="ORD-01799"/>
    <n v="45560"/>
    <n v="29414.799999999999"/>
    <x v="4"/>
    <s v="Beauty"/>
    <s v="Retail"/>
    <n v="24"/>
    <s v="North"/>
    <x v="0"/>
  </r>
  <r>
    <s v="ORD-01800"/>
    <n v="45544"/>
    <n v="12885.75"/>
    <x v="2"/>
    <s v="Apparel"/>
    <s v="Retail"/>
    <n v="47"/>
    <s v="South"/>
    <x v="0"/>
  </r>
  <r>
    <s v="ORD-01801"/>
    <n v="45457"/>
    <n v="7421.26"/>
    <x v="7"/>
    <s v="Electronics"/>
    <s v="Retail"/>
    <n v="26"/>
    <s v="East"/>
    <x v="6"/>
  </r>
  <r>
    <s v="ORD-01802"/>
    <n v="45578"/>
    <n v="28841.4"/>
    <x v="1"/>
    <s v="Grocery"/>
    <s v="SMB"/>
    <n v="40"/>
    <s v="North"/>
    <x v="9"/>
  </r>
  <r>
    <s v="ORD-01803"/>
    <n v="45405"/>
    <n v="17853.919999999998"/>
    <x v="25"/>
    <s v="Electronics"/>
    <s v="Retail"/>
    <n v="44"/>
    <s v="North"/>
    <x v="5"/>
  </r>
  <r>
    <s v="ORD-01804"/>
    <n v="45338"/>
    <n v="5232"/>
    <x v="4"/>
    <s v="Home"/>
    <s v="Retail"/>
    <n v="46"/>
    <s v="North"/>
    <x v="1"/>
  </r>
  <r>
    <s v="ORD-01805"/>
    <n v="45324"/>
    <n v="1073.1600000000001"/>
    <x v="29"/>
    <s v="Home"/>
    <s v="Unknown"/>
    <s v=""/>
    <s v="South"/>
    <x v="1"/>
  </r>
  <r>
    <s v="ORD-01806"/>
    <n v="45332"/>
    <n v="6149.78"/>
    <x v="15"/>
    <s v="Home"/>
    <s v="SMB"/>
    <n v="53"/>
    <s v="South"/>
    <x v="1"/>
  </r>
  <r>
    <s v="ORD-01807"/>
    <n v="45429"/>
    <n v="5900.7"/>
    <x v="15"/>
    <s v="Grocery"/>
    <s v="Retail"/>
    <n v="42"/>
    <s v="South"/>
    <x v="3"/>
  </r>
  <r>
    <s v="ORD-01808"/>
    <n v="45420"/>
    <n v="5962.94"/>
    <x v="20"/>
    <s v="Electronics"/>
    <s v="Corporate"/>
    <n v="55"/>
    <s v="West"/>
    <x v="3"/>
  </r>
  <r>
    <s v="ORD-01809"/>
    <n v="45403"/>
    <n v="30236.99"/>
    <x v="13"/>
    <s v="Home"/>
    <s v="Retail"/>
    <n v="59"/>
    <s v="East"/>
    <x v="5"/>
  </r>
  <r>
    <s v="ORD-01810"/>
    <n v="45403"/>
    <n v="8198.4"/>
    <x v="17"/>
    <s v="Beauty"/>
    <s v="SMB"/>
    <n v="55"/>
    <s v="West"/>
    <x v="5"/>
  </r>
  <r>
    <s v="ORD-01811"/>
    <n v="45600"/>
    <n v="20656.8"/>
    <x v="29"/>
    <s v="Beauty"/>
    <s v="SMB"/>
    <n v="64"/>
    <s v="South"/>
    <x v="4"/>
  </r>
  <r>
    <s v="ORD-01812"/>
    <n v="45629"/>
    <n v="14356.72"/>
    <x v="17"/>
    <s v="Apparel"/>
    <s v="SMB"/>
    <n v="39"/>
    <s v="West"/>
    <x v="8"/>
  </r>
  <r>
    <s v="ORD-01813"/>
    <n v="45330"/>
    <n v="30031.200000000001"/>
    <x v="22"/>
    <s v="Electronics"/>
    <s v="Retail"/>
    <n v="22"/>
    <s v="South"/>
    <x v="1"/>
  </r>
  <r>
    <s v="ORD-01814"/>
    <n v="45551"/>
    <n v="2878.92"/>
    <x v="24"/>
    <s v="Home"/>
    <s v="Corporate"/>
    <n v="62"/>
    <s v="East"/>
    <x v="0"/>
  </r>
  <r>
    <s v="ORD-01815"/>
    <n v="45321"/>
    <n v="10727.64"/>
    <x v="17"/>
    <s v="Electronics"/>
    <s v="Unknown"/>
    <s v=""/>
    <s v="West"/>
    <x v="11"/>
  </r>
  <r>
    <s v="ORD-01816"/>
    <n v="45542"/>
    <n v="19468"/>
    <x v="3"/>
    <s v="Apparel"/>
    <s v="SMB"/>
    <n v="44"/>
    <s v="North"/>
    <x v="0"/>
  </r>
  <r>
    <s v="ORD-01817"/>
    <n v="45643"/>
    <n v="16410.240000000002"/>
    <x v="19"/>
    <s v="Electronics"/>
    <s v="Retail"/>
    <n v="61"/>
    <s v="North"/>
    <x v="8"/>
  </r>
  <r>
    <s v="ORD-01818"/>
    <n v="45559"/>
    <n v="6743.44"/>
    <x v="19"/>
    <s v="Grocery"/>
    <s v="SMB"/>
    <n v="25"/>
    <s v="North"/>
    <x v="0"/>
  </r>
  <r>
    <s v="ORD-01819"/>
    <n v="45416"/>
    <n v="5575.68"/>
    <x v="19"/>
    <s v="Sports"/>
    <s v="Retail"/>
    <n v="39"/>
    <s v="North"/>
    <x v="3"/>
  </r>
  <r>
    <s v="ORD-01820"/>
    <n v="45469"/>
    <n v="15967.98"/>
    <x v="4"/>
    <s v="Home"/>
    <s v="Retail"/>
    <n v="31"/>
    <s v="North"/>
    <x v="6"/>
  </r>
  <r>
    <s v="ORD-01821"/>
    <n v="45387"/>
    <n v="17816.2"/>
    <x v="6"/>
    <s v="Beauty"/>
    <s v="SMB"/>
    <n v="29"/>
    <s v="West"/>
    <x v="5"/>
  </r>
  <r>
    <s v="ORD-01822"/>
    <n v="45373"/>
    <n v="5372.64"/>
    <x v="28"/>
    <s v="Apparel"/>
    <s v="Retail"/>
    <n v="26"/>
    <s v="West"/>
    <x v="2"/>
  </r>
  <r>
    <s v="ORD-01823"/>
    <n v="45614"/>
    <n v="5076"/>
    <x v="14"/>
    <s v="Home"/>
    <s v="SMB"/>
    <n v="65"/>
    <s v="West"/>
    <x v="4"/>
  </r>
  <r>
    <s v="ORD-01824"/>
    <n v="45310"/>
    <n v="712.12"/>
    <x v="8"/>
    <s v="Sports"/>
    <s v="SMB"/>
    <n v="49"/>
    <s v="West"/>
    <x v="11"/>
  </r>
  <r>
    <s v="ORD-01825"/>
    <n v="45319"/>
    <n v="13328.1"/>
    <x v="20"/>
    <s v="Apparel"/>
    <s v="SMB"/>
    <n v="55"/>
    <s v="West"/>
    <x v="11"/>
  </r>
  <r>
    <s v="ORD-01826"/>
    <n v="45299"/>
    <n v="6372.4"/>
    <x v="15"/>
    <s v="Apparel"/>
    <s v="Retail"/>
    <n v="36"/>
    <s v="South"/>
    <x v="11"/>
  </r>
  <r>
    <s v="ORD-01827"/>
    <n v="45556"/>
    <n v="2140.1999999999998"/>
    <x v="22"/>
    <s v="Apparel"/>
    <s v="Corporate"/>
    <n v="41"/>
    <s v="South"/>
    <x v="0"/>
  </r>
  <r>
    <s v="ORD-01828"/>
    <n v="45500"/>
    <n v="18782.400000000001"/>
    <x v="11"/>
    <s v="Apparel"/>
    <s v="Corporate"/>
    <n v="42"/>
    <s v="North"/>
    <x v="10"/>
  </r>
  <r>
    <s v="ORD-01829"/>
    <n v="45370"/>
    <n v="13047.9"/>
    <x v="7"/>
    <s v="Grocery"/>
    <s v="Retail"/>
    <n v="54"/>
    <s v="East"/>
    <x v="2"/>
  </r>
  <r>
    <s v="ORD-01830"/>
    <n v="45521"/>
    <n v="4513.08"/>
    <x v="14"/>
    <s v="Sports"/>
    <s v="SMB"/>
    <n v="29"/>
    <s v="West"/>
    <x v="7"/>
  </r>
  <r>
    <s v="ORD-01831"/>
    <n v="45481"/>
    <n v="2118.88"/>
    <x v="7"/>
    <s v="Apparel"/>
    <s v="Retail"/>
    <n v="43"/>
    <s v="East"/>
    <x v="10"/>
  </r>
  <r>
    <s v="ORD-01832"/>
    <n v="45633"/>
    <n v="15358.2"/>
    <x v="10"/>
    <s v="Sports"/>
    <s v="Retail"/>
    <n v="46"/>
    <s v="North"/>
    <x v="8"/>
  </r>
  <r>
    <s v="ORD-01833"/>
    <n v="45305"/>
    <n v="2208.8000000000002"/>
    <x v="16"/>
    <s v="Apparel"/>
    <s v="Retail"/>
    <n v="37"/>
    <s v="East"/>
    <x v="11"/>
  </r>
  <r>
    <s v="ORD-01834"/>
    <n v="45593"/>
    <n v="7710.72"/>
    <x v="16"/>
    <s v="Apparel"/>
    <s v="SMB"/>
    <n v="59"/>
    <s v="East"/>
    <x v="9"/>
  </r>
  <r>
    <s v="ORD-01835"/>
    <n v="45555"/>
    <n v="6120.96"/>
    <x v="1"/>
    <s v="Beauty"/>
    <s v="Retail"/>
    <n v="49"/>
    <s v="North"/>
    <x v="0"/>
  </r>
  <r>
    <s v="ORD-01836"/>
    <n v="45406"/>
    <n v="12319.56"/>
    <x v="9"/>
    <s v="Home"/>
    <s v="SMB"/>
    <n v="39"/>
    <s v="South"/>
    <x v="5"/>
  </r>
  <r>
    <s v="ORD-01837"/>
    <n v="45647"/>
    <n v="3604.36"/>
    <x v="3"/>
    <s v="Apparel"/>
    <s v="Retail"/>
    <n v="54"/>
    <s v="North"/>
    <x v="8"/>
  </r>
  <r>
    <s v="ORD-01838"/>
    <n v="45386"/>
    <n v="781.46"/>
    <x v="23"/>
    <s v="Apparel"/>
    <s v="Retail"/>
    <n v="63"/>
    <s v="South"/>
    <x v="5"/>
  </r>
  <r>
    <s v="ORD-01839"/>
    <n v="45453"/>
    <n v="1560.6"/>
    <x v="26"/>
    <s v="Electronics"/>
    <s v="SMB"/>
    <n v="22"/>
    <s v="East"/>
    <x v="6"/>
  </r>
  <r>
    <s v="ORD-01840"/>
    <n v="45492"/>
    <n v="12622.8"/>
    <x v="29"/>
    <s v="Beauty"/>
    <s v="Retail"/>
    <n v="36"/>
    <s v="South"/>
    <x v="10"/>
  </r>
  <r>
    <s v="ORD-01841"/>
    <n v="45605"/>
    <n v="7839"/>
    <x v="5"/>
    <s v="Home"/>
    <s v="Retail"/>
    <n v="62"/>
    <s v="West"/>
    <x v="4"/>
  </r>
  <r>
    <s v="ORD-01842"/>
    <n v="45344"/>
    <n v="12787.5"/>
    <x v="28"/>
    <s v="Beauty"/>
    <s v="SMB"/>
    <n v="46"/>
    <s v="West"/>
    <x v="1"/>
  </r>
  <r>
    <s v="ORD-01843"/>
    <n v="45506"/>
    <n v="2183.8000000000002"/>
    <x v="17"/>
    <s v="Electronics"/>
    <s v="Retail"/>
    <n v="32"/>
    <s v="West"/>
    <x v="7"/>
  </r>
  <r>
    <s v="ORD-01844"/>
    <n v="45521"/>
    <n v="6357.12"/>
    <x v="17"/>
    <s v="Beauty"/>
    <s v="Retail"/>
    <n v="46"/>
    <s v="West"/>
    <x v="7"/>
  </r>
  <r>
    <s v="ORD-01845"/>
    <n v="45389"/>
    <n v="12136.56"/>
    <x v="2"/>
    <s v="Beauty"/>
    <s v="SMB"/>
    <n v="43"/>
    <s v="South"/>
    <x v="5"/>
  </r>
  <r>
    <s v="ORD-01846"/>
    <n v="45390"/>
    <n v="9942.6"/>
    <x v="8"/>
    <s v="Grocery"/>
    <s v="SMB"/>
    <n v="59"/>
    <s v="West"/>
    <x v="5"/>
  </r>
  <r>
    <s v="ORD-01847"/>
    <n v="45413"/>
    <n v="901.43"/>
    <x v="8"/>
    <s v="Home"/>
    <s v="Retail"/>
    <n v="44"/>
    <s v="West"/>
    <x v="3"/>
  </r>
  <r>
    <s v="ORD-01848"/>
    <n v="45535"/>
    <n v="40274.239999999998"/>
    <x v="20"/>
    <s v="Home"/>
    <s v="Retail"/>
    <n v="28"/>
    <s v="West"/>
    <x v="7"/>
  </r>
  <r>
    <s v="ORD-01849"/>
    <n v="45569"/>
    <n v="31979.57"/>
    <x v="21"/>
    <s v="Home"/>
    <s v="SMB"/>
    <n v="59"/>
    <s v="East"/>
    <x v="9"/>
  </r>
  <r>
    <s v="ORD-01850"/>
    <n v="45527"/>
    <n v="2708.94"/>
    <x v="8"/>
    <s v="Beauty"/>
    <s v="SMB"/>
    <n v="65"/>
    <s v="West"/>
    <x v="7"/>
  </r>
  <r>
    <s v="ORD-01851"/>
    <n v="45453"/>
    <n v="10473.780000000001"/>
    <x v="8"/>
    <s v="Grocery"/>
    <s v="Retail"/>
    <n v="43"/>
    <s v="West"/>
    <x v="6"/>
  </r>
  <r>
    <s v="ORD-01852"/>
    <n v="45605"/>
    <n v="17362.62"/>
    <x v="9"/>
    <s v="Grocery"/>
    <s v="SMB"/>
    <n v="39"/>
    <s v="South"/>
    <x v="4"/>
  </r>
  <r>
    <s v="ORD-01853"/>
    <n v="45650"/>
    <n v="4959.3"/>
    <x v="21"/>
    <s v="Electronics"/>
    <s v="Corporate"/>
    <n v="34"/>
    <s v="East"/>
    <x v="8"/>
  </r>
  <r>
    <s v="ORD-01854"/>
    <n v="45412"/>
    <n v="19205.12"/>
    <x v="6"/>
    <s v="Apparel"/>
    <s v="Retail"/>
    <n v="23"/>
    <s v="West"/>
    <x v="5"/>
  </r>
  <r>
    <s v="ORD-01855"/>
    <n v="45554"/>
    <n v="18338.32"/>
    <x v="0"/>
    <s v="Sports"/>
    <s v="Corporate"/>
    <n v="37"/>
    <s v="North"/>
    <x v="0"/>
  </r>
  <r>
    <s v="ORD-01856"/>
    <n v="45365"/>
    <n v="3163.86"/>
    <x v="6"/>
    <s v="Grocery"/>
    <s v="Retail"/>
    <n v="31"/>
    <s v="West"/>
    <x v="2"/>
  </r>
  <r>
    <s v="ORD-01857"/>
    <n v="45504"/>
    <n v="15323.88"/>
    <x v="5"/>
    <s v="Sports"/>
    <s v="Corporate"/>
    <n v="29"/>
    <s v="West"/>
    <x v="10"/>
  </r>
  <r>
    <s v="ORD-01858"/>
    <n v="45652"/>
    <n v="5709.6"/>
    <x v="28"/>
    <s v="Sports"/>
    <s v="SMB"/>
    <n v="29"/>
    <s v="West"/>
    <x v="8"/>
  </r>
  <r>
    <s v="ORD-01859"/>
    <n v="45330"/>
    <n v="14794.08"/>
    <x v="5"/>
    <s v="Grocery"/>
    <s v="Retail"/>
    <n v="54"/>
    <s v="West"/>
    <x v="1"/>
  </r>
  <r>
    <s v="ORD-01860"/>
    <n v="45533"/>
    <n v="27524.7"/>
    <x v="3"/>
    <s v="Beauty"/>
    <s v="Retail"/>
    <n v="29"/>
    <s v="North"/>
    <x v="7"/>
  </r>
  <r>
    <s v="ORD-01861"/>
    <n v="45463"/>
    <n v="1778.7"/>
    <x v="15"/>
    <s v="Electronics"/>
    <s v="Corporate"/>
    <n v="29"/>
    <s v="South"/>
    <x v="6"/>
  </r>
  <r>
    <s v="ORD-01862"/>
    <n v="45428"/>
    <n v="14352"/>
    <x v="9"/>
    <s v="Sports"/>
    <s v="SMB"/>
    <n v="27"/>
    <s v="South"/>
    <x v="3"/>
  </r>
  <r>
    <s v="ORD-01863"/>
    <n v="45634"/>
    <n v="9804.08"/>
    <x v="2"/>
    <s v="Sports"/>
    <s v="Retail"/>
    <n v="35"/>
    <s v="South"/>
    <x v="8"/>
  </r>
  <r>
    <s v="ORD-01864"/>
    <n v="45627"/>
    <n v="12223.68"/>
    <x v="19"/>
    <s v="Apparel"/>
    <s v="Retail"/>
    <n v="44"/>
    <s v="North"/>
    <x v="8"/>
  </r>
  <r>
    <s v="ORD-01865"/>
    <n v="45429"/>
    <n v="8414.8799999999992"/>
    <x v="8"/>
    <s v="Home"/>
    <s v="Corporate"/>
    <n v="51"/>
    <s v="West"/>
    <x v="3"/>
  </r>
  <r>
    <s v="ORD-01866"/>
    <n v="45648"/>
    <n v="7202.44"/>
    <x v="25"/>
    <s v="Grocery"/>
    <s v="Retail"/>
    <n v="38"/>
    <s v="North"/>
    <x v="8"/>
  </r>
  <r>
    <s v="ORD-01867"/>
    <n v="45295"/>
    <n v="10057.68"/>
    <x v="26"/>
    <s v="Beauty"/>
    <s v="Retail"/>
    <n v="28"/>
    <s v="East"/>
    <x v="11"/>
  </r>
  <r>
    <s v="ORD-01868"/>
    <n v="45418"/>
    <n v="5850.42"/>
    <x v="22"/>
    <s v="Sports"/>
    <s v="Retail"/>
    <n v="60"/>
    <s v="South"/>
    <x v="3"/>
  </r>
  <r>
    <s v="ORD-01869"/>
    <n v="45623"/>
    <n v="9164.61"/>
    <x v="18"/>
    <s v="Home"/>
    <s v="Retail"/>
    <n v="61"/>
    <s v="South"/>
    <x v="4"/>
  </r>
  <r>
    <s v="ORD-01870"/>
    <n v="45528"/>
    <n v="26110"/>
    <x v="25"/>
    <s v="Home"/>
    <s v="Retail"/>
    <n v="26"/>
    <s v="North"/>
    <x v="7"/>
  </r>
  <r>
    <s v="ORD-01871"/>
    <n v="45644"/>
    <n v="19684.98"/>
    <x v="15"/>
    <s v="Grocery"/>
    <s v="Retail"/>
    <n v="62"/>
    <s v="South"/>
    <x v="8"/>
  </r>
  <r>
    <s v="ORD-01872"/>
    <n v="45475"/>
    <n v="5909.76"/>
    <x v="25"/>
    <s v="Home"/>
    <s v="Retail"/>
    <n v="44"/>
    <s v="North"/>
    <x v="10"/>
  </r>
  <r>
    <s v="ORD-01712"/>
    <n v="45401"/>
    <n v="2319.4499999999998"/>
    <x v="22"/>
    <s v="Sports"/>
    <s v="Retail"/>
    <n v="22"/>
    <s v="South"/>
    <x v="5"/>
  </r>
  <r>
    <s v="ORD-01874"/>
    <n v="45516"/>
    <n v="1286.1199999999999"/>
    <x v="17"/>
    <s v="Home"/>
    <s v="Retail"/>
    <n v="54"/>
    <s v="West"/>
    <x v="7"/>
  </r>
  <r>
    <s v="ORD-01875"/>
    <n v="45517"/>
    <n v="19399.240000000002"/>
    <x v="0"/>
    <s v="Apparel"/>
    <s v="SMB"/>
    <n v="65"/>
    <s v="North"/>
    <x v="7"/>
  </r>
  <r>
    <s v="ORD-01876"/>
    <n v="45645"/>
    <n v="13528"/>
    <x v="6"/>
    <s v="Apparel"/>
    <s v="Retail"/>
    <n v="59"/>
    <s v="West"/>
    <x v="8"/>
  </r>
  <r>
    <s v="ORD-01877"/>
    <n v="45417"/>
    <n v="9683.1"/>
    <x v="13"/>
    <s v="Home"/>
    <s v="SMB"/>
    <n v="64"/>
    <s v="East"/>
    <x v="3"/>
  </r>
  <r>
    <s v="ORD-01878"/>
    <n v="45351"/>
    <n v="10388.4"/>
    <x v="26"/>
    <s v="Electronics"/>
    <s v="Corporate"/>
    <n v="35"/>
    <s v="East"/>
    <x v="1"/>
  </r>
  <r>
    <s v="ORD-01879"/>
    <n v="45629"/>
    <n v="7645.36"/>
    <x v="25"/>
    <s v="Grocery"/>
    <s v="Retail"/>
    <n v="37"/>
    <s v="North"/>
    <x v="8"/>
  </r>
  <r>
    <s v="ORD-01880"/>
    <n v="45588"/>
    <n v="270.10000000000002"/>
    <x v="25"/>
    <s v="Home"/>
    <s v="Retail"/>
    <n v="44"/>
    <s v="North"/>
    <x v="9"/>
  </r>
  <r>
    <s v="ORD-01881"/>
    <n v="45366"/>
    <n v="44798.400000000001"/>
    <x v="21"/>
    <s v="Beauty"/>
    <s v="SMB"/>
    <n v="55"/>
    <s v="East"/>
    <x v="2"/>
  </r>
  <r>
    <s v="ORD-01882"/>
    <n v="45322"/>
    <n v="1804.86"/>
    <x v="12"/>
    <s v="Home"/>
    <s v="Retail"/>
    <n v="22"/>
    <s v="East"/>
    <x v="11"/>
  </r>
  <r>
    <s v="ORD-01883"/>
    <n v="45465"/>
    <n v="4562.88"/>
    <x v="10"/>
    <s v="Grocery"/>
    <s v="SMB"/>
    <n v="24"/>
    <s v="North"/>
    <x v="6"/>
  </r>
  <r>
    <s v="ORD-01884"/>
    <n v="45622"/>
    <n v="6066.45"/>
    <x v="20"/>
    <s v="Grocery"/>
    <s v="Unknown"/>
    <s v=""/>
    <s v="West"/>
    <x v="4"/>
  </r>
  <r>
    <s v="ORD-01885"/>
    <n v="45457"/>
    <n v="1324.95"/>
    <x v="25"/>
    <s v="Beauty"/>
    <s v="Corporate"/>
    <n v="27"/>
    <s v="North"/>
    <x v="6"/>
  </r>
  <r>
    <s v="ORD-01886"/>
    <n v="45480"/>
    <n v="32028.1"/>
    <x v="11"/>
    <s v="Sports"/>
    <s v="Retail"/>
    <n v="65"/>
    <s v="North"/>
    <x v="10"/>
  </r>
  <r>
    <s v="ORD-01887"/>
    <n v="45392"/>
    <n v="4172.4799999999996"/>
    <x v="24"/>
    <s v="Grocery"/>
    <s v="Corporate"/>
    <n v="29"/>
    <s v="East"/>
    <x v="5"/>
  </r>
  <r>
    <s v="ORD-01888"/>
    <n v="45380"/>
    <n v="22674.6"/>
    <x v="2"/>
    <s v="Electronics"/>
    <s v="SMB"/>
    <n v="60"/>
    <s v="South"/>
    <x v="2"/>
  </r>
  <r>
    <s v="ORD-01889"/>
    <n v="45494"/>
    <n v="22940.82"/>
    <x v="11"/>
    <s v="Sports"/>
    <s v="Retail"/>
    <n v="35"/>
    <s v="North"/>
    <x v="10"/>
  </r>
  <r>
    <s v="ORD-01890"/>
    <n v="45621"/>
    <n v="8006.4"/>
    <x v="22"/>
    <s v="Sports"/>
    <s v="Corporate"/>
    <n v="55"/>
    <s v="South"/>
    <x v="4"/>
  </r>
  <r>
    <s v="ORD-01891"/>
    <n v="45603"/>
    <n v="2283"/>
    <x v="1"/>
    <s v="Electronics"/>
    <s v="Retail"/>
    <n v="25"/>
    <s v="North"/>
    <x v="4"/>
  </r>
  <r>
    <s v="ORD-01892"/>
    <n v="45640"/>
    <n v="3605.1"/>
    <x v="9"/>
    <s v="Grocery"/>
    <s v="Corporate"/>
    <n v="55"/>
    <s v="South"/>
    <x v="8"/>
  </r>
  <r>
    <s v="ORD-01893"/>
    <n v="45534"/>
    <n v="24281.1"/>
    <x v="23"/>
    <s v="Sports"/>
    <s v="Retail"/>
    <n v="42"/>
    <s v="South"/>
    <x v="7"/>
  </r>
  <r>
    <s v="ORD-01894"/>
    <n v="45410"/>
    <n v="29083.5"/>
    <x v="0"/>
    <s v="Apparel"/>
    <s v="SMB"/>
    <n v="65"/>
    <s v="North"/>
    <x v="5"/>
  </r>
  <r>
    <s v="ORD-01895"/>
    <n v="45412"/>
    <n v="7260.88"/>
    <x v="4"/>
    <s v="Grocery"/>
    <s v="Corporate"/>
    <n v="46"/>
    <s v="North"/>
    <x v="5"/>
  </r>
  <r>
    <s v="ORD-01896"/>
    <n v="45372"/>
    <n v="12534.48"/>
    <x v="12"/>
    <s v="Sports"/>
    <s v="SMB"/>
    <n v="62"/>
    <s v="East"/>
    <x v="2"/>
  </r>
  <r>
    <s v="ORD-01897"/>
    <n v="45622"/>
    <n v="2691"/>
    <x v="10"/>
    <s v="Grocery"/>
    <s v="Retail"/>
    <n v="35"/>
    <s v="North"/>
    <x v="4"/>
  </r>
  <r>
    <s v="ORD-01898"/>
    <n v="45493"/>
    <n v="8686.4"/>
    <x v="14"/>
    <s v="Beauty"/>
    <s v="Corporate"/>
    <n v="32"/>
    <s v="West"/>
    <x v="10"/>
  </r>
  <r>
    <s v="ORD-01899"/>
    <n v="45580"/>
    <n v="17064.599999999999"/>
    <x v="24"/>
    <s v="Grocery"/>
    <s v="Retail"/>
    <n v="52"/>
    <s v="East"/>
    <x v="9"/>
  </r>
  <r>
    <s v="ORD-01900"/>
    <n v="45449"/>
    <n v="6107.43"/>
    <x v="11"/>
    <s v="Beauty"/>
    <s v="Corporate"/>
    <n v="31"/>
    <s v="North"/>
    <x v="6"/>
  </r>
  <r>
    <s v="ORD-01901"/>
    <n v="45417"/>
    <n v="13827.6"/>
    <x v="10"/>
    <s v="Grocery"/>
    <s v="Corporate"/>
    <n v="32"/>
    <s v="North"/>
    <x v="3"/>
  </r>
  <r>
    <s v="ORD-01902"/>
    <n v="45523"/>
    <n v="15732.5"/>
    <x v="28"/>
    <s v="Grocery"/>
    <s v="Retail"/>
    <n v="49"/>
    <s v="West"/>
    <x v="7"/>
  </r>
  <r>
    <s v="ORD-01903"/>
    <n v="45367"/>
    <n v="18627.84"/>
    <x v="3"/>
    <s v="Electronics"/>
    <s v="Retail"/>
    <n v="28"/>
    <s v="North"/>
    <x v="2"/>
  </r>
  <r>
    <s v="ORD-01904"/>
    <n v="45309"/>
    <n v="8261.1200000000008"/>
    <x v="1"/>
    <s v="Home"/>
    <s v="Retail"/>
    <n v="36"/>
    <s v="North"/>
    <x v="11"/>
  </r>
  <r>
    <s v="ORD-01905"/>
    <n v="45383"/>
    <n v="10276.5"/>
    <x v="8"/>
    <s v="Grocery"/>
    <s v="Corporate"/>
    <n v="29"/>
    <s v="West"/>
    <x v="5"/>
  </r>
  <r>
    <s v="ORD-01906"/>
    <n v="45420"/>
    <n v="6939.4"/>
    <x v="23"/>
    <s v="Grocery"/>
    <s v="SMB"/>
    <n v="29"/>
    <s v="South"/>
    <x v="3"/>
  </r>
  <r>
    <s v="ORD-01907"/>
    <n v="45400"/>
    <n v="4689.18"/>
    <x v="22"/>
    <s v="Home"/>
    <s v="SMB"/>
    <n v="44"/>
    <s v="South"/>
    <x v="5"/>
  </r>
  <r>
    <s v="ORD-01908"/>
    <n v="45625"/>
    <n v="2870.46"/>
    <x v="11"/>
    <s v="Home"/>
    <s v="Retail"/>
    <n v="44"/>
    <s v="North"/>
    <x v="4"/>
  </r>
  <r>
    <s v="ORD-01909"/>
    <n v="45555"/>
    <n v="34629"/>
    <x v="5"/>
    <s v="Electronics"/>
    <s v="Retail"/>
    <n v="57"/>
    <s v="West"/>
    <x v="0"/>
  </r>
  <r>
    <s v="ORD-01910"/>
    <n v="45509"/>
    <n v="25902.5"/>
    <x v="29"/>
    <s v="Home"/>
    <s v="Retail"/>
    <n v="42"/>
    <s v="South"/>
    <x v="7"/>
  </r>
  <r>
    <s v="ORD-01911"/>
    <n v="45436"/>
    <n v="14469"/>
    <x v="8"/>
    <s v="Home"/>
    <s v="Corporate"/>
    <n v="62"/>
    <s v="West"/>
    <x v="3"/>
  </r>
  <r>
    <s v="ORD-01912"/>
    <n v="45610"/>
    <n v="6134.4"/>
    <x v="6"/>
    <s v="Sports"/>
    <s v="Retail"/>
    <n v="49"/>
    <s v="West"/>
    <x v="4"/>
  </r>
  <r>
    <s v="ORD-01913"/>
    <n v="45535"/>
    <n v="43228.800000000003"/>
    <x v="15"/>
    <s v="Beauty"/>
    <s v="SMB"/>
    <n v="38"/>
    <s v="South"/>
    <x v="7"/>
  </r>
  <r>
    <s v="ORD-01914"/>
    <n v="45366"/>
    <n v="23925.9"/>
    <x v="16"/>
    <s v="Home"/>
    <s v="Retail"/>
    <n v="34"/>
    <s v="East"/>
    <x v="2"/>
  </r>
  <r>
    <s v="ORD-01915"/>
    <n v="45446"/>
    <n v="26527.759999999998"/>
    <x v="13"/>
    <s v="Home"/>
    <s v="Corporate"/>
    <n v="34"/>
    <s v="East"/>
    <x v="6"/>
  </r>
  <r>
    <s v="ORD-01916"/>
    <n v="45550"/>
    <n v="16381.5"/>
    <x v="21"/>
    <s v="Beauty"/>
    <s v="Retail"/>
    <n v="65"/>
    <s v="East"/>
    <x v="0"/>
  </r>
  <r>
    <s v="ORD-01917"/>
    <n v="45600"/>
    <n v="3262.14"/>
    <x v="2"/>
    <s v="Grocery"/>
    <s v="Retail"/>
    <n v="55"/>
    <s v="South"/>
    <x v="4"/>
  </r>
  <r>
    <s v="ORD-01918"/>
    <n v="45352"/>
    <n v="17255.68"/>
    <x v="16"/>
    <s v="Beauty"/>
    <s v="Corporate"/>
    <n v="55"/>
    <s v="East"/>
    <x v="2"/>
  </r>
  <r>
    <s v="ORD-01919"/>
    <n v="45385"/>
    <n v="11597.4"/>
    <x v="20"/>
    <s v="Beauty"/>
    <s v="Corporate"/>
    <n v="41"/>
    <s v="West"/>
    <x v="5"/>
  </r>
  <r>
    <s v="ORD-01920"/>
    <n v="45634"/>
    <n v="12674.9"/>
    <x v="12"/>
    <s v="Electronics"/>
    <s v="Retail"/>
    <n v="27"/>
    <s v="East"/>
    <x v="8"/>
  </r>
  <r>
    <s v="ORD-01921"/>
    <n v="45444"/>
    <n v="23562"/>
    <x v="21"/>
    <s v="Grocery"/>
    <s v="SMB"/>
    <n v="28"/>
    <s v="East"/>
    <x v="6"/>
  </r>
  <r>
    <s v="ORD-01922"/>
    <n v="45553"/>
    <n v="40757.760000000002"/>
    <x v="25"/>
    <s v="Beauty"/>
    <s v="Retail"/>
    <n v="36"/>
    <s v="North"/>
    <x v="0"/>
  </r>
  <r>
    <s v="ORD-01923"/>
    <n v="45411"/>
    <n v="3159.31"/>
    <x v="2"/>
    <s v="Home"/>
    <s v="SMB"/>
    <n v="25"/>
    <s v="South"/>
    <x v="5"/>
  </r>
  <r>
    <s v="ORD-01924"/>
    <n v="45442"/>
    <n v="36779.4"/>
    <x v="11"/>
    <s v="Sports"/>
    <s v="Retail"/>
    <n v="27"/>
    <s v="North"/>
    <x v="3"/>
  </r>
  <r>
    <s v="ORD-01925"/>
    <n v="45381"/>
    <n v="5574.8"/>
    <x v="12"/>
    <s v="Apparel"/>
    <s v="SMB"/>
    <n v="51"/>
    <s v="East"/>
    <x v="2"/>
  </r>
  <r>
    <s v="ORD-01926"/>
    <n v="45536"/>
    <n v="36621.72"/>
    <x v="13"/>
    <s v="Home"/>
    <s v="Retail"/>
    <n v="33"/>
    <s v="East"/>
    <x v="0"/>
  </r>
  <r>
    <s v="ORD-01927"/>
    <n v="45561"/>
    <n v="6728.4"/>
    <x v="6"/>
    <s v="Apparel"/>
    <s v="SMB"/>
    <n v="28"/>
    <s v="West"/>
    <x v="0"/>
  </r>
  <r>
    <s v="ORD-01928"/>
    <n v="45349"/>
    <n v="4510.5"/>
    <x v="19"/>
    <s v="Grocery"/>
    <s v="Retail"/>
    <n v="37"/>
    <s v="North"/>
    <x v="1"/>
  </r>
  <r>
    <s v="ORD-01929"/>
    <n v="45650"/>
    <n v="28612.35"/>
    <x v="2"/>
    <s v="Beauty"/>
    <s v="Retail"/>
    <n v="49"/>
    <s v="South"/>
    <x v="8"/>
  </r>
  <r>
    <s v="ORD-01930"/>
    <n v="45525"/>
    <n v="1824.84"/>
    <x v="23"/>
    <s v="Home"/>
    <s v="Unknown"/>
    <s v=""/>
    <s v="South"/>
    <x v="7"/>
  </r>
  <r>
    <s v="ORD-01931"/>
    <n v="45365"/>
    <n v="6237.96"/>
    <x v="23"/>
    <s v="Grocery"/>
    <s v="Corporate"/>
    <n v="55"/>
    <s v="South"/>
    <x v="2"/>
  </r>
  <r>
    <s v="ORD-01932"/>
    <n v="45464"/>
    <n v="9604.7999999999993"/>
    <x v="13"/>
    <s v="Sports"/>
    <s v="Corporate"/>
    <n v="41"/>
    <s v="East"/>
    <x v="6"/>
  </r>
  <r>
    <s v="ORD-01933"/>
    <n v="45633"/>
    <n v="7471.98"/>
    <x v="4"/>
    <s v="Sports"/>
    <s v="Retail"/>
    <n v="29"/>
    <s v="North"/>
    <x v="8"/>
  </r>
  <r>
    <s v="ORD-01934"/>
    <n v="45373"/>
    <n v="16181.1"/>
    <x v="11"/>
    <s v="Home"/>
    <s v="Retail"/>
    <n v="33"/>
    <s v="North"/>
    <x v="2"/>
  </r>
  <r>
    <s v="ORD-01935"/>
    <n v="45497"/>
    <n v="1822.62"/>
    <x v="11"/>
    <s v="Home"/>
    <s v="Retail"/>
    <n v="59"/>
    <s v="North"/>
    <x v="10"/>
  </r>
  <r>
    <s v="ORD-01936"/>
    <n v="45352"/>
    <n v="12337.92"/>
    <x v="17"/>
    <s v="Grocery"/>
    <s v="Corporate"/>
    <n v="24"/>
    <s v="West"/>
    <x v="2"/>
  </r>
  <r>
    <s v="ORD-01937"/>
    <n v="45379"/>
    <n v="4896"/>
    <x v="12"/>
    <s v="Beauty"/>
    <s v="SMB"/>
    <n v="40"/>
    <s v="East"/>
    <x v="2"/>
  </r>
  <r>
    <s v="ORD-01938"/>
    <n v="45422"/>
    <n v="2525.7600000000002"/>
    <x v="25"/>
    <s v="Sports"/>
    <s v="Retail"/>
    <n v="48"/>
    <s v="North"/>
    <x v="3"/>
  </r>
  <r>
    <s v="ORD-01939"/>
    <n v="45413"/>
    <n v="4088.28"/>
    <x v="20"/>
    <s v="Apparel"/>
    <s v="Retail"/>
    <n v="65"/>
    <s v="West"/>
    <x v="3"/>
  </r>
  <r>
    <s v="ORD-01940"/>
    <n v="45467"/>
    <n v="915.84"/>
    <x v="16"/>
    <s v="Sports"/>
    <s v="Retail"/>
    <n v="54"/>
    <s v="East"/>
    <x v="6"/>
  </r>
  <r>
    <s v="ORD-01941"/>
    <n v="45520"/>
    <n v="11964.6"/>
    <x v="8"/>
    <s v="Beauty"/>
    <s v="Retail"/>
    <n v="57"/>
    <s v="West"/>
    <x v="7"/>
  </r>
  <r>
    <s v="ORD-01942"/>
    <n v="45626"/>
    <n v="26275.200000000001"/>
    <x v="7"/>
    <s v="Apparel"/>
    <s v="SMB"/>
    <n v="43"/>
    <s v="East"/>
    <x v="4"/>
  </r>
  <r>
    <s v="ORD-01943"/>
    <n v="45452"/>
    <n v="2435.6999999999998"/>
    <x v="7"/>
    <s v="Beauty"/>
    <s v="SMB"/>
    <n v="65"/>
    <s v="East"/>
    <x v="6"/>
  </r>
  <r>
    <s v="ORD-01944"/>
    <n v="45529"/>
    <n v="5824.5"/>
    <x v="6"/>
    <s v="Beauty"/>
    <s v="Retail"/>
    <n v="65"/>
    <s v="West"/>
    <x v="7"/>
  </r>
  <r>
    <s v="ORD-01945"/>
    <n v="45639"/>
    <n v="6110.56"/>
    <x v="18"/>
    <s v="Apparel"/>
    <s v="SMB"/>
    <n v="29"/>
    <s v="South"/>
    <x v="8"/>
  </r>
  <r>
    <s v="ORD-01946"/>
    <n v="45592"/>
    <n v="676.8"/>
    <x v="27"/>
    <s v="Electronics"/>
    <s v="Retail"/>
    <n v="52"/>
    <s v="South"/>
    <x v="9"/>
  </r>
  <r>
    <s v="ORD-01947"/>
    <n v="45338"/>
    <n v="3257.1"/>
    <x v="19"/>
    <s v="Beauty"/>
    <s v="SMB"/>
    <n v="55"/>
    <s v="North"/>
    <x v="1"/>
  </r>
  <r>
    <s v="ORD-01948"/>
    <n v="45551"/>
    <n v="21451.5"/>
    <x v="7"/>
    <s v="Grocery"/>
    <s v="Retail"/>
    <n v="27"/>
    <s v="East"/>
    <x v="0"/>
  </r>
  <r>
    <s v="ORD-01949"/>
    <n v="45350"/>
    <n v="5686.56"/>
    <x v="4"/>
    <s v="Electronics"/>
    <s v="SMB"/>
    <n v="59"/>
    <s v="North"/>
    <x v="1"/>
  </r>
  <r>
    <s v="ORD-01950"/>
    <n v="45507"/>
    <n v="19562.400000000001"/>
    <x v="15"/>
    <s v="Electronics"/>
    <s v="Retail"/>
    <n v="44"/>
    <s v="South"/>
    <x v="7"/>
  </r>
  <r>
    <s v="ORD-01951"/>
    <n v="45538"/>
    <n v="2717"/>
    <x v="14"/>
    <s v="Electronics"/>
    <s v="Retail"/>
    <n v="53"/>
    <s v="West"/>
    <x v="0"/>
  </r>
  <r>
    <s v="ORD-01952"/>
    <n v="45618"/>
    <n v="15315.3"/>
    <x v="16"/>
    <s v="Electronics"/>
    <s v="SMB"/>
    <n v="30"/>
    <s v="East"/>
    <x v="4"/>
  </r>
  <r>
    <s v="ORD-01953"/>
    <n v="45444"/>
    <n v="3295.11"/>
    <x v="6"/>
    <s v="Electronics"/>
    <s v="Retail"/>
    <n v="30"/>
    <s v="West"/>
    <x v="6"/>
  </r>
  <r>
    <s v="ORD-01954"/>
    <n v="45377"/>
    <n v="30685.23"/>
    <x v="14"/>
    <s v="Electronics"/>
    <s v="SMB"/>
    <n v="43"/>
    <s v="West"/>
    <x v="2"/>
  </r>
  <r>
    <s v="ORD-01955"/>
    <n v="45515"/>
    <n v="28662.2"/>
    <x v="2"/>
    <s v="Sports"/>
    <s v="SMB"/>
    <n v="26"/>
    <s v="South"/>
    <x v="7"/>
  </r>
  <r>
    <s v="ORD-01956"/>
    <n v="45312"/>
    <n v="2040.18"/>
    <x v="17"/>
    <s v="Home"/>
    <s v="Retail"/>
    <n v="53"/>
    <s v="West"/>
    <x v="11"/>
  </r>
  <r>
    <s v="ORD-01957"/>
    <n v="45549"/>
    <n v="21844.16"/>
    <x v="28"/>
    <s v="Apparel"/>
    <s v="Corporate"/>
    <n v="55"/>
    <s v="West"/>
    <x v="0"/>
  </r>
  <r>
    <s v="ORD-01958"/>
    <n v="45633"/>
    <n v="4748.24"/>
    <x v="8"/>
    <s v="Electronics"/>
    <s v="Retail"/>
    <n v="44"/>
    <s v="West"/>
    <x v="8"/>
  </r>
  <r>
    <s v="ORD-01959"/>
    <n v="45598"/>
    <n v="35978.800000000003"/>
    <x v="16"/>
    <s v="Grocery"/>
    <s v="Retail"/>
    <n v="24"/>
    <s v="East"/>
    <x v="4"/>
  </r>
  <r>
    <s v="ORD-01960"/>
    <n v="45336"/>
    <n v="26059.200000000001"/>
    <x v="7"/>
    <s v="Grocery"/>
    <s v="Retail"/>
    <n v="63"/>
    <s v="East"/>
    <x v="1"/>
  </r>
  <r>
    <s v="ORD-01961"/>
    <n v="45449"/>
    <n v="22326.6"/>
    <x v="26"/>
    <s v="Home"/>
    <s v="Retail"/>
    <n v="53"/>
    <s v="East"/>
    <x v="6"/>
  </r>
  <r>
    <s v="ORD-01962"/>
    <n v="45338"/>
    <n v="35727.5"/>
    <x v="22"/>
    <s v="Home"/>
    <s v="Retail"/>
    <n v="63"/>
    <s v="South"/>
    <x v="1"/>
  </r>
  <r>
    <s v="ORD-01963"/>
    <n v="45317"/>
    <n v="6783"/>
    <x v="0"/>
    <s v="Electronics"/>
    <s v="Retail"/>
    <n v="27"/>
    <s v="North"/>
    <x v="11"/>
  </r>
  <r>
    <s v="ORD-01964"/>
    <n v="45384"/>
    <n v="15594.6"/>
    <x v="3"/>
    <s v="Apparel"/>
    <s v="SMB"/>
    <n v="48"/>
    <s v="North"/>
    <x v="5"/>
  </r>
  <r>
    <s v="ORD-01965"/>
    <n v="45325"/>
    <n v="2627"/>
    <x v="10"/>
    <s v="Home"/>
    <s v="Retail"/>
    <n v="41"/>
    <s v="North"/>
    <x v="1"/>
  </r>
  <r>
    <s v="ORD-01966"/>
    <n v="45358"/>
    <n v="8675.9"/>
    <x v="4"/>
    <s v="Sports"/>
    <s v="Retail"/>
    <n v="54"/>
    <s v="North"/>
    <x v="2"/>
  </r>
  <r>
    <s v="ORD-01967"/>
    <n v="45586"/>
    <n v="8159.52"/>
    <x v="14"/>
    <s v="Apparel"/>
    <s v="SMB"/>
    <n v="65"/>
    <s v="West"/>
    <x v="9"/>
  </r>
  <r>
    <s v="ORD-01968"/>
    <n v="45340"/>
    <n v="9157.32"/>
    <x v="8"/>
    <s v="Electronics"/>
    <s v="Retail"/>
    <n v="28"/>
    <s v="West"/>
    <x v="1"/>
  </r>
  <r>
    <s v="ORD-01969"/>
    <n v="45343"/>
    <n v="1181.04"/>
    <x v="4"/>
    <s v="Sports"/>
    <s v="Retail"/>
    <n v="42"/>
    <s v="North"/>
    <x v="1"/>
  </r>
  <r>
    <s v="ORD-01970"/>
    <n v="45468"/>
    <n v="1943.24"/>
    <x v="25"/>
    <s v="Sports"/>
    <s v="Corporate"/>
    <n v="24"/>
    <s v="North"/>
    <x v="6"/>
  </r>
  <r>
    <s v="ORD-01971"/>
    <n v="45439"/>
    <n v="7373.6"/>
    <x v="18"/>
    <s v="Electronics"/>
    <s v="Retail"/>
    <n v="57"/>
    <s v="South"/>
    <x v="3"/>
  </r>
  <r>
    <s v="ORD-01972"/>
    <n v="45517"/>
    <n v="23184"/>
    <x v="20"/>
    <s v="Apparel"/>
    <s v="Retail"/>
    <n v="41"/>
    <s v="West"/>
    <x v="7"/>
  </r>
  <r>
    <s v="ORD-01973"/>
    <n v="45311"/>
    <n v="13147.38"/>
    <x v="7"/>
    <s v="Apparel"/>
    <s v="Corporate"/>
    <n v="52"/>
    <s v="East"/>
    <x v="11"/>
  </r>
  <r>
    <s v="ORD-01974"/>
    <n v="45560"/>
    <n v="912"/>
    <x v="28"/>
    <s v="Sports"/>
    <s v="Retail"/>
    <n v="36"/>
    <s v="West"/>
    <x v="0"/>
  </r>
  <r>
    <s v="ORD-01975"/>
    <n v="45529"/>
    <n v="12952.5"/>
    <x v="20"/>
    <s v="Beauty"/>
    <s v="Retail"/>
    <n v="42"/>
    <s v="West"/>
    <x v="7"/>
  </r>
  <r>
    <s v="ORD-01976"/>
    <n v="45344"/>
    <n v="9701.1200000000008"/>
    <x v="18"/>
    <s v="Sports"/>
    <s v="Corporate"/>
    <n v="57"/>
    <s v="South"/>
    <x v="1"/>
  </r>
  <r>
    <s v="ORD-01977"/>
    <n v="45589"/>
    <n v="1209.78"/>
    <x v="8"/>
    <s v="Sports"/>
    <s v="Retail"/>
    <n v="54"/>
    <s v="West"/>
    <x v="9"/>
  </r>
  <r>
    <s v="ORD-01978"/>
    <n v="45469"/>
    <n v="4696.12"/>
    <x v="14"/>
    <s v="Sports"/>
    <s v="Corporate"/>
    <n v="54"/>
    <s v="West"/>
    <x v="6"/>
  </r>
  <r>
    <s v="ORD-01979"/>
    <n v="45407"/>
    <n v="4389.6000000000004"/>
    <x v="26"/>
    <s v="Apparel"/>
    <s v="Retail"/>
    <n v="38"/>
    <s v="East"/>
    <x v="5"/>
  </r>
  <r>
    <s v="ORD-01980"/>
    <n v="45635"/>
    <n v="14372.4"/>
    <x v="3"/>
    <s v="Home"/>
    <s v="SMB"/>
    <n v="44"/>
    <s v="North"/>
    <x v="8"/>
  </r>
  <r>
    <s v="ORD-01981"/>
    <n v="45489"/>
    <n v="19975.5"/>
    <x v="27"/>
    <s v="Beauty"/>
    <s v="SMB"/>
    <n v="44"/>
    <s v="South"/>
    <x v="10"/>
  </r>
  <r>
    <s v="ORD-01982"/>
    <n v="45356"/>
    <n v="13799.5"/>
    <x v="23"/>
    <s v="Electronics"/>
    <s v="Retail"/>
    <n v="61"/>
    <s v="South"/>
    <x v="2"/>
  </r>
  <r>
    <s v="ORD-01983"/>
    <n v="45422"/>
    <n v="701.1"/>
    <x v="21"/>
    <s v="Apparel"/>
    <s v="Retail"/>
    <n v="26"/>
    <s v="East"/>
    <x v="3"/>
  </r>
  <r>
    <s v="ORD-01984"/>
    <n v="45333"/>
    <n v="23960.799999999999"/>
    <x v="12"/>
    <s v="Beauty"/>
    <s v="Corporate"/>
    <n v="55"/>
    <s v="East"/>
    <x v="1"/>
  </r>
  <r>
    <s v="ORD-01985"/>
    <n v="45385"/>
    <n v="19751.599999999999"/>
    <x v="29"/>
    <s v="Beauty"/>
    <s v="Retail"/>
    <n v="36"/>
    <s v="South"/>
    <x v="5"/>
  </r>
  <r>
    <s v="ORD-01986"/>
    <n v="45298"/>
    <n v="16896.240000000002"/>
    <x v="24"/>
    <s v="Apparel"/>
    <s v="Retail"/>
    <n v="32"/>
    <s v="East"/>
    <x v="11"/>
  </r>
  <r>
    <s v="ORD-01987"/>
    <n v="45500"/>
    <n v="37341"/>
    <x v="6"/>
    <s v="Home"/>
    <s v="SMB"/>
    <n v="64"/>
    <s v="West"/>
    <x v="10"/>
  </r>
  <r>
    <s v="ORD-01988"/>
    <n v="45409"/>
    <n v="3696.84"/>
    <x v="10"/>
    <s v="Grocery"/>
    <s v="Retail"/>
    <n v="54"/>
    <s v="North"/>
    <x v="5"/>
  </r>
  <r>
    <s v="ORD-01989"/>
    <n v="45401"/>
    <n v="7121.16"/>
    <x v="17"/>
    <s v="Beauty"/>
    <s v="Retail"/>
    <n v="53"/>
    <s v="West"/>
    <x v="5"/>
  </r>
  <r>
    <s v="ORD-01990"/>
    <n v="45645"/>
    <n v="7717.2"/>
    <x v="3"/>
    <s v="Home"/>
    <s v="Retail"/>
    <n v="32"/>
    <s v="North"/>
    <x v="8"/>
  </r>
  <r>
    <s v="ORD-01991"/>
    <n v="45616"/>
    <n v="18258"/>
    <x v="22"/>
    <s v="Beauty"/>
    <s v="Corporate"/>
    <n v="31"/>
    <s v="South"/>
    <x v="4"/>
  </r>
  <r>
    <s v="ORD-01992"/>
    <n v="45352"/>
    <n v="24360.959999999999"/>
    <x v="4"/>
    <s v="Beauty"/>
    <s v="SMB"/>
    <n v="59"/>
    <s v="North"/>
    <x v="2"/>
  </r>
  <r>
    <s v="ORD-01993"/>
    <n v="45451"/>
    <n v="3864.25"/>
    <x v="28"/>
    <s v="Electronics"/>
    <s v="Retail"/>
    <n v="65"/>
    <s v="West"/>
    <x v="6"/>
  </r>
  <r>
    <s v="ORD-01994"/>
    <n v="45477"/>
    <n v="13456.87"/>
    <x v="20"/>
    <s v="Home"/>
    <s v="SMB"/>
    <n v="39"/>
    <s v="West"/>
    <x v="10"/>
  </r>
  <r>
    <s v="ORD-01995"/>
    <n v="45360"/>
    <n v="23356.2"/>
    <x v="6"/>
    <s v="Beauty"/>
    <s v="Retail"/>
    <n v="42"/>
    <s v="West"/>
    <x v="2"/>
  </r>
  <r>
    <s v="ORD-01996"/>
    <n v="45292"/>
    <n v="19291.560000000001"/>
    <x v="15"/>
    <s v="Home"/>
    <s v="Retail"/>
    <n v="49"/>
    <s v="South"/>
    <x v="11"/>
  </r>
  <r>
    <s v="ORD-01997"/>
    <n v="45585"/>
    <n v="22438.44"/>
    <x v="21"/>
    <s v="Electronics"/>
    <s v="SMB"/>
    <n v="24"/>
    <s v="East"/>
    <x v="9"/>
  </r>
  <r>
    <s v="ORD-01998"/>
    <n v="45592"/>
    <n v="7231.12"/>
    <x v="23"/>
    <s v="Grocery"/>
    <s v="Corporate"/>
    <n v="43"/>
    <s v="South"/>
    <x v="9"/>
  </r>
  <r>
    <s v="ORD-01999"/>
    <n v="45370"/>
    <n v="27428.7"/>
    <x v="4"/>
    <s v="Sports"/>
    <s v="Retail"/>
    <n v="43"/>
    <s v="North"/>
    <x v="2"/>
  </r>
  <r>
    <s v="ORD-02000"/>
    <n v="45325"/>
    <n v="21915.119999999999"/>
    <x v="12"/>
    <s v="Home"/>
    <s v="Retail"/>
    <n v="49"/>
    <s v="Eas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E88B8-29E3-43C3-BDCE-7924766032B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H9" firstHeaderRow="1" firstDataRow="2" firstDataCol="1"/>
  <pivotFields count="8">
    <pivotField showAll="0"/>
    <pivotField showAll="0"/>
    <pivotField dataField="1"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  " fld="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E8D94-CE8A-48CF-9B08-A2B25871DD6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5" firstHeaderRow="1" firstDataRow="2" firstDataCol="1"/>
  <pivotFields count="9">
    <pivotField showAll="0"/>
    <pivotField showAll="0"/>
    <pivotField dataField="1" showAll="0"/>
    <pivotField axis="axisRow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showAll="0"/>
    <pivotField axis="axisCol" numFmtId="14" showAll="0">
      <items count="13">
        <item x="11"/>
        <item x="1"/>
        <item x="2"/>
        <item x="5"/>
        <item x="3"/>
        <item x="6"/>
        <item x="10"/>
        <item x="7"/>
        <item x="0"/>
        <item x="9"/>
        <item x="4"/>
        <item x="8"/>
        <item t="default"/>
      </items>
    </pivotField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Final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workbookViewId="0">
      <selection activeCell="A5" sqref="A5:F5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3003</v>
      </c>
    </row>
    <row r="2" spans="1:8" ht="16.8" x14ac:dyDescent="0.3">
      <c r="A2" s="2" t="s">
        <v>3004</v>
      </c>
    </row>
    <row r="3" spans="1:8" x14ac:dyDescent="0.3">
      <c r="A3" s="3" t="s">
        <v>3005</v>
      </c>
    </row>
    <row r="5" spans="1:8" ht="15.6" x14ac:dyDescent="0.3">
      <c r="A5" s="37" t="s">
        <v>0</v>
      </c>
      <c r="B5" s="34"/>
      <c r="C5" s="34"/>
      <c r="D5" s="34"/>
      <c r="E5" s="34"/>
      <c r="F5" s="34"/>
    </row>
    <row r="6" spans="1:8" x14ac:dyDescent="0.3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6" t="s">
        <v>3006</v>
      </c>
      <c r="B7" s="34"/>
      <c r="C7" s="34"/>
      <c r="D7" s="34"/>
      <c r="E7" s="34"/>
      <c r="F7" s="34"/>
      <c r="G7" s="34"/>
      <c r="H7" s="34"/>
    </row>
    <row r="8" spans="1:8" x14ac:dyDescent="0.3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6"/>
      <c r="B9" s="34"/>
      <c r="C9" s="34"/>
      <c r="D9" s="34"/>
      <c r="E9" s="34"/>
      <c r="F9" s="34"/>
      <c r="G9" s="34"/>
      <c r="H9" s="34"/>
    </row>
    <row r="10" spans="1:8" x14ac:dyDescent="0.3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6" t="s">
        <v>3007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6" t="s">
        <v>3008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6" t="s">
        <v>3009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3010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3011</v>
      </c>
    </row>
    <row r="37" spans="1:4" x14ac:dyDescent="0.3">
      <c r="A37" s="7" t="s">
        <v>44</v>
      </c>
      <c r="B37" s="7" t="s">
        <v>45</v>
      </c>
      <c r="C37" s="8" t="s">
        <v>3012</v>
      </c>
    </row>
    <row r="38" spans="1:4" x14ac:dyDescent="0.3">
      <c r="A38" s="7" t="s">
        <v>46</v>
      </c>
      <c r="B38" s="7" t="s">
        <v>47</v>
      </c>
      <c r="C38" s="8" t="s">
        <v>3013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10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0" t="s">
        <v>3020</v>
      </c>
      <c r="B1" s="39"/>
      <c r="C1" s="39"/>
      <c r="D1" s="39"/>
      <c r="E1" s="39"/>
      <c r="F1" s="39"/>
    </row>
    <row r="2" spans="1:6" x14ac:dyDescent="0.3">
      <c r="A2" s="38" t="s">
        <v>3025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2898</v>
      </c>
      <c r="B4" s="26" t="s">
        <v>2899</v>
      </c>
      <c r="C4" s="26" t="s">
        <v>14</v>
      </c>
      <c r="D4" s="26" t="s">
        <v>2900</v>
      </c>
      <c r="E4" s="26" t="s">
        <v>2901</v>
      </c>
      <c r="F4" s="26" t="s">
        <v>2902</v>
      </c>
    </row>
    <row r="5" spans="1:6" ht="42" customHeight="1" x14ac:dyDescent="0.3">
      <c r="A5" s="27" t="s">
        <v>2903</v>
      </c>
      <c r="B5" s="28" t="s">
        <v>2904</v>
      </c>
      <c r="C5" s="29">
        <v>3</v>
      </c>
      <c r="D5" s="30" t="s">
        <v>2905</v>
      </c>
      <c r="E5" s="31" t="str">
        <f>VLOOKUP("ORD-00234",Orders!A2:C2001,3,FALSE)</f>
        <v>CUST-0173</v>
      </c>
      <c r="F5" s="32" t="s">
        <v>2906</v>
      </c>
    </row>
    <row r="6" spans="1:6" ht="42" customHeight="1" x14ac:dyDescent="0.3">
      <c r="A6" s="27" t="s">
        <v>2907</v>
      </c>
      <c r="B6" s="28" t="s">
        <v>2908</v>
      </c>
      <c r="C6" s="29">
        <v>3</v>
      </c>
      <c r="D6" s="30" t="s">
        <v>2909</v>
      </c>
      <c r="E6" s="31" t="str">
        <f>VLOOKUP(VLOOKUP("ORD-00456",Orders!A2:D2001,4,FALSE),Products!A2:B61,2,FALSE)</f>
        <v>Dumbbells 5kg</v>
      </c>
      <c r="F6" s="32" t="s">
        <v>2910</v>
      </c>
    </row>
    <row r="7" spans="1:6" ht="42" customHeight="1" x14ac:dyDescent="0.3">
      <c r="A7" s="27" t="s">
        <v>2911</v>
      </c>
      <c r="B7" s="28" t="s">
        <v>2912</v>
      </c>
      <c r="C7" s="29">
        <v>3</v>
      </c>
      <c r="D7" s="30" t="s">
        <v>3014</v>
      </c>
      <c r="E7" s="31" t="str">
        <f>INDEX(Sales_Reps!B2:B31,MATCH(VLOOKUP("ORD-00987",Orders!A2:E2001,5,FALSE),Sales_Reps!A2:A31,0))</f>
        <v>Nisha Menon</v>
      </c>
      <c r="F7" s="32" t="s">
        <v>2910</v>
      </c>
    </row>
    <row r="8" spans="1:6" ht="42" customHeight="1" x14ac:dyDescent="0.3">
      <c r="A8" s="27" t="s">
        <v>2913</v>
      </c>
      <c r="B8" s="28" t="s">
        <v>2914</v>
      </c>
      <c r="C8" s="29">
        <v>4</v>
      </c>
      <c r="D8" s="30" t="s">
        <v>2915</v>
      </c>
      <c r="E8" s="31">
        <f>INDEX(Targets!B2:M31,MATCH("R012",Targets!A2:A31,0),MATCH("Mar-24",Targets!B1:M1,0))</f>
        <v>321255</v>
      </c>
      <c r="F8" s="32" t="s">
        <v>2916</v>
      </c>
    </row>
    <row r="9" spans="1:6" ht="42" customHeight="1" x14ac:dyDescent="0.3">
      <c r="A9" s="27" t="s">
        <v>2917</v>
      </c>
      <c r="B9" s="28" t="s">
        <v>2918</v>
      </c>
      <c r="C9" s="29">
        <v>4</v>
      </c>
      <c r="D9" s="30" t="s">
        <v>2919</v>
      </c>
      <c r="E9" s="31" t="str">
        <f>VLOOKUP(VLOOKUP("ORD-01500",Orders!A2:D2001,4,FALSE),Products!A2:C61,3,FALSE)</f>
        <v>Electronics</v>
      </c>
      <c r="F9" s="32" t="s">
        <v>2910</v>
      </c>
    </row>
    <row r="10" spans="1:6" ht="42" customHeight="1" x14ac:dyDescent="0.3">
      <c r="A10" s="27" t="s">
        <v>2920</v>
      </c>
      <c r="B10" s="28" t="s">
        <v>2921</v>
      </c>
      <c r="C10" s="29">
        <v>3</v>
      </c>
      <c r="D10" s="30" t="s">
        <v>2922</v>
      </c>
      <c r="E10" s="31" t="str">
        <f>VLOOKUP(VLOOKUP("ORD-00789",Orders!A2:H2001,8,FALSE),$B$18:$C$21,2,TRUE)</f>
        <v>Bronze</v>
      </c>
      <c r="F10" s="32" t="s">
        <v>2910</v>
      </c>
    </row>
    <row r="11" spans="1:6" ht="42" customHeight="1" x14ac:dyDescent="0.3">
      <c r="A11" s="27" t="s">
        <v>2923</v>
      </c>
      <c r="B11" s="28" t="s">
        <v>3015</v>
      </c>
      <c r="C11" s="29">
        <v>3</v>
      </c>
      <c r="D11" s="30" t="s">
        <v>2924</v>
      </c>
      <c r="E11" s="31" t="str">
        <f>VLOOKUP(VLOOKUP("ORD-01234",Orders!A2:E2001,5,FALSE),Sales_Reps!A2:C31,2,FALSE)&amp;" ("&amp;VLOOKUP(VLOOKUP("ORD-01234",Orders!A2:E2001,5,FALSE),Sales_Reps!A2:C31,3,FALSE)&amp;")"</f>
        <v>Sanjay Kapoor (South)</v>
      </c>
      <c r="F11" s="32" t="s">
        <v>2910</v>
      </c>
    </row>
    <row r="12" spans="1:6" ht="42" customHeight="1" x14ac:dyDescent="0.3">
      <c r="A12" s="27" t="s">
        <v>2925</v>
      </c>
      <c r="B12" s="28" t="s">
        <v>3016</v>
      </c>
      <c r="C12" s="29">
        <v>2</v>
      </c>
      <c r="D12" s="30" t="s">
        <v>2926</v>
      </c>
      <c r="E12" s="31" t="str">
        <f>VLOOKUP(VLOOKUP("R017",Sales_Reps!A2:E31,5,FALSE),Sales_Reps!A2:B31,2,FALSE)</f>
        <v>Amit Singh</v>
      </c>
      <c r="F12" s="32" t="s">
        <v>2910</v>
      </c>
    </row>
    <row r="15" spans="1:6" x14ac:dyDescent="0.3">
      <c r="B15" s="22" t="s">
        <v>2927</v>
      </c>
    </row>
    <row r="17" spans="2:3" x14ac:dyDescent="0.3">
      <c r="B17" s="23" t="s">
        <v>2928</v>
      </c>
      <c r="C17" s="23" t="s">
        <v>2929</v>
      </c>
    </row>
    <row r="18" spans="2:3" x14ac:dyDescent="0.3">
      <c r="B18" s="24">
        <v>0</v>
      </c>
      <c r="C18" s="24" t="s">
        <v>2930</v>
      </c>
    </row>
    <row r="19" spans="2:3" x14ac:dyDescent="0.3">
      <c r="B19" s="24">
        <v>5</v>
      </c>
      <c r="C19" s="24" t="s">
        <v>2931</v>
      </c>
    </row>
    <row r="20" spans="2:3" x14ac:dyDescent="0.3">
      <c r="B20" s="24">
        <v>15</v>
      </c>
      <c r="C20" s="24" t="s">
        <v>2932</v>
      </c>
    </row>
    <row r="21" spans="2:3" x14ac:dyDescent="0.3">
      <c r="B21" s="24">
        <v>25</v>
      </c>
      <c r="C21" s="24" t="s">
        <v>2933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3021</v>
      </c>
      <c r="B1" s="39"/>
      <c r="C1" s="39"/>
      <c r="D1" s="39"/>
      <c r="E1" s="39"/>
      <c r="F1" s="39"/>
    </row>
    <row r="2" spans="1:6" x14ac:dyDescent="0.3">
      <c r="A2" s="38" t="s">
        <v>2934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2898</v>
      </c>
      <c r="B4" s="26" t="s">
        <v>2899</v>
      </c>
      <c r="C4" s="26" t="s">
        <v>14</v>
      </c>
      <c r="D4" s="26" t="s">
        <v>2900</v>
      </c>
      <c r="E4" s="26" t="s">
        <v>2901</v>
      </c>
      <c r="F4" s="26" t="s">
        <v>2902</v>
      </c>
    </row>
    <row r="5" spans="1:6" ht="42" customHeight="1" x14ac:dyDescent="0.3">
      <c r="A5" s="27" t="s">
        <v>2935</v>
      </c>
      <c r="B5" s="28" t="s">
        <v>2936</v>
      </c>
      <c r="C5" s="29">
        <v>3</v>
      </c>
      <c r="D5" s="30" t="s">
        <v>3018</v>
      </c>
      <c r="E5" s="31" cm="1">
        <f t="array" ref="E5">SUMPRODUCT((COUNTIF(Orders!$A$2:$A$2001,Orders!$A$2:$A$2001)&gt;1)/COUNTIF(Orders!$A$2:$A$2001,Orders!$A$2:$A$2001))</f>
        <v>20</v>
      </c>
      <c r="F5" s="32" t="s">
        <v>2916</v>
      </c>
    </row>
    <row r="6" spans="1:6" ht="42" customHeight="1" x14ac:dyDescent="0.3">
      <c r="A6" s="27" t="s">
        <v>2937</v>
      </c>
      <c r="B6" s="28" t="s">
        <v>2938</v>
      </c>
      <c r="C6" s="29">
        <v>3</v>
      </c>
      <c r="D6" s="30" t="s">
        <v>2939</v>
      </c>
      <c r="E6" s="31" cm="1">
        <f t="array" ref="E6">SUMPRODUCT(--(LEN(Customers!B2:B301)&lt;&gt;LEN(TRIM(Customers!B2:B301))))</f>
        <v>15</v>
      </c>
      <c r="F6" s="32" t="s">
        <v>2916</v>
      </c>
    </row>
    <row r="7" spans="1:6" ht="42" customHeight="1" x14ac:dyDescent="0.3">
      <c r="A7" s="27" t="s">
        <v>2940</v>
      </c>
      <c r="B7" s="28" t="s">
        <v>2941</v>
      </c>
      <c r="C7" s="29">
        <v>3</v>
      </c>
      <c r="D7" s="30" t="s">
        <v>2942</v>
      </c>
      <c r="E7" s="31" cm="1">
        <f t="array" ref="E7">SUMPRODUCT(1/COUNTIF(Customers!D2:D301,Customers!D2:D301))</f>
        <v>6.0000000000000018</v>
      </c>
      <c r="F7" s="32" t="s">
        <v>2916</v>
      </c>
    </row>
    <row r="8" spans="1:6" ht="42" customHeight="1" x14ac:dyDescent="0.3">
      <c r="A8" s="27" t="s">
        <v>2943</v>
      </c>
      <c r="B8" s="28" t="s">
        <v>2944</v>
      </c>
      <c r="C8" s="29">
        <v>4</v>
      </c>
      <c r="D8" s="30" t="s">
        <v>2945</v>
      </c>
      <c r="E8" s="31" cm="1">
        <f t="array" ref="E8">SUMPRODUCT(--ISNA(MATCH(Orders!C2:C2001,Customers!A2:A301,0)))</f>
        <v>30</v>
      </c>
      <c r="F8" s="32" t="s">
        <v>2916</v>
      </c>
    </row>
    <row r="9" spans="1:6" ht="42" customHeight="1" x14ac:dyDescent="0.3">
      <c r="A9" s="27" t="s">
        <v>2946</v>
      </c>
      <c r="B9" s="28" t="s">
        <v>2947</v>
      </c>
      <c r="C9" s="29">
        <v>3</v>
      </c>
      <c r="D9" s="30" t="s">
        <v>2948</v>
      </c>
      <c r="E9" s="31" cm="1">
        <f t="array" ref="E9">SUMPRODUCT(COUNTIF(Orders!D2:D2001,Products!A2:A61)*--(Products!F2:F61=FALSE))</f>
        <v>174</v>
      </c>
      <c r="F9" s="32" t="s">
        <v>2916</v>
      </c>
    </row>
    <row r="10" spans="1:6" ht="42" customHeight="1" x14ac:dyDescent="0.3">
      <c r="A10" s="27" t="s">
        <v>2949</v>
      </c>
      <c r="B10" s="28" t="s">
        <v>3017</v>
      </c>
      <c r="C10" s="29">
        <v>4</v>
      </c>
      <c r="D10" s="30" t="s">
        <v>2950</v>
      </c>
      <c r="E10" s="31">
        <f>COUNTIFS(Orders!J2:J2001,"Cancelled",Orders!H2:H2001,"&gt;20")</f>
        <v>58</v>
      </c>
      <c r="F10" s="32" t="s">
        <v>2916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topLeftCell="C1"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3022</v>
      </c>
      <c r="B1" s="34"/>
      <c r="C1" s="34"/>
      <c r="D1" s="34"/>
      <c r="E1" s="34"/>
      <c r="F1" s="34"/>
    </row>
    <row r="2" spans="1:6" x14ac:dyDescent="0.3">
      <c r="A2" s="38" t="s">
        <v>2951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2898</v>
      </c>
      <c r="B4" s="26" t="s">
        <v>2899</v>
      </c>
      <c r="C4" s="26" t="s">
        <v>14</v>
      </c>
      <c r="D4" s="26" t="s">
        <v>2900</v>
      </c>
      <c r="E4" s="26" t="s">
        <v>2901</v>
      </c>
      <c r="F4" s="26" t="s">
        <v>2902</v>
      </c>
    </row>
    <row r="5" spans="1:6" ht="42" customHeight="1" x14ac:dyDescent="0.3">
      <c r="A5" s="27" t="s">
        <v>2952</v>
      </c>
      <c r="B5" s="28" t="s">
        <v>2953</v>
      </c>
      <c r="C5" s="29">
        <v>4</v>
      </c>
      <c r="D5" s="30" t="s">
        <v>2954</v>
      </c>
      <c r="E5" s="55">
        <f>SUMIFS(Orders!I2:I2001,Orders!B2:B2001,"&gt;="&amp;DATE(2024,7,1),Orders!B2:B2001,"&lt;"&amp;DATE(2024,10,1),Orders!K2:K2001,"Mumbai")</f>
        <v>1217239.0099999998</v>
      </c>
      <c r="F5" s="32" t="s">
        <v>2955</v>
      </c>
    </row>
    <row r="6" spans="1:6" ht="42" customHeight="1" x14ac:dyDescent="0.3">
      <c r="A6" s="27" t="s">
        <v>2956</v>
      </c>
      <c r="B6" s="28" t="s">
        <v>2957</v>
      </c>
      <c r="C6" s="29">
        <v>3</v>
      </c>
      <c r="D6" s="30" t="s">
        <v>2958</v>
      </c>
      <c r="E6" s="31">
        <f>COUNTIFS(Orders!H2:H2001,"&gt;15",Orders!J2:J2001,"Completed")</f>
        <v>723</v>
      </c>
      <c r="F6" s="32" t="s">
        <v>2916</v>
      </c>
    </row>
    <row r="7" spans="1:6" ht="42" customHeight="1" x14ac:dyDescent="0.3">
      <c r="A7" s="27" t="s">
        <v>2959</v>
      </c>
      <c r="B7" s="28" t="s">
        <v>3019</v>
      </c>
      <c r="C7" s="29">
        <v>5</v>
      </c>
      <c r="D7" s="30" t="s">
        <v>2960</v>
      </c>
      <c r="E7" s="55">
        <f>AVERAGEIFS(Q3_Working!C2:C2001,Q3_Working!E2:E2001,"Electronics",Q3_Working!F2:F2001,"Corporate")</f>
        <v>13981.401558441557</v>
      </c>
      <c r="F7" s="32" t="s">
        <v>2955</v>
      </c>
    </row>
    <row r="8" spans="1:6" ht="42" customHeight="1" x14ac:dyDescent="0.3">
      <c r="A8" s="27" t="s">
        <v>2961</v>
      </c>
      <c r="B8" s="28" t="s">
        <v>2962</v>
      </c>
      <c r="C8" s="29">
        <v>4</v>
      </c>
      <c r="D8" s="30" t="s">
        <v>2963</v>
      </c>
      <c r="E8" s="55">
        <f>SUM(LARGE(Q3_Working!K2:K31,1),LARGE(Q3_Working!K2:K31,2),LARGE(Q3_Working!K2:K31,3))</f>
        <v>3342678.55</v>
      </c>
      <c r="F8" s="32" t="s">
        <v>2955</v>
      </c>
    </row>
    <row r="9" spans="1:6" ht="42" customHeight="1" x14ac:dyDescent="0.3">
      <c r="A9" s="27" t="s">
        <v>2964</v>
      </c>
      <c r="B9" s="28" t="s">
        <v>2965</v>
      </c>
      <c r="C9" s="29">
        <v>5</v>
      </c>
      <c r="D9" s="30" t="s">
        <v>2966</v>
      </c>
      <c r="E9" s="31" t="str">
        <f>IF(Q3_Working!K34/Q3_Working!K35&lt;0.8,"Below",IF(Q3_Working!K34/Q3_Working!K35&lt;=1.2,"On Track","Exceeds"))</f>
        <v>Below</v>
      </c>
      <c r="F9" s="32" t="s">
        <v>2910</v>
      </c>
    </row>
    <row r="10" spans="1:6" ht="42" customHeight="1" x14ac:dyDescent="0.3">
      <c r="A10" s="27" t="s">
        <v>2967</v>
      </c>
      <c r="B10" s="28" t="s">
        <v>2968</v>
      </c>
      <c r="C10" s="29">
        <v>4</v>
      </c>
      <c r="D10" s="30" t="s">
        <v>2969</v>
      </c>
      <c r="E10" s="55">
        <f>SUMIFS(Q3_Working!C2:C2001,Q3_Working!F2:F2001,"Corporate",Q3_Working!G2:G2001,"&gt;=30",Q3_Working!G2:G2001,"&lt;=40")</f>
        <v>982568.40000000014</v>
      </c>
      <c r="F10" s="32" t="s">
        <v>2955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D7F7-2E42-4234-937F-DE8989923D67}">
  <sheetPr>
    <tabColor rgb="FFFFC000"/>
  </sheetPr>
  <dimension ref="A1:H9"/>
  <sheetViews>
    <sheetView workbookViewId="0">
      <selection activeCell="K7" sqref="K7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8" width="11" bestFit="1" customWidth="1"/>
  </cols>
  <sheetData>
    <row r="1" spans="1:8" x14ac:dyDescent="0.3">
      <c r="A1" s="54" t="s">
        <v>3060</v>
      </c>
      <c r="B1" s="54"/>
      <c r="C1" s="54"/>
      <c r="D1" s="54"/>
      <c r="E1" s="54"/>
      <c r="F1" s="54"/>
      <c r="G1" s="54"/>
      <c r="H1" s="54"/>
    </row>
    <row r="2" spans="1:8" x14ac:dyDescent="0.3">
      <c r="A2" s="54"/>
      <c r="B2" s="54"/>
      <c r="C2" s="54"/>
      <c r="D2" s="54"/>
      <c r="E2" s="54"/>
      <c r="F2" s="54"/>
      <c r="G2" s="54"/>
      <c r="H2" s="54"/>
    </row>
    <row r="3" spans="1:8" x14ac:dyDescent="0.3">
      <c r="A3" s="41" t="s">
        <v>3042</v>
      </c>
      <c r="B3" s="41" t="s">
        <v>3041</v>
      </c>
    </row>
    <row r="4" spans="1:8" x14ac:dyDescent="0.3">
      <c r="A4" s="41" t="s">
        <v>3038</v>
      </c>
      <c r="B4" t="s">
        <v>2795</v>
      </c>
      <c r="C4" t="s">
        <v>2828</v>
      </c>
      <c r="D4" t="s">
        <v>2784</v>
      </c>
      <c r="E4" t="s">
        <v>2806</v>
      </c>
      <c r="F4" t="s">
        <v>2817</v>
      </c>
      <c r="G4" t="s">
        <v>2839</v>
      </c>
      <c r="H4" t="s">
        <v>3039</v>
      </c>
    </row>
    <row r="5" spans="1:8" x14ac:dyDescent="0.3">
      <c r="A5" s="42" t="s">
        <v>2871</v>
      </c>
      <c r="B5" s="43">
        <v>860762.22999999975</v>
      </c>
      <c r="C5" s="43">
        <v>1271152.7899999996</v>
      </c>
      <c r="D5" s="43">
        <v>1214881.92</v>
      </c>
      <c r="E5" s="43">
        <v>1168089.9100000004</v>
      </c>
      <c r="F5" s="43">
        <v>1124233.5400000003</v>
      </c>
      <c r="G5" s="43">
        <v>945710.07999999996</v>
      </c>
      <c r="H5" s="43">
        <v>6584830.4699999997</v>
      </c>
    </row>
    <row r="6" spans="1:8" x14ac:dyDescent="0.3">
      <c r="A6" s="42" t="s">
        <v>2855</v>
      </c>
      <c r="B6" s="43">
        <v>979380.9700000002</v>
      </c>
      <c r="C6" s="43">
        <v>1556120.1900000002</v>
      </c>
      <c r="D6" s="43">
        <v>1450710.7499999998</v>
      </c>
      <c r="E6" s="43">
        <v>1118963.8499999994</v>
      </c>
      <c r="F6" s="43">
        <v>867033.27</v>
      </c>
      <c r="G6" s="43">
        <v>1011820.4999999998</v>
      </c>
      <c r="H6" s="43">
        <v>6984029.5299999993</v>
      </c>
    </row>
    <row r="7" spans="1:8" x14ac:dyDescent="0.3">
      <c r="A7" s="42" t="s">
        <v>2862</v>
      </c>
      <c r="B7" s="43">
        <v>962768.31</v>
      </c>
      <c r="C7" s="43">
        <v>1590646.0500000005</v>
      </c>
      <c r="D7" s="43">
        <v>1314107.3899999999</v>
      </c>
      <c r="E7" s="43">
        <v>1041400.7999999998</v>
      </c>
      <c r="F7" s="43">
        <v>1140277.8000000005</v>
      </c>
      <c r="G7" s="43">
        <v>1095843.4599999997</v>
      </c>
      <c r="H7" s="43">
        <v>7145043.8100000005</v>
      </c>
    </row>
    <row r="8" spans="1:8" x14ac:dyDescent="0.3">
      <c r="A8" s="42" t="s">
        <v>2879</v>
      </c>
      <c r="B8" s="43">
        <v>868240.03</v>
      </c>
      <c r="C8" s="43">
        <v>1188460.02</v>
      </c>
      <c r="D8" s="43">
        <v>993053.05000000016</v>
      </c>
      <c r="E8" s="43">
        <v>997265.82000000018</v>
      </c>
      <c r="F8" s="43">
        <v>955407.57999999984</v>
      </c>
      <c r="G8" s="43">
        <v>856617.8899999999</v>
      </c>
      <c r="H8" s="43">
        <v>5859044.3899999997</v>
      </c>
    </row>
    <row r="9" spans="1:8" x14ac:dyDescent="0.3">
      <c r="A9" s="42" t="s">
        <v>3039</v>
      </c>
      <c r="B9" s="43">
        <v>3671151.54</v>
      </c>
      <c r="C9" s="43">
        <v>5606379.0500000007</v>
      </c>
      <c r="D9" s="43">
        <v>4972753.1099999994</v>
      </c>
      <c r="E9" s="43">
        <v>4325720.38</v>
      </c>
      <c r="F9" s="43">
        <v>4086952.1900000004</v>
      </c>
      <c r="G9" s="43">
        <v>3909991.9299999988</v>
      </c>
      <c r="H9" s="43">
        <v>26572948.200000003</v>
      </c>
    </row>
  </sheetData>
  <mergeCells count="1">
    <mergeCell ref="A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5857-3277-4B54-94C4-6F9C2CAD6E31}">
  <sheetPr>
    <tabColor rgb="FFFFC000"/>
  </sheetPr>
  <dimension ref="A3:N35"/>
  <sheetViews>
    <sheetView workbookViewId="0">
      <selection activeCell="B26" sqref="B26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14" width="11" bestFit="1" customWidth="1"/>
  </cols>
  <sheetData>
    <row r="3" spans="1:14" x14ac:dyDescent="0.3">
      <c r="A3" s="41" t="s">
        <v>3040</v>
      </c>
      <c r="B3" s="41" t="s">
        <v>3041</v>
      </c>
    </row>
    <row r="4" spans="1:14" x14ac:dyDescent="0.3">
      <c r="A4" s="41" t="s">
        <v>3038</v>
      </c>
      <c r="B4" s="44">
        <v>45292</v>
      </c>
      <c r="C4" s="44">
        <v>45323</v>
      </c>
      <c r="D4" s="44">
        <v>45352</v>
      </c>
      <c r="E4" s="44">
        <v>45383</v>
      </c>
      <c r="F4" s="44">
        <v>45413</v>
      </c>
      <c r="G4" s="44">
        <v>45444</v>
      </c>
      <c r="H4" s="44">
        <v>45474</v>
      </c>
      <c r="I4" s="44">
        <v>45505</v>
      </c>
      <c r="J4" s="44">
        <v>45536</v>
      </c>
      <c r="K4" s="44">
        <v>45566</v>
      </c>
      <c r="L4" s="44">
        <v>45597</v>
      </c>
      <c r="M4" s="44">
        <v>45627</v>
      </c>
      <c r="N4" s="44" t="s">
        <v>3039</v>
      </c>
    </row>
    <row r="5" spans="1:14" x14ac:dyDescent="0.3">
      <c r="A5" s="42" t="s">
        <v>215</v>
      </c>
      <c r="B5" s="43">
        <v>43650.559999999998</v>
      </c>
      <c r="C5" s="43">
        <v>127005.17000000001</v>
      </c>
      <c r="D5" s="43">
        <v>58208.49</v>
      </c>
      <c r="E5" s="43">
        <v>33643.480000000003</v>
      </c>
      <c r="F5" s="43">
        <v>44809.659999999996</v>
      </c>
      <c r="G5" s="43">
        <v>82789.949999999983</v>
      </c>
      <c r="H5" s="43">
        <v>28761.200000000001</v>
      </c>
      <c r="I5" s="43">
        <v>92676.920000000013</v>
      </c>
      <c r="J5" s="43">
        <v>88884.34</v>
      </c>
      <c r="K5" s="43">
        <v>37753.900000000009</v>
      </c>
      <c r="L5" s="43">
        <v>72215.41</v>
      </c>
      <c r="M5" s="43">
        <v>79450.51999999999</v>
      </c>
      <c r="N5" s="43">
        <v>789849.59999999998</v>
      </c>
    </row>
    <row r="6" spans="1:14" x14ac:dyDescent="0.3">
      <c r="A6" s="42" t="s">
        <v>297</v>
      </c>
      <c r="B6" s="43">
        <v>51707.32</v>
      </c>
      <c r="C6" s="43">
        <v>125187.78</v>
      </c>
      <c r="D6" s="43">
        <v>53533</v>
      </c>
      <c r="E6" s="43">
        <v>46286.92</v>
      </c>
      <c r="F6" s="43">
        <v>89794.86</v>
      </c>
      <c r="G6" s="43">
        <v>82753.37000000001</v>
      </c>
      <c r="H6" s="43">
        <v>62949.74</v>
      </c>
      <c r="I6" s="43">
        <v>134500.5</v>
      </c>
      <c r="J6" s="43">
        <v>91647.290000000008</v>
      </c>
      <c r="K6" s="43">
        <v>35751.81</v>
      </c>
      <c r="L6" s="43">
        <v>158277.82</v>
      </c>
      <c r="M6" s="43">
        <v>47673.25</v>
      </c>
      <c r="N6" s="43">
        <v>980063.66000000015</v>
      </c>
    </row>
    <row r="7" spans="1:14" x14ac:dyDescent="0.3">
      <c r="A7" s="42" t="s">
        <v>148</v>
      </c>
      <c r="B7" s="43">
        <v>54307</v>
      </c>
      <c r="C7" s="43">
        <v>32452</v>
      </c>
      <c r="D7" s="43">
        <v>107489.23000000001</v>
      </c>
      <c r="E7" s="43">
        <v>96349.859999999986</v>
      </c>
      <c r="F7" s="43">
        <v>139257.72</v>
      </c>
      <c r="G7" s="43">
        <v>37966.089999999997</v>
      </c>
      <c r="H7" s="43">
        <v>185921.75</v>
      </c>
      <c r="I7" s="43">
        <v>114656.26999999999</v>
      </c>
      <c r="J7" s="43">
        <v>69896.72</v>
      </c>
      <c r="K7" s="43">
        <v>29309.979999999996</v>
      </c>
      <c r="L7" s="43">
        <v>106760.75</v>
      </c>
      <c r="M7" s="43">
        <v>12325.539999999999</v>
      </c>
      <c r="N7" s="43">
        <v>986692.90999999992</v>
      </c>
    </row>
    <row r="8" spans="1:14" x14ac:dyDescent="0.3">
      <c r="A8" s="42" t="s">
        <v>139</v>
      </c>
      <c r="B8" s="43">
        <v>57892.110000000008</v>
      </c>
      <c r="C8" s="43">
        <v>58818.559999999998</v>
      </c>
      <c r="D8" s="43">
        <v>14394.38</v>
      </c>
      <c r="E8" s="43">
        <v>23036.539999999997</v>
      </c>
      <c r="F8" s="43">
        <v>140739.80000000002</v>
      </c>
      <c r="G8" s="43">
        <v>42388.119999999995</v>
      </c>
      <c r="H8" s="43">
        <v>7823.4800000000005</v>
      </c>
      <c r="I8" s="43">
        <v>55975.340000000004</v>
      </c>
      <c r="J8" s="43">
        <v>46944.28</v>
      </c>
      <c r="K8" s="43">
        <v>43456.180000000008</v>
      </c>
      <c r="L8" s="43">
        <v>38491.18</v>
      </c>
      <c r="M8" s="43">
        <v>59066.319999999992</v>
      </c>
      <c r="N8" s="43">
        <v>589026.28999999992</v>
      </c>
    </row>
    <row r="9" spans="1:14" x14ac:dyDescent="0.3">
      <c r="A9" s="42" t="s">
        <v>92</v>
      </c>
      <c r="B9" s="43">
        <v>70665.509999999995</v>
      </c>
      <c r="C9" s="43">
        <v>57914.81</v>
      </c>
      <c r="D9" s="43">
        <v>85853.430000000008</v>
      </c>
      <c r="E9" s="43">
        <v>46025.56</v>
      </c>
      <c r="F9" s="43">
        <v>67702.820000000007</v>
      </c>
      <c r="G9" s="43">
        <v>113205.31999999999</v>
      </c>
      <c r="H9" s="43">
        <v>20649.349999999999</v>
      </c>
      <c r="I9" s="43">
        <v>15060.279999999999</v>
      </c>
      <c r="J9" s="43">
        <v>81963.69</v>
      </c>
      <c r="K9" s="43">
        <v>99252.76999999999</v>
      </c>
      <c r="L9" s="43">
        <v>55570.99</v>
      </c>
      <c r="M9" s="43">
        <v>68580.799999999988</v>
      </c>
      <c r="N9" s="43">
        <v>782445.33000000007</v>
      </c>
    </row>
    <row r="10" spans="1:14" x14ac:dyDescent="0.3">
      <c r="A10" s="42" t="s">
        <v>103</v>
      </c>
      <c r="B10" s="43">
        <v>84968.56</v>
      </c>
      <c r="C10" s="43">
        <v>34581.99</v>
      </c>
      <c r="D10" s="43">
        <v>145435.13</v>
      </c>
      <c r="E10" s="43">
        <v>170939.91000000003</v>
      </c>
      <c r="F10" s="43">
        <v>78322.48000000001</v>
      </c>
      <c r="G10" s="43">
        <v>191251.6</v>
      </c>
      <c r="H10" s="43">
        <v>38479.32</v>
      </c>
      <c r="I10" s="43">
        <v>61857.899999999994</v>
      </c>
      <c r="J10" s="43">
        <v>76627.83</v>
      </c>
      <c r="K10" s="43">
        <v>52942.27</v>
      </c>
      <c r="L10" s="43">
        <v>81500.239999999991</v>
      </c>
      <c r="M10" s="43">
        <v>121741.5</v>
      </c>
      <c r="N10" s="43">
        <v>1138648.73</v>
      </c>
    </row>
    <row r="11" spans="1:14" x14ac:dyDescent="0.3">
      <c r="A11" s="42" t="s">
        <v>86</v>
      </c>
      <c r="B11" s="43">
        <v>92029.91</v>
      </c>
      <c r="C11" s="43">
        <v>130276.04</v>
      </c>
      <c r="D11" s="43">
        <v>105489.82999999999</v>
      </c>
      <c r="E11" s="43">
        <v>48536.18</v>
      </c>
      <c r="F11" s="43">
        <v>41157.840000000004</v>
      </c>
      <c r="G11" s="43">
        <v>58895.109999999993</v>
      </c>
      <c r="H11" s="43">
        <v>11528.24</v>
      </c>
      <c r="I11" s="43">
        <v>70196.800000000003</v>
      </c>
      <c r="J11" s="43">
        <v>52194.149999999994</v>
      </c>
      <c r="K11" s="43">
        <v>57313.75</v>
      </c>
      <c r="L11" s="43">
        <v>130208.90000000001</v>
      </c>
      <c r="M11" s="43">
        <v>57922.929999999993</v>
      </c>
      <c r="N11" s="43">
        <v>855749.68000000017</v>
      </c>
    </row>
    <row r="12" spans="1:14" x14ac:dyDescent="0.3">
      <c r="A12" s="42" t="s">
        <v>107</v>
      </c>
      <c r="B12" s="43">
        <v>61557.020000000004</v>
      </c>
      <c r="C12" s="43">
        <v>23463.300000000003</v>
      </c>
      <c r="D12" s="43">
        <v>164615.04999999999</v>
      </c>
      <c r="E12" s="43">
        <v>12044.560000000001</v>
      </c>
      <c r="F12" s="43">
        <v>67200.569999999992</v>
      </c>
      <c r="G12" s="43">
        <v>82481.440000000002</v>
      </c>
      <c r="H12" s="43">
        <v>75853.47</v>
      </c>
      <c r="I12" s="43">
        <v>61043.439999999995</v>
      </c>
      <c r="J12" s="43">
        <v>49404.639999999999</v>
      </c>
      <c r="K12" s="43">
        <v>26620.46</v>
      </c>
      <c r="L12" s="43">
        <v>64537.259999999995</v>
      </c>
      <c r="M12" s="43">
        <v>172732.12000000002</v>
      </c>
      <c r="N12" s="43">
        <v>861553.33</v>
      </c>
    </row>
    <row r="13" spans="1:14" x14ac:dyDescent="0.3">
      <c r="A13" s="42" t="s">
        <v>204</v>
      </c>
      <c r="B13" s="43">
        <v>125547.54</v>
      </c>
      <c r="C13" s="43">
        <v>25935.550000000003</v>
      </c>
      <c r="D13" s="43">
        <v>19130.39</v>
      </c>
      <c r="E13" s="43">
        <v>74565.159999999989</v>
      </c>
      <c r="F13" s="43">
        <v>100231.54</v>
      </c>
      <c r="G13" s="43">
        <v>69794.649999999994</v>
      </c>
      <c r="H13" s="43">
        <v>99012.62</v>
      </c>
      <c r="I13" s="43">
        <v>116575.84999999999</v>
      </c>
      <c r="J13" s="43">
        <v>98466.52</v>
      </c>
      <c r="K13" s="43">
        <v>107648.92</v>
      </c>
      <c r="L13" s="43">
        <v>30954.959999999999</v>
      </c>
      <c r="M13" s="43">
        <v>46691.02</v>
      </c>
      <c r="N13" s="43">
        <v>914554.72</v>
      </c>
    </row>
    <row r="14" spans="1:14" x14ac:dyDescent="0.3">
      <c r="A14" s="42" t="s">
        <v>132</v>
      </c>
      <c r="B14" s="43">
        <v>43078.21</v>
      </c>
      <c r="C14" s="43">
        <v>74555.64</v>
      </c>
      <c r="D14" s="43"/>
      <c r="E14" s="43">
        <v>41398.06</v>
      </c>
      <c r="F14" s="43">
        <v>83732.94</v>
      </c>
      <c r="G14" s="43">
        <v>29458.160000000003</v>
      </c>
      <c r="H14" s="43">
        <v>96008.48</v>
      </c>
      <c r="I14" s="43">
        <v>111335.79000000001</v>
      </c>
      <c r="J14" s="43">
        <v>146100.57</v>
      </c>
      <c r="K14" s="43">
        <v>64630.99</v>
      </c>
      <c r="L14" s="43">
        <v>119201.56999999999</v>
      </c>
      <c r="M14" s="43">
        <v>70844.790000000008</v>
      </c>
      <c r="N14" s="43">
        <v>880345.20000000007</v>
      </c>
    </row>
    <row r="15" spans="1:14" x14ac:dyDescent="0.3">
      <c r="A15" s="42" t="s">
        <v>273</v>
      </c>
      <c r="B15" s="43">
        <v>88791.72</v>
      </c>
      <c r="C15" s="43">
        <v>112894.06000000001</v>
      </c>
      <c r="D15" s="43">
        <v>77891.760000000009</v>
      </c>
      <c r="E15" s="43">
        <v>30549.1</v>
      </c>
      <c r="F15" s="43">
        <v>10392.16</v>
      </c>
      <c r="G15" s="43">
        <v>45625.440000000002</v>
      </c>
      <c r="H15" s="43">
        <v>31373.22</v>
      </c>
      <c r="I15" s="43">
        <v>129473.95999999999</v>
      </c>
      <c r="J15" s="43">
        <v>88472.060000000012</v>
      </c>
      <c r="K15" s="43">
        <v>55503.48</v>
      </c>
      <c r="L15" s="43">
        <v>64240.800000000003</v>
      </c>
      <c r="M15" s="43"/>
      <c r="N15" s="43">
        <v>735207.76</v>
      </c>
    </row>
    <row r="16" spans="1:14" x14ac:dyDescent="0.3">
      <c r="A16" s="42" t="s">
        <v>325</v>
      </c>
      <c r="B16" s="43">
        <v>70680.03</v>
      </c>
      <c r="C16" s="43">
        <v>110195.45999999999</v>
      </c>
      <c r="D16" s="43">
        <v>20450.240000000002</v>
      </c>
      <c r="E16" s="43">
        <v>24950.800000000003</v>
      </c>
      <c r="F16" s="43">
        <v>37183.630000000005</v>
      </c>
      <c r="G16" s="43">
        <v>59218.28</v>
      </c>
      <c r="H16" s="43">
        <v>75017.78</v>
      </c>
      <c r="I16" s="43">
        <v>115185.59</v>
      </c>
      <c r="J16" s="43">
        <v>104717.03</v>
      </c>
      <c r="K16" s="43">
        <v>89150.849999999991</v>
      </c>
      <c r="L16" s="43">
        <v>69152.06</v>
      </c>
      <c r="M16" s="43">
        <v>125492.57</v>
      </c>
      <c r="N16" s="43">
        <v>901394.32000000007</v>
      </c>
    </row>
    <row r="17" spans="1:14" x14ac:dyDescent="0.3">
      <c r="A17" s="42" t="s">
        <v>252</v>
      </c>
      <c r="B17" s="43">
        <v>51609.120000000003</v>
      </c>
      <c r="C17" s="43">
        <v>139218.07999999999</v>
      </c>
      <c r="D17" s="43">
        <v>80024.44</v>
      </c>
      <c r="E17" s="43">
        <v>41420.609999999993</v>
      </c>
      <c r="F17" s="43">
        <v>80787.31</v>
      </c>
      <c r="G17" s="43">
        <v>33836.58</v>
      </c>
      <c r="H17" s="43">
        <v>32733.739999999998</v>
      </c>
      <c r="I17" s="43">
        <v>70557.86</v>
      </c>
      <c r="J17" s="43">
        <v>63389.33</v>
      </c>
      <c r="K17" s="43">
        <v>46714.579999999994</v>
      </c>
      <c r="L17" s="43">
        <v>108112.06999999999</v>
      </c>
      <c r="M17" s="43">
        <v>63120.660000000011</v>
      </c>
      <c r="N17" s="43">
        <v>811524.37999999989</v>
      </c>
    </row>
    <row r="18" spans="1:14" x14ac:dyDescent="0.3">
      <c r="A18" s="42" t="s">
        <v>98</v>
      </c>
      <c r="B18" s="43">
        <v>87497.74</v>
      </c>
      <c r="C18" s="43">
        <v>79488</v>
      </c>
      <c r="D18" s="43">
        <v>85611.839999999997</v>
      </c>
      <c r="E18" s="43">
        <v>101517.16999999998</v>
      </c>
      <c r="F18" s="43">
        <v>154170.19999999998</v>
      </c>
      <c r="G18" s="43">
        <v>15951.6</v>
      </c>
      <c r="H18" s="43">
        <v>74760.149999999994</v>
      </c>
      <c r="I18" s="43">
        <v>113977.93999999999</v>
      </c>
      <c r="J18" s="43">
        <v>45673.51</v>
      </c>
      <c r="K18" s="43">
        <v>80097.179999999993</v>
      </c>
      <c r="L18" s="43">
        <v>50971.92</v>
      </c>
      <c r="M18" s="43">
        <v>105996.29000000001</v>
      </c>
      <c r="N18" s="43">
        <v>995713.53999999992</v>
      </c>
    </row>
    <row r="19" spans="1:14" x14ac:dyDescent="0.3">
      <c r="A19" s="42" t="s">
        <v>188</v>
      </c>
      <c r="B19" s="43">
        <v>118901.05999999998</v>
      </c>
      <c r="C19" s="43">
        <v>89654.68</v>
      </c>
      <c r="D19" s="43">
        <v>67837.490000000005</v>
      </c>
      <c r="E19" s="43">
        <v>107626.6</v>
      </c>
      <c r="F19" s="43">
        <v>146185.96000000002</v>
      </c>
      <c r="G19" s="43">
        <v>12840.400000000001</v>
      </c>
      <c r="H19" s="43">
        <v>51083.420000000006</v>
      </c>
      <c r="I19" s="43">
        <v>114985.86000000002</v>
      </c>
      <c r="J19" s="43">
        <v>92815.3</v>
      </c>
      <c r="K19" s="43">
        <v>119179.18</v>
      </c>
      <c r="L19" s="43">
        <v>97394.65</v>
      </c>
      <c r="M19" s="43">
        <v>73235.58</v>
      </c>
      <c r="N19" s="43">
        <v>1091740.1800000002</v>
      </c>
    </row>
    <row r="20" spans="1:14" x14ac:dyDescent="0.3">
      <c r="A20" s="42" t="s">
        <v>346</v>
      </c>
      <c r="B20" s="43">
        <v>62195.839999999997</v>
      </c>
      <c r="C20" s="43">
        <v>90583.239999999991</v>
      </c>
      <c r="D20" s="43">
        <v>153834.45000000001</v>
      </c>
      <c r="E20" s="43">
        <v>75094.84</v>
      </c>
      <c r="F20" s="43">
        <v>67937.959999999992</v>
      </c>
      <c r="G20" s="43">
        <v>55791.51</v>
      </c>
      <c r="H20" s="43">
        <v>70547.11</v>
      </c>
      <c r="I20" s="43">
        <v>119357.27</v>
      </c>
      <c r="J20" s="43">
        <v>34105.56</v>
      </c>
      <c r="K20" s="43">
        <v>55604.090000000004</v>
      </c>
      <c r="L20" s="43">
        <v>26689.96</v>
      </c>
      <c r="M20" s="43">
        <v>2821.88</v>
      </c>
      <c r="N20" s="43">
        <v>814563.71</v>
      </c>
    </row>
    <row r="21" spans="1:14" x14ac:dyDescent="0.3">
      <c r="A21" s="42" t="s">
        <v>238</v>
      </c>
      <c r="B21" s="43">
        <v>73856.39</v>
      </c>
      <c r="C21" s="43">
        <v>27297.839999999997</v>
      </c>
      <c r="D21" s="43">
        <v>120293.66</v>
      </c>
      <c r="E21" s="43">
        <v>32212.65</v>
      </c>
      <c r="F21" s="43">
        <v>113791.15</v>
      </c>
      <c r="G21" s="43">
        <v>73782.34</v>
      </c>
      <c r="H21" s="43">
        <v>4516.7</v>
      </c>
      <c r="I21" s="43">
        <v>88015.95</v>
      </c>
      <c r="J21" s="43">
        <v>75893.02</v>
      </c>
      <c r="K21" s="43">
        <v>75670.28</v>
      </c>
      <c r="L21" s="43">
        <v>23417.13</v>
      </c>
      <c r="M21" s="43">
        <v>71637.3</v>
      </c>
      <c r="N21" s="43">
        <v>780384.41000000015</v>
      </c>
    </row>
    <row r="22" spans="1:14" x14ac:dyDescent="0.3">
      <c r="A22" s="42" t="s">
        <v>303</v>
      </c>
      <c r="B22" s="43">
        <v>101638.5</v>
      </c>
      <c r="C22" s="43">
        <v>121362.43999999999</v>
      </c>
      <c r="D22" s="43">
        <v>51595.619999999995</v>
      </c>
      <c r="E22" s="43">
        <v>210613.93000000002</v>
      </c>
      <c r="F22" s="43">
        <v>173129.47</v>
      </c>
      <c r="G22" s="43">
        <v>117809.47</v>
      </c>
      <c r="H22" s="43">
        <v>41039.879999999997</v>
      </c>
      <c r="I22" s="43">
        <v>26814.3</v>
      </c>
      <c r="J22" s="43">
        <v>29070.76</v>
      </c>
      <c r="K22" s="43">
        <v>109087.31</v>
      </c>
      <c r="L22" s="43">
        <v>84868.64</v>
      </c>
      <c r="M22" s="43">
        <v>45259.32</v>
      </c>
      <c r="N22" s="43">
        <v>1112289.6399999999</v>
      </c>
    </row>
    <row r="23" spans="1:14" x14ac:dyDescent="0.3">
      <c r="A23" s="42" t="s">
        <v>121</v>
      </c>
      <c r="B23" s="43">
        <v>30895.18</v>
      </c>
      <c r="C23" s="43">
        <v>97513.340000000011</v>
      </c>
      <c r="D23" s="43">
        <v>68954.539999999994</v>
      </c>
      <c r="E23" s="43">
        <v>112510.04000000001</v>
      </c>
      <c r="F23" s="43">
        <v>58746.86</v>
      </c>
      <c r="G23" s="43">
        <v>107491.77999999998</v>
      </c>
      <c r="H23" s="43">
        <v>72372.48000000001</v>
      </c>
      <c r="I23" s="43">
        <v>20666.8</v>
      </c>
      <c r="J23" s="43">
        <v>34590.78</v>
      </c>
      <c r="K23" s="43">
        <v>152548.56</v>
      </c>
      <c r="L23" s="43">
        <v>96634.5</v>
      </c>
      <c r="M23" s="43">
        <v>118258.66</v>
      </c>
      <c r="N23" s="43">
        <v>971183.52000000014</v>
      </c>
    </row>
    <row r="24" spans="1:14" x14ac:dyDescent="0.3">
      <c r="A24" s="42" t="s">
        <v>192</v>
      </c>
      <c r="B24" s="43">
        <v>41744.44000000001</v>
      </c>
      <c r="C24" s="43">
        <v>13855.82</v>
      </c>
      <c r="D24" s="43">
        <v>215416.30000000002</v>
      </c>
      <c r="E24" s="43">
        <v>49921.2</v>
      </c>
      <c r="F24" s="43">
        <v>182980.02999999997</v>
      </c>
      <c r="G24" s="43">
        <v>90724.13</v>
      </c>
      <c r="H24" s="43">
        <v>28955.710000000003</v>
      </c>
      <c r="I24" s="43">
        <v>107718.33</v>
      </c>
      <c r="J24" s="43">
        <v>57555.72</v>
      </c>
      <c r="K24" s="43">
        <v>23378.260000000002</v>
      </c>
      <c r="L24" s="43">
        <v>68985.010000000009</v>
      </c>
      <c r="M24" s="43">
        <v>24872.76</v>
      </c>
      <c r="N24" s="43">
        <v>906107.71</v>
      </c>
    </row>
    <row r="25" spans="1:14" x14ac:dyDescent="0.3">
      <c r="A25" s="42" t="s">
        <v>158</v>
      </c>
      <c r="B25" s="43">
        <v>2689.92</v>
      </c>
      <c r="C25" s="43">
        <v>104662.05</v>
      </c>
      <c r="D25" s="43">
        <v>100685.62</v>
      </c>
      <c r="E25" s="43">
        <v>71054.8</v>
      </c>
      <c r="F25" s="43">
        <v>56143.78</v>
      </c>
      <c r="G25" s="43">
        <v>65924.819999999992</v>
      </c>
      <c r="H25" s="43">
        <v>72167.3</v>
      </c>
      <c r="I25" s="43">
        <v>44212.2</v>
      </c>
      <c r="J25" s="43">
        <v>108409.59</v>
      </c>
      <c r="K25" s="43">
        <v>42203.749999999993</v>
      </c>
      <c r="L25" s="43">
        <v>53126.100000000006</v>
      </c>
      <c r="M25" s="43">
        <v>40227.240000000005</v>
      </c>
      <c r="N25" s="43">
        <v>761507.17</v>
      </c>
    </row>
    <row r="26" spans="1:14" x14ac:dyDescent="0.3">
      <c r="A26" s="42" t="s">
        <v>285</v>
      </c>
      <c r="B26" s="43">
        <v>158207.84</v>
      </c>
      <c r="C26" s="43">
        <v>46819.11</v>
      </c>
      <c r="D26" s="43">
        <v>51327.360000000001</v>
      </c>
      <c r="E26" s="43">
        <v>93303.01999999999</v>
      </c>
      <c r="F26" s="43">
        <v>8802.7900000000009</v>
      </c>
      <c r="G26" s="43">
        <v>61415.64</v>
      </c>
      <c r="H26" s="43">
        <v>210918.24</v>
      </c>
      <c r="I26" s="43">
        <v>81133.64</v>
      </c>
      <c r="J26" s="43">
        <v>87991.220000000016</v>
      </c>
      <c r="K26" s="43">
        <v>73388.56</v>
      </c>
      <c r="L26" s="43">
        <v>76504.66</v>
      </c>
      <c r="M26" s="43">
        <v>119758.46</v>
      </c>
      <c r="N26" s="43">
        <v>1069570.54</v>
      </c>
    </row>
    <row r="27" spans="1:14" x14ac:dyDescent="0.3">
      <c r="A27" s="42" t="s">
        <v>154</v>
      </c>
      <c r="B27" s="43">
        <v>54606.060000000005</v>
      </c>
      <c r="C27" s="43">
        <v>120382.87</v>
      </c>
      <c r="D27" s="43">
        <v>82920.600000000006</v>
      </c>
      <c r="E27" s="43">
        <v>216421.52000000002</v>
      </c>
      <c r="F27" s="43">
        <v>40444.230000000003</v>
      </c>
      <c r="G27" s="43">
        <v>102315.15</v>
      </c>
      <c r="H27" s="43">
        <v>89062.989999999991</v>
      </c>
      <c r="I27" s="43">
        <v>50585.599999999999</v>
      </c>
      <c r="J27" s="43">
        <v>50462.58</v>
      </c>
      <c r="K27" s="43">
        <v>13975.5</v>
      </c>
      <c r="L27" s="43">
        <v>59984.34</v>
      </c>
      <c r="M27" s="43">
        <v>102626.04</v>
      </c>
      <c r="N27" s="43">
        <v>983787.48</v>
      </c>
    </row>
    <row r="28" spans="1:14" x14ac:dyDescent="0.3">
      <c r="A28" s="42" t="s">
        <v>116</v>
      </c>
      <c r="B28" s="43">
        <v>24937.08</v>
      </c>
      <c r="C28" s="43">
        <v>97833.739999999991</v>
      </c>
      <c r="D28" s="43">
        <v>63984.05</v>
      </c>
      <c r="E28" s="43">
        <v>56736.5</v>
      </c>
      <c r="F28" s="43">
        <v>125217.67</v>
      </c>
      <c r="G28" s="43">
        <v>53450.710000000006</v>
      </c>
      <c r="H28" s="43">
        <v>58773.84</v>
      </c>
      <c r="I28" s="43">
        <v>66015.240000000005</v>
      </c>
      <c r="J28" s="43">
        <v>16909.739999999998</v>
      </c>
      <c r="K28" s="43">
        <v>82877.570000000007</v>
      </c>
      <c r="L28" s="43">
        <v>68084.649999999994</v>
      </c>
      <c r="M28" s="43">
        <v>104737.79</v>
      </c>
      <c r="N28" s="43">
        <v>819558.58</v>
      </c>
    </row>
    <row r="29" spans="1:14" x14ac:dyDescent="0.3">
      <c r="A29" s="42" t="s">
        <v>111</v>
      </c>
      <c r="B29" s="43">
        <v>56041.840000000004</v>
      </c>
      <c r="C29" s="43">
        <v>43978.47</v>
      </c>
      <c r="D29" s="43">
        <v>130752.95000000001</v>
      </c>
      <c r="E29" s="43">
        <v>49945.919999999991</v>
      </c>
      <c r="F29" s="43">
        <v>59507.42</v>
      </c>
      <c r="G29" s="43">
        <v>66753.66</v>
      </c>
      <c r="H29" s="43">
        <v>140235.22</v>
      </c>
      <c r="I29" s="43">
        <v>61143.740000000005</v>
      </c>
      <c r="J29" s="43">
        <v>121716.57999999999</v>
      </c>
      <c r="K29" s="43">
        <v>8289.0300000000007</v>
      </c>
      <c r="L29" s="43">
        <v>103237.54000000001</v>
      </c>
      <c r="M29" s="43">
        <v>59696.52</v>
      </c>
      <c r="N29" s="43">
        <v>901298.89</v>
      </c>
    </row>
    <row r="30" spans="1:14" x14ac:dyDescent="0.3">
      <c r="A30" s="42" t="s">
        <v>201</v>
      </c>
      <c r="B30" s="43">
        <v>12767.82</v>
      </c>
      <c r="C30" s="43">
        <v>18592.259999999998</v>
      </c>
      <c r="D30" s="43">
        <v>66759.360000000001</v>
      </c>
      <c r="E30" s="43">
        <v>131132.87999999998</v>
      </c>
      <c r="F30" s="43">
        <v>30080.400000000001</v>
      </c>
      <c r="G30" s="43">
        <v>19115.52</v>
      </c>
      <c r="H30" s="43">
        <v>13927.630000000001</v>
      </c>
      <c r="I30" s="43">
        <v>89359.819999999992</v>
      </c>
      <c r="J30" s="43">
        <v>26249.420000000002</v>
      </c>
      <c r="K30" s="43">
        <v>79217.400000000009</v>
      </c>
      <c r="L30" s="43">
        <v>28769.67</v>
      </c>
      <c r="M30" s="43">
        <v>60332.900000000009</v>
      </c>
      <c r="N30" s="43">
        <v>576305.07999999996</v>
      </c>
    </row>
    <row r="31" spans="1:14" x14ac:dyDescent="0.3">
      <c r="A31" s="42" t="s">
        <v>343</v>
      </c>
      <c r="B31" s="43">
        <v>77569.16</v>
      </c>
      <c r="C31" s="43">
        <v>80384.530000000013</v>
      </c>
      <c r="D31" s="43">
        <v>36563.800000000003</v>
      </c>
      <c r="E31" s="43">
        <v>78106.28</v>
      </c>
      <c r="F31" s="43">
        <v>85103.459999999992</v>
      </c>
      <c r="G31" s="43">
        <v>49268.729999999996</v>
      </c>
      <c r="H31" s="43">
        <v>32250.519999999997</v>
      </c>
      <c r="I31" s="43">
        <v>18606.830000000002</v>
      </c>
      <c r="J31" s="43">
        <v>133645.79999999999</v>
      </c>
      <c r="K31" s="43">
        <v>110709.74999999999</v>
      </c>
      <c r="L31" s="43">
        <v>110369.59</v>
      </c>
      <c r="M31" s="43">
        <v>104514.17000000001</v>
      </c>
      <c r="N31" s="43">
        <v>917092.62</v>
      </c>
    </row>
    <row r="32" spans="1:14" x14ac:dyDescent="0.3">
      <c r="A32" s="42" t="s">
        <v>128</v>
      </c>
      <c r="B32" s="43">
        <v>36574.000000000007</v>
      </c>
      <c r="C32" s="43">
        <v>63178.48</v>
      </c>
      <c r="D32" s="43">
        <v>65497.58</v>
      </c>
      <c r="E32" s="43">
        <v>45577.729999999996</v>
      </c>
      <c r="F32" s="43">
        <v>68897.649999999994</v>
      </c>
      <c r="G32" s="43">
        <v>47140.72</v>
      </c>
      <c r="H32" s="43">
        <v>88182.8</v>
      </c>
      <c r="I32" s="43">
        <v>168231.25</v>
      </c>
      <c r="J32" s="43">
        <v>44209.14</v>
      </c>
      <c r="K32" s="43">
        <v>137494.43</v>
      </c>
      <c r="L32" s="43">
        <v>64459.770000000004</v>
      </c>
      <c r="M32" s="43">
        <v>51024.5</v>
      </c>
      <c r="N32" s="43">
        <v>880468.05</v>
      </c>
    </row>
    <row r="33" spans="1:14" x14ac:dyDescent="0.3">
      <c r="A33" s="42" t="s">
        <v>229</v>
      </c>
      <c r="B33" s="43">
        <v>45369.15</v>
      </c>
      <c r="C33" s="43">
        <v>142134.07</v>
      </c>
      <c r="D33" s="43">
        <v>63730.97</v>
      </c>
      <c r="E33" s="43">
        <v>124581.45</v>
      </c>
      <c r="F33" s="43">
        <v>180359.49</v>
      </c>
      <c r="G33" s="43">
        <v>29011.879999999997</v>
      </c>
      <c r="H33" s="43">
        <v>60836.130000000005</v>
      </c>
      <c r="I33" s="43">
        <v>134005.79</v>
      </c>
      <c r="J33" s="43">
        <v>18360.240000000002</v>
      </c>
      <c r="K33" s="43">
        <v>27441.88</v>
      </c>
      <c r="L33" s="43">
        <v>65290.45</v>
      </c>
      <c r="M33" s="43">
        <v>125575.3</v>
      </c>
      <c r="N33" s="43">
        <v>1016696.8</v>
      </c>
    </row>
    <row r="34" spans="1:14" x14ac:dyDescent="0.3">
      <c r="A34" s="42" t="s">
        <v>170</v>
      </c>
      <c r="B34" s="43">
        <v>59170.81</v>
      </c>
      <c r="C34" s="43">
        <v>17274.29</v>
      </c>
      <c r="D34" s="43">
        <v>122041.05999999998</v>
      </c>
      <c r="E34" s="43">
        <v>36350.86</v>
      </c>
      <c r="F34" s="43">
        <v>47579.17</v>
      </c>
      <c r="G34" s="43">
        <v>67486.899999999994</v>
      </c>
      <c r="H34" s="43">
        <v>89271.18</v>
      </c>
      <c r="I34" s="43">
        <v>74000.900000000009</v>
      </c>
      <c r="J34" s="43">
        <v>26448.21</v>
      </c>
      <c r="K34" s="43">
        <v>40669.760000000002</v>
      </c>
      <c r="L34" s="43">
        <v>119624.48999999999</v>
      </c>
      <c r="M34" s="43">
        <v>47706.74</v>
      </c>
      <c r="N34" s="43">
        <v>747624.37</v>
      </c>
    </row>
    <row r="35" spans="1:14" x14ac:dyDescent="0.3">
      <c r="A35" s="42" t="s">
        <v>3039</v>
      </c>
      <c r="B35" s="43">
        <v>1941147.44</v>
      </c>
      <c r="C35" s="43">
        <v>2307493.6700000004</v>
      </c>
      <c r="D35" s="43">
        <v>2480322.6200000006</v>
      </c>
      <c r="E35" s="43">
        <v>2282454.13</v>
      </c>
      <c r="F35" s="43">
        <v>2580391.0199999996</v>
      </c>
      <c r="G35" s="43">
        <v>1965939.0699999994</v>
      </c>
      <c r="H35" s="43">
        <v>1965013.6899999997</v>
      </c>
      <c r="I35" s="43">
        <v>2527927.9600000004</v>
      </c>
      <c r="J35" s="43">
        <v>2062815.6200000003</v>
      </c>
      <c r="K35" s="43">
        <v>1977882.4299999997</v>
      </c>
      <c r="L35" s="43">
        <v>2297637.08</v>
      </c>
      <c r="M35" s="43">
        <v>2183923.4700000002</v>
      </c>
      <c r="N35" s="43">
        <v>26572948.200000003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227D-9769-403A-B0B4-B99A92E049AE}">
  <sheetPr>
    <tabColor rgb="FFFFC000"/>
  </sheetPr>
  <dimension ref="A1:U2001"/>
  <sheetViews>
    <sheetView topLeftCell="N1" workbookViewId="0">
      <selection activeCell="T2" sqref="T2:U6"/>
    </sheetView>
  </sheetViews>
  <sheetFormatPr defaultRowHeight="14.4" x14ac:dyDescent="0.3"/>
  <cols>
    <col min="1" max="1" width="11.33203125" customWidth="1"/>
    <col min="2" max="2" width="11.109375" customWidth="1"/>
    <col min="3" max="3" width="12.88671875" customWidth="1"/>
    <col min="4" max="4" width="11.33203125" customWidth="1"/>
    <col min="5" max="5" width="9.109375" customWidth="1"/>
    <col min="8" max="8" width="11.6640625" customWidth="1"/>
    <col min="9" max="9" width="11.5546875" bestFit="1" customWidth="1"/>
    <col min="11" max="11" width="15.88671875" customWidth="1"/>
    <col min="12" max="12" width="13.88671875" customWidth="1"/>
    <col min="15" max="15" width="11.88671875" customWidth="1"/>
    <col min="16" max="16" width="12.88671875" customWidth="1"/>
    <col min="17" max="17" width="11.33203125" customWidth="1"/>
    <col min="18" max="18" width="13.21875" customWidth="1"/>
    <col min="19" max="20" width="17" customWidth="1"/>
    <col min="21" max="21" width="11.21875" customWidth="1"/>
  </cols>
  <sheetData>
    <row r="1" spans="1:21" x14ac:dyDescent="0.3">
      <c r="A1" t="s">
        <v>3026</v>
      </c>
      <c r="B1" t="s">
        <v>3027</v>
      </c>
      <c r="C1" t="s">
        <v>3028</v>
      </c>
      <c r="D1" t="s">
        <v>3029</v>
      </c>
      <c r="E1" t="s">
        <v>3030</v>
      </c>
      <c r="F1" t="s">
        <v>3031</v>
      </c>
      <c r="G1" t="s">
        <v>3032</v>
      </c>
      <c r="H1" t="s">
        <v>3037</v>
      </c>
      <c r="I1" t="s">
        <v>3043</v>
      </c>
      <c r="J1" t="s">
        <v>3033</v>
      </c>
      <c r="K1" t="s">
        <v>3034</v>
      </c>
      <c r="L1" t="s">
        <v>3044</v>
      </c>
      <c r="M1" t="s">
        <v>3045</v>
      </c>
      <c r="N1" t="s">
        <v>3046</v>
      </c>
      <c r="O1" t="s">
        <v>3047</v>
      </c>
      <c r="P1" t="s">
        <v>3048</v>
      </c>
      <c r="Q1" t="s">
        <v>3049</v>
      </c>
      <c r="R1" t="s">
        <v>3050</v>
      </c>
      <c r="S1" t="s">
        <v>3051</v>
      </c>
      <c r="T1" t="s">
        <v>3052</v>
      </c>
      <c r="U1" t="s">
        <v>3053</v>
      </c>
    </row>
    <row r="2" spans="1:21" x14ac:dyDescent="0.3">
      <c r="A2" t="str">
        <f>Orders!A2</f>
        <v>ORD-00001</v>
      </c>
      <c r="B2">
        <f>Orders!B2</f>
        <v>45549</v>
      </c>
      <c r="C2">
        <f>Orders!I2</f>
        <v>24500.16</v>
      </c>
      <c r="D2" t="str">
        <f>Orders!E2</f>
        <v>R007</v>
      </c>
      <c r="E2" t="str">
        <f>IFERROR(VLOOKUP(Orders!D2,Products!$A$2:$C$61,3,FALSE),"Unknown")</f>
        <v>Apparel</v>
      </c>
      <c r="F2" t="str">
        <f>IFERROR(VLOOKUP(Orders!C2,Customers!$A$2:$E$301,5,FALSE),"Unknown")</f>
        <v>SMB</v>
      </c>
      <c r="G2">
        <f>IFERROR(VLOOKUP(Orders!C2,Customers!$A$2:$C$301,3,FALSE),"")</f>
        <v>44</v>
      </c>
      <c r="H2" t="str">
        <f>VLOOKUP(D2,Sales_Reps!$A$2:$C$31,3,FALSE)</f>
        <v>North</v>
      </c>
      <c r="I2" s="44">
        <f>DATE(YEAR(B2),MONTH(B2),1)</f>
        <v>45536</v>
      </c>
      <c r="J2" t="str">
        <f>Sales_Reps!A2</f>
        <v>R001</v>
      </c>
      <c r="K2">
        <f>SUMIF($D$2:$D$2001,J2,$C$2:$C$2001)</f>
        <v>789849.60000000009</v>
      </c>
      <c r="L2" t="str">
        <f>Orders!K2</f>
        <v>Pune</v>
      </c>
      <c r="M2">
        <f>Orders!G2</f>
        <v>3620</v>
      </c>
      <c r="N2">
        <f>IFERROR(VLOOKUP(Orders!D2,Products!$A$2:$D$61,4,FALSE),"")</f>
        <v>2509</v>
      </c>
      <c r="O2">
        <f>IF(OR(N2="",M2&lt;=0),"",(M2-N2)/M2)</f>
        <v>0.3069060773480663</v>
      </c>
      <c r="P2">
        <f>_xlfn.RANK.EQ(K2,$K$2:$K$31,0)</f>
        <v>23</v>
      </c>
      <c r="Q2" t="str">
        <f>Orders!D2</f>
        <v>PROD-014</v>
      </c>
      <c r="R2" t="str">
        <f>Products!A2</f>
        <v>PROD-001</v>
      </c>
      <c r="S2">
        <f>SUMIFS($C$2:$C$2001,$H$2:$H$2001,"West",$Q$2:$Q$2001,R2)</f>
        <v>155358.84</v>
      </c>
      <c r="T2">
        <f>ROWS($T$2:T2)</f>
        <v>1</v>
      </c>
      <c r="U2" t="str">
        <f>VLOOKUP(INDEX($J$2:$J$31,MATCH(T2,$P$2:$P$31,0)),Sales_Reps!$A$2:$B$31,2,FALSE)</f>
        <v>Neha Desai</v>
      </c>
    </row>
    <row r="3" spans="1:21" x14ac:dyDescent="0.3">
      <c r="A3" t="str">
        <f>Orders!A3</f>
        <v>ORD-00002</v>
      </c>
      <c r="B3">
        <f>Orders!B3</f>
        <v>45340</v>
      </c>
      <c r="C3">
        <f>Orders!I3</f>
        <v>1462.88</v>
      </c>
      <c r="D3" t="str">
        <f>Orders!E3</f>
        <v>R005</v>
      </c>
      <c r="E3" t="str">
        <f>IFERROR(VLOOKUP(Orders!D3,Products!$A$2:$C$61,3,FALSE),"Unknown")</f>
        <v>Apparel</v>
      </c>
      <c r="F3" t="str">
        <f>IFERROR(VLOOKUP(Orders!C3,Customers!$A$2:$E$301,5,FALSE),"Unknown")</f>
        <v>Retail</v>
      </c>
      <c r="G3">
        <f>IFERROR(VLOOKUP(Orders!C3,Customers!$A$2:$C$301,3,FALSE),"")</f>
        <v>39</v>
      </c>
      <c r="H3" t="str">
        <f>VLOOKUP(D3,Sales_Reps!$A$2:$C$31,3,FALSE)</f>
        <v>North</v>
      </c>
      <c r="I3" s="44">
        <f t="shared" ref="I3:I66" si="0">DATE(YEAR(B3),MONTH(B3),1)</f>
        <v>45323</v>
      </c>
      <c r="J3" t="str">
        <f>Sales_Reps!A3</f>
        <v>R002</v>
      </c>
      <c r="K3">
        <f t="shared" ref="K3:K31" si="1">SUMIF($D$2:$D$2001,J3,$C$2:$C$2001)</f>
        <v>980063.65999999968</v>
      </c>
      <c r="L3" t="str">
        <f>Orders!K3</f>
        <v>Chennai</v>
      </c>
      <c r="M3">
        <f>Orders!G3</f>
        <v>820</v>
      </c>
      <c r="N3">
        <f>IFERROR(VLOOKUP(Orders!D3,Products!$A$2:$D$61,4,FALSE),"")</f>
        <v>391</v>
      </c>
      <c r="O3">
        <f t="shared" ref="O3:O66" si="2">IF(OR(N3="",M3&lt;=0),"",(M3-N3)/M3)</f>
        <v>0.52317073170731709</v>
      </c>
      <c r="P3">
        <f t="shared" ref="P3:P31" si="3">_xlfn.RANK.EQ(K3,$K$2:$K$31,0)</f>
        <v>9</v>
      </c>
      <c r="Q3" t="str">
        <f>Orders!D3</f>
        <v>PROD-020</v>
      </c>
      <c r="R3" t="str">
        <f>Products!A3</f>
        <v>PROD-002</v>
      </c>
      <c r="S3">
        <f t="shared" ref="S3:S61" si="4">SUMIFS($C$2:$C$2001,$H$2:$H$2001,"West",$Q$2:$Q$2001,R3)</f>
        <v>105284.40000000001</v>
      </c>
      <c r="T3">
        <f>ROWS($T$2:T3)</f>
        <v>2</v>
      </c>
      <c r="U3" t="str">
        <f>VLOOKUP(INDEX($J$2:$J$31,MATCH(T3,$P$2:$P$31,0)),Sales_Reps!$A$2:$B$31,2,FALSE)</f>
        <v>Shalini Patel</v>
      </c>
    </row>
    <row r="4" spans="1:21" x14ac:dyDescent="0.3">
      <c r="A4" t="str">
        <f>Orders!A4</f>
        <v>ORD-00003</v>
      </c>
      <c r="B4">
        <f>Orders!B4</f>
        <v>45371</v>
      </c>
      <c r="C4">
        <f>Orders!I4</f>
        <v>3635.92</v>
      </c>
      <c r="D4" t="str">
        <f>Orders!E4</f>
        <v>R014</v>
      </c>
      <c r="E4" t="str">
        <f>IFERROR(VLOOKUP(Orders!D4,Products!$A$2:$C$61,3,FALSE),"Unknown")</f>
        <v>Sports</v>
      </c>
      <c r="F4" t="str">
        <f>IFERROR(VLOOKUP(Orders!C4,Customers!$A$2:$E$301,5,FALSE),"Unknown")</f>
        <v>Retail</v>
      </c>
      <c r="G4">
        <f>IFERROR(VLOOKUP(Orders!C4,Customers!$A$2:$C$301,3,FALSE),"")</f>
        <v>52</v>
      </c>
      <c r="H4" t="str">
        <f>VLOOKUP(D4,Sales_Reps!$A$2:$C$31,3,FALSE)</f>
        <v>South</v>
      </c>
      <c r="I4" s="44">
        <f t="shared" si="0"/>
        <v>45352</v>
      </c>
      <c r="J4" t="str">
        <f>Sales_Reps!A4</f>
        <v>R003</v>
      </c>
      <c r="K4">
        <f t="shared" si="1"/>
        <v>986692.91</v>
      </c>
      <c r="L4" t="str">
        <f>Orders!K4</f>
        <v>Delhi</v>
      </c>
      <c r="M4">
        <f>Orders!G4</f>
        <v>470</v>
      </c>
      <c r="N4">
        <f>IFERROR(VLOOKUP(Orders!D4,Products!$A$2:$D$61,4,FALSE),"")</f>
        <v>302</v>
      </c>
      <c r="O4">
        <f t="shared" si="2"/>
        <v>0.35744680851063831</v>
      </c>
      <c r="P4">
        <f t="shared" si="3"/>
        <v>7</v>
      </c>
      <c r="Q4" t="str">
        <f>Orders!D4</f>
        <v>PROD-053</v>
      </c>
      <c r="R4" t="str">
        <f>Products!A4</f>
        <v>PROD-003</v>
      </c>
      <c r="S4">
        <f t="shared" si="4"/>
        <v>248025.75</v>
      </c>
      <c r="T4">
        <f>ROWS($T$2:T4)</f>
        <v>3</v>
      </c>
      <c r="U4" t="str">
        <f>VLOOKUP(INDEX($J$2:$J$31,MATCH(T4,$P$2:$P$31,0)),Sales_Reps!$A$2:$B$31,2,FALSE)</f>
        <v>Deepak Shah</v>
      </c>
    </row>
    <row r="5" spans="1:21" x14ac:dyDescent="0.3">
      <c r="A5" t="str">
        <f>Orders!A5</f>
        <v>ORD-00004</v>
      </c>
      <c r="B5">
        <f>Orders!B5</f>
        <v>45413</v>
      </c>
      <c r="C5">
        <f>Orders!I5</f>
        <v>3085.38</v>
      </c>
      <c r="D5" t="str">
        <f>Orders!E5</f>
        <v>R006</v>
      </c>
      <c r="E5" t="str">
        <f>IFERROR(VLOOKUP(Orders!D5,Products!$A$2:$C$61,3,FALSE),"Unknown")</f>
        <v>Grocery</v>
      </c>
      <c r="F5" t="str">
        <f>IFERROR(VLOOKUP(Orders!C5,Customers!$A$2:$E$301,5,FALSE),"Unknown")</f>
        <v>Corporate</v>
      </c>
      <c r="G5">
        <f>IFERROR(VLOOKUP(Orders!C5,Customers!$A$2:$C$301,3,FALSE),"")</f>
        <v>46</v>
      </c>
      <c r="H5" t="str">
        <f>VLOOKUP(D5,Sales_Reps!$A$2:$C$31,3,FALSE)</f>
        <v>North</v>
      </c>
      <c r="I5" s="44">
        <f t="shared" si="0"/>
        <v>45413</v>
      </c>
      <c r="J5" t="str">
        <f>Sales_Reps!A5</f>
        <v>R004</v>
      </c>
      <c r="K5">
        <f t="shared" si="1"/>
        <v>589026.2899999998</v>
      </c>
      <c r="L5" t="str">
        <f>Orders!K5</f>
        <v>Delhi</v>
      </c>
      <c r="M5">
        <f>Orders!G5</f>
        <v>3660</v>
      </c>
      <c r="N5">
        <f>IFERROR(VLOOKUP(Orders!D5,Products!$A$2:$D$61,4,FALSE),"")</f>
        <v>2214</v>
      </c>
      <c r="O5">
        <f t="shared" si="2"/>
        <v>0.39508196721311473</v>
      </c>
      <c r="P5">
        <f t="shared" si="3"/>
        <v>29</v>
      </c>
      <c r="Q5" t="str">
        <f>Orders!D5</f>
        <v>PROD-028</v>
      </c>
      <c r="R5" t="str">
        <f>Products!A5</f>
        <v>PROD-004</v>
      </c>
      <c r="S5">
        <f t="shared" si="4"/>
        <v>198124.65</v>
      </c>
      <c r="T5">
        <f>ROWS($T$2:T5)</f>
        <v>4</v>
      </c>
      <c r="U5" t="str">
        <f>VLOOKUP(INDEX($J$2:$J$31,MATCH(T5,$P$2:$P$31,0)),Sales_Reps!$A$2:$B$31,2,FALSE)</f>
        <v>Nisha Menon</v>
      </c>
    </row>
    <row r="6" spans="1:21" x14ac:dyDescent="0.3">
      <c r="A6" t="str">
        <f>Orders!A6</f>
        <v>ORD-00005</v>
      </c>
      <c r="B6">
        <f>Orders!B6</f>
        <v>45611</v>
      </c>
      <c r="C6">
        <f>Orders!I6</f>
        <v>2338.4</v>
      </c>
      <c r="D6" t="str">
        <f>Orders!E6</f>
        <v>R008</v>
      </c>
      <c r="E6" t="str">
        <f>IFERROR(VLOOKUP(Orders!D6,Products!$A$2:$C$61,3,FALSE),"Unknown")</f>
        <v>Apparel</v>
      </c>
      <c r="F6" t="str">
        <f>IFERROR(VLOOKUP(Orders!C6,Customers!$A$2:$E$301,5,FALSE),"Unknown")</f>
        <v>Retail</v>
      </c>
      <c r="G6">
        <f>IFERROR(VLOOKUP(Orders!C6,Customers!$A$2:$C$301,3,FALSE),"")</f>
        <v>36</v>
      </c>
      <c r="H6" t="str">
        <f>VLOOKUP(D6,Sales_Reps!$A$2:$C$31,3,FALSE)</f>
        <v>North</v>
      </c>
      <c r="I6" s="44">
        <f t="shared" si="0"/>
        <v>45597</v>
      </c>
      <c r="J6" t="str">
        <f>Sales_Reps!A6</f>
        <v>R005</v>
      </c>
      <c r="K6">
        <f t="shared" si="1"/>
        <v>782445.33</v>
      </c>
      <c r="L6" t="str">
        <f>Orders!K6</f>
        <v>Chennai</v>
      </c>
      <c r="M6">
        <f>Orders!G6</f>
        <v>3160</v>
      </c>
      <c r="N6">
        <f>IFERROR(VLOOKUP(Orders!D6,Products!$A$2:$D$61,4,FALSE),"")</f>
        <v>1886</v>
      </c>
      <c r="O6">
        <f t="shared" si="2"/>
        <v>0.4031645569620253</v>
      </c>
      <c r="P6">
        <f t="shared" si="3"/>
        <v>24</v>
      </c>
      <c r="Q6" t="str">
        <f>Orders!D6</f>
        <v>PROD-012</v>
      </c>
      <c r="R6" t="str">
        <f>Products!A6</f>
        <v>PROD-005</v>
      </c>
      <c r="S6">
        <f t="shared" si="4"/>
        <v>7449.9000000000005</v>
      </c>
      <c r="T6">
        <f>ROWS($T$2:T6)</f>
        <v>5</v>
      </c>
      <c r="U6" t="str">
        <f>VLOOKUP(INDEX($J$2:$J$31,MATCH(T6,$P$2:$P$31,0)),Sales_Reps!$A$2:$B$31,2,FALSE)</f>
        <v>Arun Iyer</v>
      </c>
    </row>
    <row r="7" spans="1:21" x14ac:dyDescent="0.3">
      <c r="A7" t="str">
        <f>Orders!A7</f>
        <v>ORD-00006</v>
      </c>
      <c r="B7">
        <f>Orders!B7</f>
        <v>45406</v>
      </c>
      <c r="C7">
        <f>Orders!I7</f>
        <v>1050.8</v>
      </c>
      <c r="D7" t="str">
        <f>Orders!E7</f>
        <v>R025</v>
      </c>
      <c r="E7" t="str">
        <f>IFERROR(VLOOKUP(Orders!D7,Products!$A$2:$C$61,3,FALSE),"Unknown")</f>
        <v>Home</v>
      </c>
      <c r="F7" t="str">
        <f>IFERROR(VLOOKUP(Orders!C7,Customers!$A$2:$E$301,5,FALSE),"Unknown")</f>
        <v>Retail</v>
      </c>
      <c r="G7">
        <f>IFERROR(VLOOKUP(Orders!C7,Customers!$A$2:$C$301,3,FALSE),"")</f>
        <v>36</v>
      </c>
      <c r="H7" t="str">
        <f>VLOOKUP(D7,Sales_Reps!$A$2:$C$31,3,FALSE)</f>
        <v>West</v>
      </c>
      <c r="I7" s="44">
        <f t="shared" si="0"/>
        <v>45383</v>
      </c>
      <c r="J7" t="str">
        <f>Sales_Reps!A7</f>
        <v>R006</v>
      </c>
      <c r="K7">
        <f t="shared" si="1"/>
        <v>1138648.73</v>
      </c>
      <c r="L7" t="str">
        <f>Orders!K7</f>
        <v>Mumbai</v>
      </c>
      <c r="M7">
        <f>Orders!G7</f>
        <v>370</v>
      </c>
      <c r="N7">
        <f>IFERROR(VLOOKUP(Orders!D7,Products!$A$2:$D$61,4,FALSE),"")</f>
        <v>288</v>
      </c>
      <c r="O7">
        <f t="shared" si="2"/>
        <v>0.22162162162162163</v>
      </c>
      <c r="P7">
        <f t="shared" si="3"/>
        <v>1</v>
      </c>
      <c r="Q7" t="str">
        <f>Orders!D7</f>
        <v>PROD-032</v>
      </c>
      <c r="R7" t="str">
        <f>Products!A7</f>
        <v>PROD-006</v>
      </c>
      <c r="S7">
        <f t="shared" si="4"/>
        <v>100869.76000000001</v>
      </c>
    </row>
    <row r="8" spans="1:21" x14ac:dyDescent="0.3">
      <c r="A8" t="str">
        <f>Orders!A8</f>
        <v>ORD-00007</v>
      </c>
      <c r="B8">
        <f>Orders!B8</f>
        <v>45455</v>
      </c>
      <c r="C8">
        <f>Orders!I8</f>
        <v>2712.96</v>
      </c>
      <c r="D8" t="str">
        <f>Orders!E8</f>
        <v>R024</v>
      </c>
      <c r="E8" t="str">
        <f>IFERROR(VLOOKUP(Orders!D8,Products!$A$2:$C$61,3,FALSE),"Unknown")</f>
        <v>Sports</v>
      </c>
      <c r="F8" t="str">
        <f>IFERROR(VLOOKUP(Orders!C8,Customers!$A$2:$E$301,5,FALSE),"Unknown")</f>
        <v>Retail</v>
      </c>
      <c r="G8">
        <f>IFERROR(VLOOKUP(Orders!C8,Customers!$A$2:$C$301,3,FALSE),"")</f>
        <v>27</v>
      </c>
      <c r="H8" t="str">
        <f>VLOOKUP(D8,Sales_Reps!$A$2:$C$31,3,FALSE)</f>
        <v>West</v>
      </c>
      <c r="I8" s="44">
        <f t="shared" si="0"/>
        <v>45444</v>
      </c>
      <c r="J8" t="str">
        <f>Sales_Reps!A8</f>
        <v>R007</v>
      </c>
      <c r="K8">
        <f t="shared" si="1"/>
        <v>855749.67999999982</v>
      </c>
      <c r="L8" t="str">
        <f>Orders!K8</f>
        <v>Bengaluru</v>
      </c>
      <c r="M8">
        <f>Orders!G8</f>
        <v>960</v>
      </c>
      <c r="N8">
        <f>IFERROR(VLOOKUP(Orders!D8,Products!$A$2:$D$61,4,FALSE),"")</f>
        <v>705</v>
      </c>
      <c r="O8">
        <f t="shared" si="2"/>
        <v>0.265625</v>
      </c>
      <c r="P8">
        <f t="shared" si="3"/>
        <v>19</v>
      </c>
      <c r="Q8" t="str">
        <f>Orders!D8</f>
        <v>PROD-057</v>
      </c>
      <c r="R8" t="str">
        <f>Products!A8</f>
        <v>PROD-007</v>
      </c>
      <c r="S8">
        <f t="shared" si="4"/>
        <v>38531.35</v>
      </c>
    </row>
    <row r="9" spans="1:21" x14ac:dyDescent="0.3">
      <c r="A9" t="str">
        <f>Orders!A9</f>
        <v>ORD-00008</v>
      </c>
      <c r="B9">
        <f>Orders!B9</f>
        <v>45617</v>
      </c>
      <c r="C9">
        <f>Orders!I9</f>
        <v>11165.44</v>
      </c>
      <c r="D9" t="str">
        <f>Orders!E9</f>
        <v>R019</v>
      </c>
      <c r="E9" t="str">
        <f>IFERROR(VLOOKUP(Orders!D9,Products!$A$2:$C$61,3,FALSE),"Unknown")</f>
        <v>Electronics</v>
      </c>
      <c r="F9" t="str">
        <f>IFERROR(VLOOKUP(Orders!C9,Customers!$A$2:$E$301,5,FALSE),"Unknown")</f>
        <v>Corporate</v>
      </c>
      <c r="G9">
        <f>IFERROR(VLOOKUP(Orders!C9,Customers!$A$2:$C$301,3,FALSE),"")</f>
        <v>57</v>
      </c>
      <c r="H9" t="str">
        <f>VLOOKUP(D9,Sales_Reps!$A$2:$C$31,3,FALSE)</f>
        <v>East</v>
      </c>
      <c r="I9" s="44">
        <f t="shared" si="0"/>
        <v>45597</v>
      </c>
      <c r="J9" t="str">
        <f>Sales_Reps!A9</f>
        <v>R008</v>
      </c>
      <c r="K9">
        <f t="shared" si="1"/>
        <v>861553.33</v>
      </c>
      <c r="L9" t="str">
        <f>Orders!K9</f>
        <v>Bengaluru</v>
      </c>
      <c r="M9">
        <f>Orders!G9</f>
        <v>1430</v>
      </c>
      <c r="N9">
        <f>IFERROR(VLOOKUP(Orders!D9,Products!$A$2:$D$61,4,FALSE),"")</f>
        <v>861</v>
      </c>
      <c r="O9">
        <f t="shared" si="2"/>
        <v>0.39790209790209791</v>
      </c>
      <c r="P9">
        <f t="shared" si="3"/>
        <v>18</v>
      </c>
      <c r="Q9" t="str">
        <f>Orders!D9</f>
        <v>PROD-007</v>
      </c>
      <c r="R9" t="str">
        <f>Products!A9</f>
        <v>PROD-008</v>
      </c>
      <c r="S9">
        <f t="shared" si="4"/>
        <v>7807.1</v>
      </c>
    </row>
    <row r="10" spans="1:21" x14ac:dyDescent="0.3">
      <c r="A10" t="str">
        <f>Orders!A10</f>
        <v>ORD-00009</v>
      </c>
      <c r="B10">
        <f>Orders!B10</f>
        <v>45549</v>
      </c>
      <c r="C10">
        <f>Orders!I10</f>
        <v>14131.26</v>
      </c>
      <c r="D10" t="str">
        <f>Orders!E10</f>
        <v>R008</v>
      </c>
      <c r="E10" t="str">
        <f>IFERROR(VLOOKUP(Orders!D10,Products!$A$2:$C$61,3,FALSE),"Unknown")</f>
        <v>Home</v>
      </c>
      <c r="F10" t="str">
        <f>IFERROR(VLOOKUP(Orders!C10,Customers!$A$2:$E$301,5,FALSE),"Unknown")</f>
        <v>Retail</v>
      </c>
      <c r="G10">
        <f>IFERROR(VLOOKUP(Orders!C10,Customers!$A$2:$C$301,3,FALSE),"")</f>
        <v>42</v>
      </c>
      <c r="H10" t="str">
        <f>VLOOKUP(D10,Sales_Reps!$A$2:$C$31,3,FALSE)</f>
        <v>North</v>
      </c>
      <c r="I10" s="44">
        <f t="shared" si="0"/>
        <v>45536</v>
      </c>
      <c r="J10" t="str">
        <f>Sales_Reps!A10</f>
        <v>R009</v>
      </c>
      <c r="K10">
        <f t="shared" si="1"/>
        <v>914554.71999999986</v>
      </c>
      <c r="L10" t="str">
        <f>Orders!K10</f>
        <v>Bengaluru</v>
      </c>
      <c r="M10">
        <f>Orders!G10</f>
        <v>5490</v>
      </c>
      <c r="N10">
        <f>IFERROR(VLOOKUP(Orders!D10,Products!$A$2:$D$61,4,FALSE),"")</f>
        <v>2549</v>
      </c>
      <c r="O10">
        <f t="shared" si="2"/>
        <v>0.53570127504553733</v>
      </c>
      <c r="P10">
        <f t="shared" si="3"/>
        <v>12</v>
      </c>
      <c r="Q10" t="str">
        <f>Orders!D10</f>
        <v>PROD-038</v>
      </c>
      <c r="R10" t="str">
        <f>Products!A10</f>
        <v>PROD-009</v>
      </c>
      <c r="S10">
        <f t="shared" si="4"/>
        <v>64207.380000000005</v>
      </c>
    </row>
    <row r="11" spans="1:21" x14ac:dyDescent="0.3">
      <c r="A11" t="str">
        <f>Orders!A11</f>
        <v>ORD-00010</v>
      </c>
      <c r="B11">
        <f>Orders!B11</f>
        <v>45396</v>
      </c>
      <c r="C11">
        <f>Orders!I11</f>
        <v>2875.08</v>
      </c>
      <c r="D11" t="str">
        <f>Orders!E11</f>
        <v>R028</v>
      </c>
      <c r="E11" t="str">
        <f>IFERROR(VLOOKUP(Orders!D11,Products!$A$2:$C$61,3,FALSE),"Unknown")</f>
        <v>Grocery</v>
      </c>
      <c r="F11" t="str">
        <f>IFERROR(VLOOKUP(Orders!C11,Customers!$A$2:$E$301,5,FALSE),"Unknown")</f>
        <v>Retail</v>
      </c>
      <c r="G11">
        <f>IFERROR(VLOOKUP(Orders!C11,Customers!$A$2:$C$301,3,FALSE),"")</f>
        <v>56</v>
      </c>
      <c r="H11" t="str">
        <f>VLOOKUP(D11,Sales_Reps!$A$2:$C$31,3,FALSE)</f>
        <v>West</v>
      </c>
      <c r="I11" s="44">
        <f t="shared" si="0"/>
        <v>45383</v>
      </c>
      <c r="J11" t="str">
        <f>Sales_Reps!A11</f>
        <v>R010</v>
      </c>
      <c r="K11">
        <f t="shared" si="1"/>
        <v>880345.20000000007</v>
      </c>
      <c r="L11" t="str">
        <f>Orders!K11</f>
        <v>Pune</v>
      </c>
      <c r="M11">
        <f>Orders!G11</f>
        <v>970</v>
      </c>
      <c r="N11">
        <f>IFERROR(VLOOKUP(Orders!D11,Products!$A$2:$D$61,4,FALSE),"")</f>
        <v>434</v>
      </c>
      <c r="O11">
        <f t="shared" si="2"/>
        <v>0.5525773195876289</v>
      </c>
      <c r="P11">
        <f t="shared" si="3"/>
        <v>17</v>
      </c>
      <c r="Q11" t="str">
        <f>Orders!D11</f>
        <v>PROD-030</v>
      </c>
      <c r="R11" t="str">
        <f>Products!A11</f>
        <v>PROD-010</v>
      </c>
      <c r="S11">
        <f t="shared" si="4"/>
        <v>67393.919999999998</v>
      </c>
    </row>
    <row r="12" spans="1:21" x14ac:dyDescent="0.3">
      <c r="A12" t="str">
        <f>Orders!A12</f>
        <v>ORD-00011</v>
      </c>
      <c r="B12">
        <f>Orders!B12</f>
        <v>45560</v>
      </c>
      <c r="C12">
        <f>Orders!I12</f>
        <v>14761.81</v>
      </c>
      <c r="D12" t="str">
        <f>Orders!E12</f>
        <v>R010</v>
      </c>
      <c r="E12" t="str">
        <f>IFERROR(VLOOKUP(Orders!D12,Products!$A$2:$C$61,3,FALSE),"Unknown")</f>
        <v>Grocery</v>
      </c>
      <c r="F12" t="str">
        <f>IFERROR(VLOOKUP(Orders!C12,Customers!$A$2:$E$301,5,FALSE),"Unknown")</f>
        <v>Retail</v>
      </c>
      <c r="G12">
        <f>IFERROR(VLOOKUP(Orders!C12,Customers!$A$2:$C$301,3,FALSE),"")</f>
        <v>60</v>
      </c>
      <c r="H12" t="str">
        <f>VLOOKUP(D12,Sales_Reps!$A$2:$C$31,3,FALSE)</f>
        <v>South</v>
      </c>
      <c r="I12" s="44">
        <f t="shared" si="0"/>
        <v>45536</v>
      </c>
      <c r="J12" t="str">
        <f>Sales_Reps!A12</f>
        <v>R011</v>
      </c>
      <c r="K12">
        <f t="shared" si="1"/>
        <v>735207.75999999989</v>
      </c>
      <c r="L12" t="str">
        <f>Orders!K12</f>
        <v>Hyderabad</v>
      </c>
      <c r="M12">
        <f>Orders!G12</f>
        <v>2270</v>
      </c>
      <c r="N12">
        <f>IFERROR(VLOOKUP(Orders!D12,Products!$A$2:$D$61,4,FALSE),"")</f>
        <v>1203</v>
      </c>
      <c r="O12">
        <f t="shared" si="2"/>
        <v>0.47004405286343615</v>
      </c>
      <c r="P12">
        <f t="shared" si="3"/>
        <v>28</v>
      </c>
      <c r="Q12" t="str">
        <f>Orders!D12</f>
        <v>PROD-024</v>
      </c>
      <c r="R12" t="str">
        <f>Products!A12</f>
        <v>PROD-011</v>
      </c>
      <c r="S12">
        <f t="shared" si="4"/>
        <v>145224.29999999999</v>
      </c>
    </row>
    <row r="13" spans="1:21" x14ac:dyDescent="0.3">
      <c r="A13" t="str">
        <f>Orders!A13</f>
        <v>ORD-00012</v>
      </c>
      <c r="B13">
        <f>Orders!B13</f>
        <v>45332</v>
      </c>
      <c r="C13">
        <f>Orders!I13</f>
        <v>18604.080000000002</v>
      </c>
      <c r="D13" t="str">
        <f>Orders!E13</f>
        <v>R024</v>
      </c>
      <c r="E13" t="str">
        <f>IFERROR(VLOOKUP(Orders!D13,Products!$A$2:$C$61,3,FALSE),"Unknown")</f>
        <v>Electronics</v>
      </c>
      <c r="F13" t="str">
        <f>IFERROR(VLOOKUP(Orders!C13,Customers!$A$2:$E$301,5,FALSE),"Unknown")</f>
        <v>Retail</v>
      </c>
      <c r="G13">
        <f>IFERROR(VLOOKUP(Orders!C13,Customers!$A$2:$C$301,3,FALSE),"")</f>
        <v>56</v>
      </c>
      <c r="H13" t="str">
        <f>VLOOKUP(D13,Sales_Reps!$A$2:$C$31,3,FALSE)</f>
        <v>West</v>
      </c>
      <c r="I13" s="44">
        <f t="shared" si="0"/>
        <v>45323</v>
      </c>
      <c r="J13" t="str">
        <f>Sales_Reps!A13</f>
        <v>R012</v>
      </c>
      <c r="K13">
        <f t="shared" si="1"/>
        <v>901394.32000000007</v>
      </c>
      <c r="L13" t="str">
        <f>Orders!K13</f>
        <v>Pune</v>
      </c>
      <c r="M13">
        <f>Orders!G13</f>
        <v>2640</v>
      </c>
      <c r="N13">
        <f>IFERROR(VLOOKUP(Orders!D13,Products!$A$2:$D$61,4,FALSE),"")</f>
        <v>1149</v>
      </c>
      <c r="O13">
        <f t="shared" si="2"/>
        <v>0.56477272727272732</v>
      </c>
      <c r="P13">
        <f t="shared" si="3"/>
        <v>14</v>
      </c>
      <c r="Q13" t="str">
        <f>Orders!D13</f>
        <v>PROD-010</v>
      </c>
      <c r="R13" t="str">
        <f>Products!A13</f>
        <v>PROD-012</v>
      </c>
      <c r="S13">
        <f t="shared" si="4"/>
        <v>121770.59999999999</v>
      </c>
    </row>
    <row r="14" spans="1:21" x14ac:dyDescent="0.3">
      <c r="A14" t="str">
        <f>Orders!A14</f>
        <v>ORD-00013</v>
      </c>
      <c r="B14">
        <f>Orders!B14</f>
        <v>45507</v>
      </c>
      <c r="C14">
        <f>Orders!I14</f>
        <v>7464.6</v>
      </c>
      <c r="D14" t="str">
        <f>Orders!E14</f>
        <v>R004</v>
      </c>
      <c r="E14" t="str">
        <f>IFERROR(VLOOKUP(Orders!D14,Products!$A$2:$C$61,3,FALSE),"Unknown")</f>
        <v>Electronics</v>
      </c>
      <c r="F14" t="str">
        <f>IFERROR(VLOOKUP(Orders!C14,Customers!$A$2:$E$301,5,FALSE),"Unknown")</f>
        <v>SMB</v>
      </c>
      <c r="G14">
        <f>IFERROR(VLOOKUP(Orders!C14,Customers!$A$2:$C$301,3,FALSE),"")</f>
        <v>27</v>
      </c>
      <c r="H14" t="str">
        <f>VLOOKUP(D14,Sales_Reps!$A$2:$C$31,3,FALSE)</f>
        <v>North</v>
      </c>
      <c r="I14" s="44">
        <f t="shared" si="0"/>
        <v>45505</v>
      </c>
      <c r="J14" t="str">
        <f>Sales_Reps!A14</f>
        <v>R013</v>
      </c>
      <c r="K14">
        <f t="shared" si="1"/>
        <v>811524.37999999989</v>
      </c>
      <c r="L14" t="str">
        <f>Orders!K14</f>
        <v>Delhi</v>
      </c>
      <c r="M14">
        <f>Orders!G14</f>
        <v>2600</v>
      </c>
      <c r="N14">
        <f>IFERROR(VLOOKUP(Orders!D14,Products!$A$2:$D$61,4,FALSE),"")</f>
        <v>1052</v>
      </c>
      <c r="O14">
        <f t="shared" si="2"/>
        <v>0.5953846153846154</v>
      </c>
      <c r="P14">
        <f t="shared" si="3"/>
        <v>22</v>
      </c>
      <c r="Q14" t="str">
        <f>Orders!D14</f>
        <v>PROD-002</v>
      </c>
      <c r="R14" t="str">
        <f>Products!A14</f>
        <v>PROD-013</v>
      </c>
      <c r="S14">
        <f t="shared" si="4"/>
        <v>85543.640000000014</v>
      </c>
    </row>
    <row r="15" spans="1:21" x14ac:dyDescent="0.3">
      <c r="A15" t="str">
        <f>Orders!A15</f>
        <v>ORD-00014</v>
      </c>
      <c r="B15">
        <f>Orders!B15</f>
        <v>45466</v>
      </c>
      <c r="C15">
        <f>Orders!I15</f>
        <v>8375.25</v>
      </c>
      <c r="D15" t="str">
        <f>Orders!E15</f>
        <v>R025</v>
      </c>
      <c r="E15" t="str">
        <f>IFERROR(VLOOKUP(Orders!D15,Products!$A$2:$C$61,3,FALSE),"Unknown")</f>
        <v>Home</v>
      </c>
      <c r="F15" t="str">
        <f>IFERROR(VLOOKUP(Orders!C15,Customers!$A$2:$E$301,5,FALSE),"Unknown")</f>
        <v>SMB</v>
      </c>
      <c r="G15">
        <f>IFERROR(VLOOKUP(Orders!C15,Customers!$A$2:$C$301,3,FALSE),"")</f>
        <v>39</v>
      </c>
      <c r="H15" t="str">
        <f>VLOOKUP(D15,Sales_Reps!$A$2:$C$31,3,FALSE)</f>
        <v>West</v>
      </c>
      <c r="I15" s="44">
        <f t="shared" si="0"/>
        <v>45444</v>
      </c>
      <c r="J15" t="str">
        <f>Sales_Reps!A15</f>
        <v>R014</v>
      </c>
      <c r="K15">
        <f t="shared" si="1"/>
        <v>995713.54000000015</v>
      </c>
      <c r="L15" t="str">
        <f>Orders!K15</f>
        <v>Pune</v>
      </c>
      <c r="M15">
        <f>Orders!G15</f>
        <v>3250</v>
      </c>
      <c r="N15">
        <f>IFERROR(VLOOKUP(Orders!D15,Products!$A$2:$D$61,4,FALSE),"")</f>
        <v>1556</v>
      </c>
      <c r="O15">
        <f t="shared" si="2"/>
        <v>0.52123076923076928</v>
      </c>
      <c r="P15">
        <f t="shared" si="3"/>
        <v>6</v>
      </c>
      <c r="Q15" t="str">
        <f>Orders!D15</f>
        <v>PROD-036</v>
      </c>
      <c r="R15" t="str">
        <f>Products!A15</f>
        <v>PROD-014</v>
      </c>
      <c r="S15">
        <f t="shared" si="4"/>
        <v>95390.62</v>
      </c>
    </row>
    <row r="16" spans="1:21" x14ac:dyDescent="0.3">
      <c r="A16" t="str">
        <f>Orders!A16</f>
        <v>ORD-00015</v>
      </c>
      <c r="B16">
        <f>Orders!B16</f>
        <v>45365</v>
      </c>
      <c r="C16">
        <f>Orders!I16</f>
        <v>150.66999999999999</v>
      </c>
      <c r="D16" t="str">
        <f>Orders!E16</f>
        <v>R003</v>
      </c>
      <c r="E16" t="str">
        <f>IFERROR(VLOOKUP(Orders!D16,Products!$A$2:$C$61,3,FALSE),"Unknown")</f>
        <v>Sports</v>
      </c>
      <c r="F16" t="str">
        <f>IFERROR(VLOOKUP(Orders!C16,Customers!$A$2:$E$301,5,FALSE),"Unknown")</f>
        <v>Retail</v>
      </c>
      <c r="G16">
        <f>IFERROR(VLOOKUP(Orders!C16,Customers!$A$2:$C$301,3,FALSE),"")</f>
        <v>38</v>
      </c>
      <c r="H16" t="str">
        <f>VLOOKUP(D16,Sales_Reps!$A$2:$C$31,3,FALSE)</f>
        <v>North</v>
      </c>
      <c r="I16" s="44">
        <f t="shared" si="0"/>
        <v>45352</v>
      </c>
      <c r="J16" t="str">
        <f>Sales_Reps!A16</f>
        <v>R015</v>
      </c>
      <c r="K16">
        <f t="shared" si="1"/>
        <v>1091740.1799999997</v>
      </c>
      <c r="L16" t="str">
        <f>Orders!K16</f>
        <v>Pune</v>
      </c>
      <c r="M16">
        <f>Orders!G16</f>
        <v>190</v>
      </c>
      <c r="N16">
        <f>IFERROR(VLOOKUP(Orders!D16,Products!$A$2:$D$61,4,FALSE),"")</f>
        <v>147</v>
      </c>
      <c r="O16">
        <f t="shared" si="2"/>
        <v>0.22631578947368422</v>
      </c>
      <c r="P16">
        <f t="shared" si="3"/>
        <v>3</v>
      </c>
      <c r="Q16" t="str">
        <f>Orders!D16</f>
        <v>PROD-060</v>
      </c>
      <c r="R16" t="str">
        <f>Products!A16</f>
        <v>PROD-015</v>
      </c>
      <c r="S16">
        <f t="shared" si="4"/>
        <v>108190.72</v>
      </c>
    </row>
    <row r="17" spans="1:19" x14ac:dyDescent="0.3">
      <c r="A17" t="str">
        <f>Orders!A17</f>
        <v>ORD-00016</v>
      </c>
      <c r="B17">
        <f>Orders!B17</f>
        <v>45546</v>
      </c>
      <c r="C17">
        <f>Orders!I17</f>
        <v>15086.4</v>
      </c>
      <c r="D17" t="str">
        <f>Orders!E17</f>
        <v>R014</v>
      </c>
      <c r="E17" t="str">
        <f>IFERROR(VLOOKUP(Orders!D17,Products!$A$2:$C$61,3,FALSE),"Unknown")</f>
        <v>Sports</v>
      </c>
      <c r="F17" t="str">
        <f>IFERROR(VLOOKUP(Orders!C17,Customers!$A$2:$E$301,5,FALSE),"Unknown")</f>
        <v>Retail</v>
      </c>
      <c r="G17">
        <f>IFERROR(VLOOKUP(Orders!C17,Customers!$A$2:$C$301,3,FALSE),"")</f>
        <v>63</v>
      </c>
      <c r="H17" t="str">
        <f>VLOOKUP(D17,Sales_Reps!$A$2:$C$31,3,FALSE)</f>
        <v>South</v>
      </c>
      <c r="I17" s="44">
        <f t="shared" si="0"/>
        <v>45536</v>
      </c>
      <c r="J17" t="str">
        <f>Sales_Reps!A17</f>
        <v>R016</v>
      </c>
      <c r="K17">
        <f t="shared" si="1"/>
        <v>814563.7100000002</v>
      </c>
      <c r="L17" t="str">
        <f>Orders!K17</f>
        <v>Pune</v>
      </c>
      <c r="M17">
        <f>Orders!G17</f>
        <v>2400</v>
      </c>
      <c r="N17">
        <f>IFERROR(VLOOKUP(Orders!D17,Products!$A$2:$D$61,4,FALSE),"")</f>
        <v>974</v>
      </c>
      <c r="O17">
        <f t="shared" si="2"/>
        <v>0.59416666666666662</v>
      </c>
      <c r="P17">
        <f t="shared" si="3"/>
        <v>21</v>
      </c>
      <c r="Q17" t="str">
        <f>Orders!D17</f>
        <v>PROD-058</v>
      </c>
      <c r="R17" t="str">
        <f>Products!A17</f>
        <v>PROD-016</v>
      </c>
      <c r="S17">
        <f t="shared" si="4"/>
        <v>12964.820000000002</v>
      </c>
    </row>
    <row r="18" spans="1:19" x14ac:dyDescent="0.3">
      <c r="A18" t="str">
        <f>Orders!A18</f>
        <v>ORD-00017</v>
      </c>
      <c r="B18">
        <f>Orders!B18</f>
        <v>45512</v>
      </c>
      <c r="C18">
        <f>Orders!I18</f>
        <v>14259.36</v>
      </c>
      <c r="D18" t="str">
        <f>Orders!E18</f>
        <v>R023</v>
      </c>
      <c r="E18" t="str">
        <f>IFERROR(VLOOKUP(Orders!D18,Products!$A$2:$C$61,3,FALSE),"Unknown")</f>
        <v>Grocery</v>
      </c>
      <c r="F18" t="str">
        <f>IFERROR(VLOOKUP(Orders!C18,Customers!$A$2:$E$301,5,FALSE),"Unknown")</f>
        <v>SMB</v>
      </c>
      <c r="G18">
        <f>IFERROR(VLOOKUP(Orders!C18,Customers!$A$2:$C$301,3,FALSE),"")</f>
        <v>46</v>
      </c>
      <c r="H18" t="str">
        <f>VLOOKUP(D18,Sales_Reps!$A$2:$C$31,3,FALSE)</f>
        <v>East</v>
      </c>
      <c r="I18" s="44">
        <f t="shared" si="0"/>
        <v>45505</v>
      </c>
      <c r="J18" t="str">
        <f>Sales_Reps!A18</f>
        <v>R017</v>
      </c>
      <c r="K18">
        <f t="shared" si="1"/>
        <v>780384.40999999992</v>
      </c>
      <c r="L18" t="str">
        <f>Orders!K18</f>
        <v>Bengaluru</v>
      </c>
      <c r="M18">
        <f>Orders!G18</f>
        <v>3660</v>
      </c>
      <c r="N18">
        <f>IFERROR(VLOOKUP(Orders!D18,Products!$A$2:$D$61,4,FALSE),"")</f>
        <v>2214</v>
      </c>
      <c r="O18">
        <f t="shared" si="2"/>
        <v>0.39508196721311473</v>
      </c>
      <c r="P18">
        <f t="shared" si="3"/>
        <v>25</v>
      </c>
      <c r="Q18" t="str">
        <f>Orders!D18</f>
        <v>PROD-028</v>
      </c>
      <c r="R18" t="str">
        <f>Products!A18</f>
        <v>PROD-017</v>
      </c>
      <c r="S18">
        <f t="shared" si="4"/>
        <v>84699.95</v>
      </c>
    </row>
    <row r="19" spans="1:19" x14ac:dyDescent="0.3">
      <c r="A19" t="str">
        <f>Orders!A19</f>
        <v>ORD-00018</v>
      </c>
      <c r="B19">
        <f>Orders!B19</f>
        <v>45654</v>
      </c>
      <c r="C19">
        <f>Orders!I19</f>
        <v>22494</v>
      </c>
      <c r="D19" t="str">
        <f>Orders!E19</f>
        <v>R021</v>
      </c>
      <c r="E19" t="str">
        <f>IFERROR(VLOOKUP(Orders!D19,Products!$A$2:$C$61,3,FALSE),"Unknown")</f>
        <v>Beauty</v>
      </c>
      <c r="F19" t="str">
        <f>IFERROR(VLOOKUP(Orders!C19,Customers!$A$2:$E$301,5,FALSE),"Unknown")</f>
        <v>Corporate</v>
      </c>
      <c r="G19">
        <f>IFERROR(VLOOKUP(Orders!C19,Customers!$A$2:$C$301,3,FALSE),"")</f>
        <v>32</v>
      </c>
      <c r="H19" t="str">
        <f>VLOOKUP(D19,Sales_Reps!$A$2:$C$31,3,FALSE)</f>
        <v>East</v>
      </c>
      <c r="I19" s="44">
        <f t="shared" si="0"/>
        <v>45627</v>
      </c>
      <c r="J19" t="str">
        <f>Sales_Reps!A19</f>
        <v>R018</v>
      </c>
      <c r="K19">
        <f t="shared" si="1"/>
        <v>1112289.6400000001</v>
      </c>
      <c r="L19" t="str">
        <f>Orders!K19</f>
        <v>Hyderabad</v>
      </c>
      <c r="M19">
        <f>Orders!G19</f>
        <v>3450</v>
      </c>
      <c r="N19">
        <f>IFERROR(VLOOKUP(Orders!D19,Products!$A$2:$D$61,4,FALSE),"")</f>
        <v>2420</v>
      </c>
      <c r="O19">
        <f t="shared" si="2"/>
        <v>0.29855072463768118</v>
      </c>
      <c r="P19">
        <f t="shared" si="3"/>
        <v>2</v>
      </c>
      <c r="Q19" t="str">
        <f>Orders!D19</f>
        <v>PROD-047</v>
      </c>
      <c r="R19" t="str">
        <f>Products!A19</f>
        <v>PROD-018</v>
      </c>
      <c r="S19">
        <f t="shared" si="4"/>
        <v>100288.76000000001</v>
      </c>
    </row>
    <row r="20" spans="1:19" x14ac:dyDescent="0.3">
      <c r="A20" t="str">
        <f>Orders!A20</f>
        <v>ORD-00019</v>
      </c>
      <c r="B20">
        <f>Orders!B20</f>
        <v>45626</v>
      </c>
      <c r="C20">
        <f>Orders!I20</f>
        <v>15990.75</v>
      </c>
      <c r="D20" t="str">
        <f>Orders!E20</f>
        <v>R023</v>
      </c>
      <c r="E20" t="str">
        <f>IFERROR(VLOOKUP(Orders!D20,Products!$A$2:$C$61,3,FALSE),"Unknown")</f>
        <v>Sports</v>
      </c>
      <c r="F20" t="str">
        <f>IFERROR(VLOOKUP(Orders!C20,Customers!$A$2:$E$301,5,FALSE),"Unknown")</f>
        <v>Retail</v>
      </c>
      <c r="G20">
        <f>IFERROR(VLOOKUP(Orders!C20,Customers!$A$2:$C$301,3,FALSE),"")</f>
        <v>54</v>
      </c>
      <c r="H20" t="str">
        <f>VLOOKUP(D20,Sales_Reps!$A$2:$C$31,3,FALSE)</f>
        <v>East</v>
      </c>
      <c r="I20" s="44">
        <f t="shared" si="0"/>
        <v>45597</v>
      </c>
      <c r="J20" t="str">
        <f>Sales_Reps!A20</f>
        <v>R019</v>
      </c>
      <c r="K20">
        <f t="shared" si="1"/>
        <v>971183.52000000014</v>
      </c>
      <c r="L20" t="str">
        <f>Orders!K20</f>
        <v>Mumbai</v>
      </c>
      <c r="M20">
        <f>Orders!G20</f>
        <v>3450</v>
      </c>
      <c r="N20">
        <f>IFERROR(VLOOKUP(Orders!D20,Products!$A$2:$D$61,4,FALSE),"")</f>
        <v>2467</v>
      </c>
      <c r="O20">
        <f t="shared" si="2"/>
        <v>0.28492753623188405</v>
      </c>
      <c r="P20">
        <f t="shared" si="3"/>
        <v>10</v>
      </c>
      <c r="Q20" t="str">
        <f>Orders!D20</f>
        <v>PROD-051</v>
      </c>
      <c r="R20" t="str">
        <f>Products!A20</f>
        <v>PROD-019</v>
      </c>
      <c r="S20">
        <f t="shared" si="4"/>
        <v>104993.28</v>
      </c>
    </row>
    <row r="21" spans="1:19" x14ac:dyDescent="0.3">
      <c r="A21" t="str">
        <f>Orders!A21</f>
        <v>ORD-00020</v>
      </c>
      <c r="B21">
        <f>Orders!B21</f>
        <v>45394</v>
      </c>
      <c r="C21">
        <f>Orders!I21</f>
        <v>8449.92</v>
      </c>
      <c r="D21" t="str">
        <f>Orders!E21</f>
        <v>R023</v>
      </c>
      <c r="E21" t="str">
        <f>IFERROR(VLOOKUP(Orders!D21,Products!$A$2:$C$61,3,FALSE),"Unknown")</f>
        <v>Home</v>
      </c>
      <c r="F21" t="str">
        <f>IFERROR(VLOOKUP(Orders!C21,Customers!$A$2:$E$301,5,FALSE),"Unknown")</f>
        <v>Retail</v>
      </c>
      <c r="G21">
        <f>IFERROR(VLOOKUP(Orders!C21,Customers!$A$2:$C$301,3,FALSE),"")</f>
        <v>49</v>
      </c>
      <c r="H21" t="str">
        <f>VLOOKUP(D21,Sales_Reps!$A$2:$C$31,3,FALSE)</f>
        <v>East</v>
      </c>
      <c r="I21" s="44">
        <f t="shared" si="0"/>
        <v>45383</v>
      </c>
      <c r="J21" t="str">
        <f>Sales_Reps!A21</f>
        <v>R020</v>
      </c>
      <c r="K21">
        <f t="shared" si="1"/>
        <v>906107.71000000008</v>
      </c>
      <c r="L21" t="str">
        <f>Orders!K21</f>
        <v>Chennai</v>
      </c>
      <c r="M21">
        <f>Orders!G21</f>
        <v>1080</v>
      </c>
      <c r="N21">
        <f>IFERROR(VLOOKUP(Orders!D21,Products!$A$2:$D$61,4,FALSE),"")</f>
        <v>519</v>
      </c>
      <c r="O21">
        <f t="shared" si="2"/>
        <v>0.51944444444444449</v>
      </c>
      <c r="P21">
        <f t="shared" si="3"/>
        <v>13</v>
      </c>
      <c r="Q21" t="str">
        <f>Orders!D21</f>
        <v>PROD-040</v>
      </c>
      <c r="R21" t="str">
        <f>Products!A21</f>
        <v>PROD-020</v>
      </c>
      <c r="S21">
        <f t="shared" si="4"/>
        <v>9173.34</v>
      </c>
    </row>
    <row r="22" spans="1:19" x14ac:dyDescent="0.3">
      <c r="A22" t="str">
        <f>Orders!A22</f>
        <v>ORD-00021</v>
      </c>
      <c r="B22">
        <f>Orders!B22</f>
        <v>45470</v>
      </c>
      <c r="C22">
        <f>Orders!I22</f>
        <v>12377.68</v>
      </c>
      <c r="D22" t="str">
        <f>Orders!E22</f>
        <v>R006</v>
      </c>
      <c r="E22" t="str">
        <f>IFERROR(VLOOKUP(Orders!D22,Products!$A$2:$C$61,3,FALSE),"Unknown")</f>
        <v>Apparel</v>
      </c>
      <c r="F22" t="str">
        <f>IFERROR(VLOOKUP(Orders!C22,Customers!$A$2:$E$301,5,FALSE),"Unknown")</f>
        <v>Retail</v>
      </c>
      <c r="G22">
        <f>IFERROR(VLOOKUP(Orders!C22,Customers!$A$2:$C$301,3,FALSE),"")</f>
        <v>32</v>
      </c>
      <c r="H22" t="str">
        <f>VLOOKUP(D22,Sales_Reps!$A$2:$C$31,3,FALSE)</f>
        <v>North</v>
      </c>
      <c r="I22" s="44">
        <f t="shared" si="0"/>
        <v>45444</v>
      </c>
      <c r="J22" t="str">
        <f>Sales_Reps!A22</f>
        <v>R021</v>
      </c>
      <c r="K22">
        <f t="shared" si="1"/>
        <v>761507.17000000027</v>
      </c>
      <c r="L22" t="str">
        <f>Orders!K22</f>
        <v>Hyderabad</v>
      </c>
      <c r="M22">
        <f>Orders!G22</f>
        <v>2480</v>
      </c>
      <c r="N22">
        <f>IFERROR(VLOOKUP(Orders!D22,Products!$A$2:$D$61,4,FALSE),"")</f>
        <v>1173</v>
      </c>
      <c r="O22">
        <f t="shared" si="2"/>
        <v>0.52701612903225803</v>
      </c>
      <c r="P22">
        <f t="shared" si="3"/>
        <v>26</v>
      </c>
      <c r="Q22" t="str">
        <f>Orders!D22</f>
        <v>PROD-019</v>
      </c>
      <c r="R22" t="str">
        <f>Products!A22</f>
        <v>PROD-021</v>
      </c>
      <c r="S22">
        <f t="shared" si="4"/>
        <v>90555.6</v>
      </c>
    </row>
    <row r="23" spans="1:19" x14ac:dyDescent="0.3">
      <c r="A23" t="str">
        <f>Orders!A23</f>
        <v>ORD-00022</v>
      </c>
      <c r="B23">
        <f>Orders!B23</f>
        <v>45354</v>
      </c>
      <c r="C23">
        <f>Orders!I23</f>
        <v>9802</v>
      </c>
      <c r="D23" t="str">
        <f>Orders!E23</f>
        <v>R030</v>
      </c>
      <c r="E23" t="str">
        <f>IFERROR(VLOOKUP(Orders!D23,Products!$A$2:$C$61,3,FALSE),"Unknown")</f>
        <v>Home</v>
      </c>
      <c r="F23" t="str">
        <f>IFERROR(VLOOKUP(Orders!C23,Customers!$A$2:$E$301,5,FALSE),"Unknown")</f>
        <v>Retail</v>
      </c>
      <c r="G23">
        <f>IFERROR(VLOOKUP(Orders!C23,Customers!$A$2:$C$301,3,FALSE),"")</f>
        <v>34</v>
      </c>
      <c r="H23" t="str">
        <f>VLOOKUP(D23,Sales_Reps!$A$2:$C$31,3,FALSE)</f>
        <v>West</v>
      </c>
      <c r="I23" s="44">
        <f t="shared" si="0"/>
        <v>45352</v>
      </c>
      <c r="J23" t="str">
        <f>Sales_Reps!A23</f>
        <v>R022</v>
      </c>
      <c r="K23">
        <f t="shared" si="1"/>
        <v>1069570.5400000003</v>
      </c>
      <c r="L23" t="str">
        <f>Orders!K23</f>
        <v>Mumbai</v>
      </c>
      <c r="M23">
        <f>Orders!G23</f>
        <v>3250</v>
      </c>
      <c r="N23">
        <f>IFERROR(VLOOKUP(Orders!D23,Products!$A$2:$D$61,4,FALSE),"")</f>
        <v>1556</v>
      </c>
      <c r="O23">
        <f t="shared" si="2"/>
        <v>0.52123076923076928</v>
      </c>
      <c r="P23">
        <f t="shared" si="3"/>
        <v>4</v>
      </c>
      <c r="Q23" t="str">
        <f>Orders!D23</f>
        <v>PROD-036</v>
      </c>
      <c r="R23" t="str">
        <f>Products!A23</f>
        <v>PROD-022</v>
      </c>
      <c r="S23">
        <f t="shared" si="4"/>
        <v>66299.89</v>
      </c>
    </row>
    <row r="24" spans="1:19" x14ac:dyDescent="0.3">
      <c r="A24" t="str">
        <f>Orders!A24</f>
        <v>ORD-00023</v>
      </c>
      <c r="B24">
        <f>Orders!B24</f>
        <v>45530</v>
      </c>
      <c r="C24">
        <f>Orders!I24</f>
        <v>18066.240000000002</v>
      </c>
      <c r="D24" t="str">
        <f>Orders!E24</f>
        <v>R030</v>
      </c>
      <c r="E24" t="str">
        <f>IFERROR(VLOOKUP(Orders!D24,Products!$A$2:$C$61,3,FALSE),"Unknown")</f>
        <v>Apparel</v>
      </c>
      <c r="F24" t="str">
        <f>IFERROR(VLOOKUP(Orders!C24,Customers!$A$2:$E$301,5,FALSE),"Unknown")</f>
        <v>Retail</v>
      </c>
      <c r="G24">
        <f>IFERROR(VLOOKUP(Orders!C24,Customers!$A$2:$C$301,3,FALSE),"")</f>
        <v>50</v>
      </c>
      <c r="H24" t="str">
        <f>VLOOKUP(D24,Sales_Reps!$A$2:$C$31,3,FALSE)</f>
        <v>West</v>
      </c>
      <c r="I24" s="44">
        <f t="shared" si="0"/>
        <v>45505</v>
      </c>
      <c r="J24" t="str">
        <f>Sales_Reps!A24</f>
        <v>R023</v>
      </c>
      <c r="K24">
        <f t="shared" si="1"/>
        <v>983787.4800000001</v>
      </c>
      <c r="L24" t="str">
        <f>Orders!K24</f>
        <v>Pune</v>
      </c>
      <c r="M24">
        <f>Orders!G24</f>
        <v>2720</v>
      </c>
      <c r="N24">
        <f>IFERROR(VLOOKUP(Orders!D24,Products!$A$2:$D$61,4,FALSE),"")</f>
        <v>1962</v>
      </c>
      <c r="O24">
        <f t="shared" si="2"/>
        <v>0.2786764705882353</v>
      </c>
      <c r="P24">
        <f t="shared" si="3"/>
        <v>8</v>
      </c>
      <c r="Q24" t="str">
        <f>Orders!D24</f>
        <v>PROD-015</v>
      </c>
      <c r="R24" t="str">
        <f>Products!A24</f>
        <v>PROD-023</v>
      </c>
      <c r="S24">
        <f t="shared" si="4"/>
        <v>84480.48000000001</v>
      </c>
    </row>
    <row r="25" spans="1:19" x14ac:dyDescent="0.3">
      <c r="A25" t="str">
        <f>Orders!A25</f>
        <v>ORD-00024</v>
      </c>
      <c r="B25">
        <f>Orders!B25</f>
        <v>45472</v>
      </c>
      <c r="C25">
        <f>Orders!I25</f>
        <v>2989.8</v>
      </c>
      <c r="D25" t="str">
        <f>Orders!E25</f>
        <v>R003</v>
      </c>
      <c r="E25" t="str">
        <f>IFERROR(VLOOKUP(Orders!D25,Products!$A$2:$C$61,3,FALSE),"Unknown")</f>
        <v>Beauty</v>
      </c>
      <c r="F25" t="str">
        <f>IFERROR(VLOOKUP(Orders!C25,Customers!$A$2:$E$301,5,FALSE),"Unknown")</f>
        <v>SMB</v>
      </c>
      <c r="G25">
        <f>IFERROR(VLOOKUP(Orders!C25,Customers!$A$2:$C$301,3,FALSE),"")</f>
        <v>40</v>
      </c>
      <c r="H25" t="str">
        <f>VLOOKUP(D25,Sales_Reps!$A$2:$C$31,3,FALSE)</f>
        <v>North</v>
      </c>
      <c r="I25" s="44">
        <f t="shared" si="0"/>
        <v>45444</v>
      </c>
      <c r="J25" t="str">
        <f>Sales_Reps!A25</f>
        <v>R024</v>
      </c>
      <c r="K25">
        <f t="shared" si="1"/>
        <v>819558.58</v>
      </c>
      <c r="L25" t="str">
        <f>Orders!K25</f>
        <v>Hyderabad</v>
      </c>
      <c r="M25">
        <f>Orders!G25</f>
        <v>1650</v>
      </c>
      <c r="N25">
        <f>IFERROR(VLOOKUP(Orders!D25,Products!$A$2:$D$61,4,FALSE),"")</f>
        <v>1222</v>
      </c>
      <c r="O25">
        <f t="shared" si="2"/>
        <v>0.2593939393939394</v>
      </c>
      <c r="P25">
        <f t="shared" si="3"/>
        <v>20</v>
      </c>
      <c r="Q25" t="str">
        <f>Orders!D25</f>
        <v>PROD-044</v>
      </c>
      <c r="R25" t="str">
        <f>Products!A25</f>
        <v>PROD-024</v>
      </c>
      <c r="S25">
        <f t="shared" si="4"/>
        <v>77055.150000000009</v>
      </c>
    </row>
    <row r="26" spans="1:19" x14ac:dyDescent="0.3">
      <c r="A26" t="str">
        <f>Orders!A26</f>
        <v>ORD-00025</v>
      </c>
      <c r="B26">
        <f>Orders!B26</f>
        <v>45394</v>
      </c>
      <c r="C26">
        <f>Orders!I26</f>
        <v>18873.900000000001</v>
      </c>
      <c r="D26" t="str">
        <f>Orders!E26</f>
        <v>R023</v>
      </c>
      <c r="E26" t="str">
        <f>IFERROR(VLOOKUP(Orders!D26,Products!$A$2:$C$61,3,FALSE),"Unknown")</f>
        <v>Beauty</v>
      </c>
      <c r="F26" t="str">
        <f>IFERROR(VLOOKUP(Orders!C26,Customers!$A$2:$E$301,5,FALSE),"Unknown")</f>
        <v>Corporate</v>
      </c>
      <c r="G26">
        <f>IFERROR(VLOOKUP(Orders!C26,Customers!$A$2:$C$301,3,FALSE),"")</f>
        <v>55</v>
      </c>
      <c r="H26" t="str">
        <f>VLOOKUP(D26,Sales_Reps!$A$2:$C$31,3,FALSE)</f>
        <v>East</v>
      </c>
      <c r="I26" s="44">
        <f t="shared" si="0"/>
        <v>45383</v>
      </c>
      <c r="J26" t="str">
        <f>Sales_Reps!A26</f>
        <v>R025</v>
      </c>
      <c r="K26">
        <f t="shared" si="1"/>
        <v>901298.89</v>
      </c>
      <c r="L26" t="str">
        <f>Orders!K26</f>
        <v>Chennai</v>
      </c>
      <c r="M26">
        <f>Orders!G26</f>
        <v>3350</v>
      </c>
      <c r="N26">
        <f>IFERROR(VLOOKUP(Orders!D26,Products!$A$2:$D$61,4,FALSE),"")</f>
        <v>1728</v>
      </c>
      <c r="O26">
        <f t="shared" si="2"/>
        <v>0.48417910447761192</v>
      </c>
      <c r="P26">
        <f t="shared" si="3"/>
        <v>15</v>
      </c>
      <c r="Q26" t="str">
        <f>Orders!D26</f>
        <v>PROD-043</v>
      </c>
      <c r="R26" t="str">
        <f>Products!A26</f>
        <v>PROD-025</v>
      </c>
      <c r="S26">
        <f t="shared" si="4"/>
        <v>190994.58000000002</v>
      </c>
    </row>
    <row r="27" spans="1:19" x14ac:dyDescent="0.3">
      <c r="A27" t="str">
        <f>Orders!A27</f>
        <v>ORD-00026</v>
      </c>
      <c r="B27">
        <f>Orders!B27</f>
        <v>45570</v>
      </c>
      <c r="C27">
        <f>Orders!I27</f>
        <v>1686.7</v>
      </c>
      <c r="D27" t="str">
        <f>Orders!E27</f>
        <v>R019</v>
      </c>
      <c r="E27" t="str">
        <f>IFERROR(VLOOKUP(Orders!D27,Products!$A$2:$C$61,3,FALSE),"Unknown")</f>
        <v>Sports</v>
      </c>
      <c r="F27" t="str">
        <f>IFERROR(VLOOKUP(Orders!C27,Customers!$A$2:$E$301,5,FALSE),"Unknown")</f>
        <v>Retail</v>
      </c>
      <c r="G27">
        <f>IFERROR(VLOOKUP(Orders!C27,Customers!$A$2:$C$301,3,FALSE),"")</f>
        <v>31</v>
      </c>
      <c r="H27" t="str">
        <f>VLOOKUP(D27,Sales_Reps!$A$2:$C$31,3,FALSE)</f>
        <v>East</v>
      </c>
      <c r="I27" s="44">
        <f t="shared" si="0"/>
        <v>45566</v>
      </c>
      <c r="J27" t="str">
        <f>Sales_Reps!A27</f>
        <v>R026</v>
      </c>
      <c r="K27">
        <f t="shared" si="1"/>
        <v>576305.08000000019</v>
      </c>
      <c r="L27" t="str">
        <f>Orders!K27</f>
        <v>Delhi</v>
      </c>
      <c r="M27">
        <f>Orders!G27</f>
        <v>1010</v>
      </c>
      <c r="N27">
        <f>IFERROR(VLOOKUP(Orders!D27,Products!$A$2:$D$61,4,FALSE),"")</f>
        <v>516</v>
      </c>
      <c r="O27">
        <f t="shared" si="2"/>
        <v>0.4891089108910891</v>
      </c>
      <c r="P27">
        <f t="shared" si="3"/>
        <v>30</v>
      </c>
      <c r="Q27" t="str">
        <f>Orders!D27</f>
        <v>PROD-054</v>
      </c>
      <c r="R27" t="str">
        <f>Products!A27</f>
        <v>PROD-026</v>
      </c>
      <c r="S27">
        <f t="shared" si="4"/>
        <v>179739.34</v>
      </c>
    </row>
    <row r="28" spans="1:19" x14ac:dyDescent="0.3">
      <c r="A28" t="str">
        <f>Orders!A28</f>
        <v>ORD-00027</v>
      </c>
      <c r="B28">
        <f>Orders!B28</f>
        <v>45401</v>
      </c>
      <c r="C28">
        <f>Orders!I28</f>
        <v>18641.599999999999</v>
      </c>
      <c r="D28" t="str">
        <f>Orders!E28</f>
        <v>R006</v>
      </c>
      <c r="E28" t="str">
        <f>IFERROR(VLOOKUP(Orders!D28,Products!$A$2:$C$61,3,FALSE),"Unknown")</f>
        <v>Beauty</v>
      </c>
      <c r="F28" t="str">
        <f>IFERROR(VLOOKUP(Orders!C28,Customers!$A$2:$E$301,5,FALSE),"Unknown")</f>
        <v>Retail</v>
      </c>
      <c r="G28">
        <f>IFERROR(VLOOKUP(Orders!C28,Customers!$A$2:$C$301,3,FALSE),"")</f>
        <v>52</v>
      </c>
      <c r="H28" t="str">
        <f>VLOOKUP(D28,Sales_Reps!$A$2:$C$31,3,FALSE)</f>
        <v>North</v>
      </c>
      <c r="I28" s="44">
        <f t="shared" si="0"/>
        <v>45383</v>
      </c>
      <c r="J28" t="str">
        <f>Sales_Reps!A28</f>
        <v>R027</v>
      </c>
      <c r="K28">
        <f t="shared" si="1"/>
        <v>917092.61999999965</v>
      </c>
      <c r="L28" t="str">
        <f>Orders!K28</f>
        <v>Delhi</v>
      </c>
      <c r="M28">
        <f>Orders!G28</f>
        <v>4880</v>
      </c>
      <c r="N28">
        <f>IFERROR(VLOOKUP(Orders!D28,Products!$A$2:$D$61,4,FALSE),"")</f>
        <v>2768</v>
      </c>
      <c r="O28">
        <f t="shared" si="2"/>
        <v>0.43278688524590164</v>
      </c>
      <c r="P28">
        <f t="shared" si="3"/>
        <v>11</v>
      </c>
      <c r="Q28" t="str">
        <f>Orders!D28</f>
        <v>PROD-046</v>
      </c>
      <c r="R28" t="str">
        <f>Products!A28</f>
        <v>PROD-027</v>
      </c>
      <c r="S28">
        <f t="shared" si="4"/>
        <v>39599.279999999999</v>
      </c>
    </row>
    <row r="29" spans="1:19" x14ac:dyDescent="0.3">
      <c r="A29" t="str">
        <f>Orders!A29</f>
        <v>ORD-00028</v>
      </c>
      <c r="B29">
        <f>Orders!B29</f>
        <v>45517</v>
      </c>
      <c r="C29">
        <f>Orders!I29</f>
        <v>23540.58</v>
      </c>
      <c r="D29" t="str">
        <f>Orders!E29</f>
        <v>R015</v>
      </c>
      <c r="E29" t="str">
        <f>IFERROR(VLOOKUP(Orders!D29,Products!$A$2:$C$61,3,FALSE),"Unknown")</f>
        <v>Electronics</v>
      </c>
      <c r="F29" t="str">
        <f>IFERROR(VLOOKUP(Orders!C29,Customers!$A$2:$E$301,5,FALSE),"Unknown")</f>
        <v>SMB</v>
      </c>
      <c r="G29">
        <f>IFERROR(VLOOKUP(Orders!C29,Customers!$A$2:$C$301,3,FALSE),"")</f>
        <v>52</v>
      </c>
      <c r="H29" t="str">
        <f>VLOOKUP(D29,Sales_Reps!$A$2:$C$31,3,FALSE)</f>
        <v>South</v>
      </c>
      <c r="I29" s="44">
        <f t="shared" si="0"/>
        <v>45505</v>
      </c>
      <c r="J29" t="str">
        <f>Sales_Reps!A29</f>
        <v>R028</v>
      </c>
      <c r="K29">
        <f t="shared" si="1"/>
        <v>880468.05</v>
      </c>
      <c r="L29" t="str">
        <f>Orders!K29</f>
        <v>Chennai</v>
      </c>
      <c r="M29">
        <f>Orders!G29</f>
        <v>3570</v>
      </c>
      <c r="N29">
        <f>IFERROR(VLOOKUP(Orders!D29,Products!$A$2:$D$61,4,FALSE),"")</f>
        <v>1665</v>
      </c>
      <c r="O29">
        <f t="shared" si="2"/>
        <v>0.53361344537815125</v>
      </c>
      <c r="P29">
        <f t="shared" si="3"/>
        <v>16</v>
      </c>
      <c r="Q29" t="str">
        <f>Orders!D29</f>
        <v>PROD-003</v>
      </c>
      <c r="R29" t="str">
        <f>Products!A29</f>
        <v>PROD-028</v>
      </c>
      <c r="S29">
        <f t="shared" si="4"/>
        <v>112574.28</v>
      </c>
    </row>
    <row r="30" spans="1:19" x14ac:dyDescent="0.3">
      <c r="A30" t="str">
        <f>Orders!A30</f>
        <v>ORD-00029</v>
      </c>
      <c r="B30">
        <f>Orders!B30</f>
        <v>45363</v>
      </c>
      <c r="C30">
        <f>Orders!I30</f>
        <v>38234.699999999997</v>
      </c>
      <c r="D30" t="str">
        <f>Orders!E30</f>
        <v>R020</v>
      </c>
      <c r="E30" t="str">
        <f>IFERROR(VLOOKUP(Orders!D30,Products!$A$2:$C$61,3,FALSE),"Unknown")</f>
        <v>Beauty</v>
      </c>
      <c r="F30" t="str">
        <f>IFERROR(VLOOKUP(Orders!C30,Customers!$A$2:$E$301,5,FALSE),"Unknown")</f>
        <v>Corporate</v>
      </c>
      <c r="G30">
        <f>IFERROR(VLOOKUP(Orders!C30,Customers!$A$2:$C$301,3,FALSE),"")</f>
        <v>56</v>
      </c>
      <c r="H30" t="str">
        <f>VLOOKUP(D30,Sales_Reps!$A$2:$C$31,3,FALSE)</f>
        <v>East</v>
      </c>
      <c r="I30" s="44">
        <f t="shared" si="0"/>
        <v>45352</v>
      </c>
      <c r="J30" t="str">
        <f>Sales_Reps!A30</f>
        <v>R029</v>
      </c>
      <c r="K30">
        <f t="shared" si="1"/>
        <v>1016696.8000000002</v>
      </c>
      <c r="L30" t="str">
        <f>Orders!K30</f>
        <v>Hyderabad</v>
      </c>
      <c r="M30">
        <f>Orders!G30</f>
        <v>5100</v>
      </c>
      <c r="N30">
        <f>IFERROR(VLOOKUP(Orders!D30,Products!$A$2:$D$61,4,FALSE),"")</f>
        <v>2237</v>
      </c>
      <c r="O30">
        <f t="shared" si="2"/>
        <v>0.56137254901960787</v>
      </c>
      <c r="P30">
        <f t="shared" si="3"/>
        <v>5</v>
      </c>
      <c r="Q30" t="str">
        <f>Orders!D30</f>
        <v>PROD-048</v>
      </c>
      <c r="R30" t="str">
        <f>Products!A30</f>
        <v>PROD-029</v>
      </c>
      <c r="S30">
        <f t="shared" si="4"/>
        <v>118562.08</v>
      </c>
    </row>
    <row r="31" spans="1:19" x14ac:dyDescent="0.3">
      <c r="A31" t="str">
        <f>Orders!A31</f>
        <v>ORD-00030</v>
      </c>
      <c r="B31">
        <f>Orders!B31</f>
        <v>45367</v>
      </c>
      <c r="C31">
        <f>Orders!I31</f>
        <v>6366.36</v>
      </c>
      <c r="D31" t="str">
        <f>Orders!E31</f>
        <v>R005</v>
      </c>
      <c r="E31" t="str">
        <f>IFERROR(VLOOKUP(Orders!D31,Products!$A$2:$C$61,3,FALSE),"Unknown")</f>
        <v>Sports</v>
      </c>
      <c r="F31" t="str">
        <f>IFERROR(VLOOKUP(Orders!C31,Customers!$A$2:$E$301,5,FALSE),"Unknown")</f>
        <v>SMB</v>
      </c>
      <c r="G31">
        <f>IFERROR(VLOOKUP(Orders!C31,Customers!$A$2:$C$301,3,FALSE),"")</f>
        <v>44</v>
      </c>
      <c r="H31" t="str">
        <f>VLOOKUP(D31,Sales_Reps!$A$2:$C$31,3,FALSE)</f>
        <v>North</v>
      </c>
      <c r="I31" s="44">
        <f t="shared" si="0"/>
        <v>45352</v>
      </c>
      <c r="J31" t="str">
        <f>Sales_Reps!A31</f>
        <v>R030</v>
      </c>
      <c r="K31">
        <f t="shared" si="1"/>
        <v>747624.36999999988</v>
      </c>
      <c r="L31" t="str">
        <f>Orders!K31</f>
        <v>Pune</v>
      </c>
      <c r="M31">
        <f>Orders!G31</f>
        <v>2860</v>
      </c>
      <c r="N31">
        <f>IFERROR(VLOOKUP(Orders!D31,Products!$A$2:$D$61,4,FALSE),"")</f>
        <v>2028</v>
      </c>
      <c r="O31">
        <f t="shared" si="2"/>
        <v>0.29090909090909089</v>
      </c>
      <c r="P31">
        <f t="shared" si="3"/>
        <v>27</v>
      </c>
      <c r="Q31" t="str">
        <f>Orders!D31</f>
        <v>PROD-055</v>
      </c>
      <c r="R31" t="str">
        <f>Products!A31</f>
        <v>PROD-030</v>
      </c>
      <c r="S31">
        <f t="shared" si="4"/>
        <v>37405.14</v>
      </c>
    </row>
    <row r="32" spans="1:19" x14ac:dyDescent="0.3">
      <c r="A32" t="str">
        <f>Orders!A32</f>
        <v>ORD-00031</v>
      </c>
      <c r="B32">
        <f>Orders!B32</f>
        <v>45569</v>
      </c>
      <c r="C32">
        <f>Orders!I32</f>
        <v>4766.58</v>
      </c>
      <c r="D32" t="str">
        <f>Orders!E32</f>
        <v>R006</v>
      </c>
      <c r="E32" t="str">
        <f>IFERROR(VLOOKUP(Orders!D32,Products!$A$2:$C$61,3,FALSE),"Unknown")</f>
        <v>Grocery</v>
      </c>
      <c r="F32" t="str">
        <f>IFERROR(VLOOKUP(Orders!C32,Customers!$A$2:$E$301,5,FALSE),"Unknown")</f>
        <v>Corporate</v>
      </c>
      <c r="G32">
        <f>IFERROR(VLOOKUP(Orders!C32,Customers!$A$2:$C$301,3,FALSE),"")</f>
        <v>47</v>
      </c>
      <c r="H32" t="str">
        <f>VLOOKUP(D32,Sales_Reps!$A$2:$C$31,3,FALSE)</f>
        <v>North</v>
      </c>
      <c r="I32" s="44">
        <f t="shared" si="0"/>
        <v>45566</v>
      </c>
      <c r="L32" t="str">
        <f>Orders!K32</f>
        <v>Pune</v>
      </c>
      <c r="M32">
        <f>Orders!G32</f>
        <v>970</v>
      </c>
      <c r="N32">
        <f>IFERROR(VLOOKUP(Orders!D32,Products!$A$2:$D$61,4,FALSE),"")</f>
        <v>434</v>
      </c>
      <c r="O32">
        <f t="shared" si="2"/>
        <v>0.5525773195876289</v>
      </c>
      <c r="Q32" t="str">
        <f>Orders!D32</f>
        <v>PROD-030</v>
      </c>
      <c r="R32" t="str">
        <f>Products!A32</f>
        <v>PROD-031</v>
      </c>
      <c r="S32">
        <f t="shared" si="4"/>
        <v>102321.36</v>
      </c>
    </row>
    <row r="33" spans="1:19" x14ac:dyDescent="0.3">
      <c r="A33" t="str">
        <f>Orders!A33</f>
        <v>ORD-00032</v>
      </c>
      <c r="B33">
        <f>Orders!B33</f>
        <v>45641</v>
      </c>
      <c r="C33">
        <f>Orders!I33</f>
        <v>10388.64</v>
      </c>
      <c r="D33" t="str">
        <f>Orders!E33</f>
        <v>R026</v>
      </c>
      <c r="E33" t="str">
        <f>IFERROR(VLOOKUP(Orders!D33,Products!$A$2:$C$61,3,FALSE),"Unknown")</f>
        <v>Grocery</v>
      </c>
      <c r="F33" t="str">
        <f>IFERROR(VLOOKUP(Orders!C33,Customers!$A$2:$E$301,5,FALSE),"Unknown")</f>
        <v>Retail</v>
      </c>
      <c r="G33">
        <f>IFERROR(VLOOKUP(Orders!C33,Customers!$A$2:$C$301,3,FALSE),"")</f>
        <v>53</v>
      </c>
      <c r="H33" t="str">
        <f>VLOOKUP(D33,Sales_Reps!$A$2:$C$31,3,FALSE)</f>
        <v>West</v>
      </c>
      <c r="I33" s="44">
        <f t="shared" si="0"/>
        <v>45627</v>
      </c>
      <c r="L33" t="str">
        <f>Orders!K33</f>
        <v>Hyderabad</v>
      </c>
      <c r="M33">
        <f>Orders!G33</f>
        <v>2760</v>
      </c>
      <c r="N33">
        <f>IFERROR(VLOOKUP(Orders!D33,Products!$A$2:$D$61,4,FALSE),"")</f>
        <v>1435</v>
      </c>
      <c r="O33">
        <f t="shared" si="2"/>
        <v>0.48007246376811596</v>
      </c>
      <c r="Q33" t="str">
        <f>Orders!D33</f>
        <v>PROD-021</v>
      </c>
      <c r="R33" t="str">
        <f>Products!A33</f>
        <v>PROD-032</v>
      </c>
      <c r="S33">
        <f t="shared" si="4"/>
        <v>20402.170000000002</v>
      </c>
    </row>
    <row r="34" spans="1:19" x14ac:dyDescent="0.3">
      <c r="A34" t="str">
        <f>Orders!A34</f>
        <v>ORD-00033</v>
      </c>
      <c r="B34">
        <f>Orders!B34</f>
        <v>45343</v>
      </c>
      <c r="C34">
        <f>Orders!I34</f>
        <v>5392.2</v>
      </c>
      <c r="D34" t="str">
        <f>Orders!E34</f>
        <v>R009</v>
      </c>
      <c r="E34" t="str">
        <f>IFERROR(VLOOKUP(Orders!D34,Products!$A$2:$C$61,3,FALSE),"Unknown")</f>
        <v>Home</v>
      </c>
      <c r="F34" t="str">
        <f>IFERROR(VLOOKUP(Orders!C34,Customers!$A$2:$E$301,5,FALSE),"Unknown")</f>
        <v>Corporate</v>
      </c>
      <c r="G34">
        <f>IFERROR(VLOOKUP(Orders!C34,Customers!$A$2:$C$301,3,FALSE),"")</f>
        <v>32</v>
      </c>
      <c r="H34" t="str">
        <f>VLOOKUP(D34,Sales_Reps!$A$2:$C$31,3,FALSE)</f>
        <v>South</v>
      </c>
      <c r="I34" s="44">
        <f t="shared" si="0"/>
        <v>45323</v>
      </c>
      <c r="J34" t="s">
        <v>3035</v>
      </c>
      <c r="K34">
        <f>SUMIFS($C$2:$C$2001,$D$2:$D$2001,"R015",$B$2:$B$2001,"&gt;="&amp;DATE(2024,11,1),$B$2:$B$2001,"&lt;"&amp;DATE(2024,12,1))</f>
        <v>97394.65</v>
      </c>
      <c r="L34" t="str">
        <f>Orders!K34</f>
        <v>Hyderabad</v>
      </c>
      <c r="M34">
        <f>Orders!G34</f>
        <v>660</v>
      </c>
      <c r="N34">
        <f>IFERROR(VLOOKUP(Orders!D34,Products!$A$2:$D$61,4,FALSE),"")</f>
        <v>329</v>
      </c>
      <c r="O34">
        <f t="shared" si="2"/>
        <v>0.50151515151515147</v>
      </c>
      <c r="Q34" t="str">
        <f>Orders!D34</f>
        <v>PROD-037</v>
      </c>
      <c r="R34" t="str">
        <f>Products!A34</f>
        <v>PROD-033</v>
      </c>
      <c r="S34">
        <f t="shared" si="4"/>
        <v>137585.28</v>
      </c>
    </row>
    <row r="35" spans="1:19" x14ac:dyDescent="0.3">
      <c r="A35" t="str">
        <f>Orders!A35</f>
        <v>ORD-00034</v>
      </c>
      <c r="B35">
        <f>Orders!B35</f>
        <v>45576</v>
      </c>
      <c r="C35">
        <f>Orders!I35</f>
        <v>2902.25</v>
      </c>
      <c r="D35" t="str">
        <f>Orders!E35</f>
        <v>R019</v>
      </c>
      <c r="E35" t="str">
        <f>IFERROR(VLOOKUP(Orders!D35,Products!$A$2:$C$61,3,FALSE),"Unknown")</f>
        <v>Home</v>
      </c>
      <c r="F35" t="str">
        <f>IFERROR(VLOOKUP(Orders!C35,Customers!$A$2:$E$301,5,FALSE),"Unknown")</f>
        <v>SMB</v>
      </c>
      <c r="G35">
        <f>IFERROR(VLOOKUP(Orders!C35,Customers!$A$2:$C$301,3,FALSE),"")</f>
        <v>40</v>
      </c>
      <c r="H35" t="str">
        <f>VLOOKUP(D35,Sales_Reps!$A$2:$C$31,3,FALSE)</f>
        <v>East</v>
      </c>
      <c r="I35" s="44">
        <f t="shared" si="0"/>
        <v>45566</v>
      </c>
      <c r="J35" t="s">
        <v>3036</v>
      </c>
      <c r="K35">
        <f>INDEX(Targets!$B$2:$M$31,MATCH("R015",Targets!$A$2:$A$31,0),MATCH("Nov-24",Targets!$B$1:$M$1,0))</f>
        <v>418857</v>
      </c>
      <c r="L35" t="str">
        <f>Orders!K35</f>
        <v>Hyderabad</v>
      </c>
      <c r="M35">
        <f>Orders!G35</f>
        <v>3250</v>
      </c>
      <c r="N35">
        <f>IFERROR(VLOOKUP(Orders!D35,Products!$A$2:$D$61,4,FALSE),"")</f>
        <v>1556</v>
      </c>
      <c r="O35">
        <f t="shared" si="2"/>
        <v>0.52123076923076928</v>
      </c>
      <c r="Q35" t="str">
        <f>Orders!D35</f>
        <v>PROD-036</v>
      </c>
      <c r="R35" t="str">
        <f>Products!A35</f>
        <v>PROD-034</v>
      </c>
      <c r="S35">
        <f t="shared" si="4"/>
        <v>221112.07999999996</v>
      </c>
    </row>
    <row r="36" spans="1:19" x14ac:dyDescent="0.3">
      <c r="A36" t="str">
        <f>Orders!A36</f>
        <v>ORD-00035</v>
      </c>
      <c r="B36">
        <f>Orders!B36</f>
        <v>45462</v>
      </c>
      <c r="C36">
        <f>Orders!I36</f>
        <v>30028.799999999999</v>
      </c>
      <c r="D36" t="str">
        <f>Orders!E36</f>
        <v>R019</v>
      </c>
      <c r="E36" t="str">
        <f>IFERROR(VLOOKUP(Orders!D36,Products!$A$2:$C$61,3,FALSE),"Unknown")</f>
        <v>Beauty</v>
      </c>
      <c r="F36" t="str">
        <f>IFERROR(VLOOKUP(Orders!C36,Customers!$A$2:$E$301,5,FALSE),"Unknown")</f>
        <v>Retail</v>
      </c>
      <c r="G36">
        <f>IFERROR(VLOOKUP(Orders!C36,Customers!$A$2:$C$301,3,FALSE),"")</f>
        <v>26</v>
      </c>
      <c r="H36" t="str">
        <f>VLOOKUP(D36,Sales_Reps!$A$2:$C$31,3,FALSE)</f>
        <v>East</v>
      </c>
      <c r="I36" s="44">
        <f t="shared" si="0"/>
        <v>45444</v>
      </c>
      <c r="L36" t="str">
        <f>Orders!K36</f>
        <v>Hyderabad</v>
      </c>
      <c r="M36">
        <f>Orders!G36</f>
        <v>5100</v>
      </c>
      <c r="N36">
        <f>IFERROR(VLOOKUP(Orders!D36,Products!$A$2:$D$61,4,FALSE),"")</f>
        <v>2237</v>
      </c>
      <c r="O36">
        <f t="shared" si="2"/>
        <v>0.56137254901960787</v>
      </c>
      <c r="Q36" t="str">
        <f>Orders!D36</f>
        <v>PROD-048</v>
      </c>
      <c r="R36" t="str">
        <f>Products!A36</f>
        <v>PROD-035</v>
      </c>
      <c r="S36">
        <f t="shared" si="4"/>
        <v>26929.54</v>
      </c>
    </row>
    <row r="37" spans="1:19" x14ac:dyDescent="0.3">
      <c r="A37" t="str">
        <f>Orders!A37</f>
        <v>ORD-00036</v>
      </c>
      <c r="B37">
        <f>Orders!B37</f>
        <v>45442</v>
      </c>
      <c r="C37">
        <f>Orders!I37</f>
        <v>1024.92</v>
      </c>
      <c r="D37" t="str">
        <f>Orders!E37</f>
        <v>R021</v>
      </c>
      <c r="E37" t="str">
        <f>IFERROR(VLOOKUP(Orders!D37,Products!$A$2:$C$61,3,FALSE),"Unknown")</f>
        <v>Home</v>
      </c>
      <c r="F37" t="str">
        <f>IFERROR(VLOOKUP(Orders!C37,Customers!$A$2:$E$301,5,FALSE),"Unknown")</f>
        <v>Retail</v>
      </c>
      <c r="G37">
        <f>IFERROR(VLOOKUP(Orders!C37,Customers!$A$2:$C$301,3,FALSE),"")</f>
        <v>41</v>
      </c>
      <c r="H37" t="str">
        <f>VLOOKUP(D37,Sales_Reps!$A$2:$C$31,3,FALSE)</f>
        <v>East</v>
      </c>
      <c r="I37" s="44">
        <f t="shared" si="0"/>
        <v>45413</v>
      </c>
      <c r="L37" t="str">
        <f>Orders!K37</f>
        <v>Delhi</v>
      </c>
      <c r="M37">
        <f>Orders!G37</f>
        <v>1080</v>
      </c>
      <c r="N37">
        <f>IFERROR(VLOOKUP(Orders!D37,Products!$A$2:$D$61,4,FALSE),"")</f>
        <v>519</v>
      </c>
      <c r="O37">
        <f t="shared" si="2"/>
        <v>0.51944444444444449</v>
      </c>
      <c r="Q37" t="str">
        <f>Orders!D37</f>
        <v>PROD-040</v>
      </c>
      <c r="R37" t="str">
        <f>Products!A37</f>
        <v>PROD-036</v>
      </c>
      <c r="S37">
        <f t="shared" si="4"/>
        <v>88426</v>
      </c>
    </row>
    <row r="38" spans="1:19" x14ac:dyDescent="0.3">
      <c r="A38" t="str">
        <f>Orders!A38</f>
        <v>ORD-00037</v>
      </c>
      <c r="B38">
        <f>Orders!B38</f>
        <v>45646</v>
      </c>
      <c r="C38">
        <f>Orders!I38</f>
        <v>8663.2199999999993</v>
      </c>
      <c r="D38" t="str">
        <f>Orders!E38</f>
        <v>R009</v>
      </c>
      <c r="E38" t="str">
        <f>IFERROR(VLOOKUP(Orders!D38,Products!$A$2:$C$61,3,FALSE),"Unknown")</f>
        <v>Home</v>
      </c>
      <c r="F38" t="str">
        <f>IFERROR(VLOOKUP(Orders!C38,Customers!$A$2:$E$301,5,FALSE),"Unknown")</f>
        <v>SMB</v>
      </c>
      <c r="G38">
        <f>IFERROR(VLOOKUP(Orders!C38,Customers!$A$2:$C$301,3,FALSE),"")</f>
        <v>36</v>
      </c>
      <c r="H38" t="str">
        <f>VLOOKUP(D38,Sales_Reps!$A$2:$C$31,3,FALSE)</f>
        <v>South</v>
      </c>
      <c r="I38" s="44">
        <f t="shared" si="0"/>
        <v>45627</v>
      </c>
      <c r="L38" t="str">
        <f>Orders!K38</f>
        <v>Mumbai</v>
      </c>
      <c r="M38">
        <f>Orders!G38</f>
        <v>5490</v>
      </c>
      <c r="N38">
        <f>IFERROR(VLOOKUP(Orders!D38,Products!$A$2:$D$61,4,FALSE),"")</f>
        <v>2549</v>
      </c>
      <c r="O38">
        <f t="shared" si="2"/>
        <v>0.53570127504553733</v>
      </c>
      <c r="Q38" t="str">
        <f>Orders!D38</f>
        <v>PROD-038</v>
      </c>
      <c r="R38" t="str">
        <f>Products!A38</f>
        <v>PROD-037</v>
      </c>
      <c r="S38">
        <f t="shared" si="4"/>
        <v>13841.52</v>
      </c>
    </row>
    <row r="39" spans="1:19" x14ac:dyDescent="0.3">
      <c r="A39" t="str">
        <f>Orders!A39</f>
        <v>ORD-00038</v>
      </c>
      <c r="B39">
        <f>Orders!B39</f>
        <v>45478</v>
      </c>
      <c r="C39">
        <f>Orders!I39</f>
        <v>948.29</v>
      </c>
      <c r="D39" t="str">
        <f>Orders!E39</f>
        <v>R001</v>
      </c>
      <c r="E39" t="str">
        <f>IFERROR(VLOOKUP(Orders!D39,Products!$A$2:$C$61,3,FALSE),"Unknown")</f>
        <v>Sports</v>
      </c>
      <c r="F39" t="str">
        <f>IFERROR(VLOOKUP(Orders!C39,Customers!$A$2:$E$301,5,FALSE),"Unknown")</f>
        <v>Retail</v>
      </c>
      <c r="G39">
        <f>IFERROR(VLOOKUP(Orders!C39,Customers!$A$2:$C$301,3,FALSE),"")</f>
        <v>42</v>
      </c>
      <c r="H39" t="str">
        <f>VLOOKUP(D39,Sales_Reps!$A$2:$C$31,3,FALSE)</f>
        <v>North</v>
      </c>
      <c r="I39" s="44">
        <f t="shared" si="0"/>
        <v>45474</v>
      </c>
      <c r="L39" t="str">
        <f>Orders!K39</f>
        <v>Bengaluru</v>
      </c>
      <c r="M39">
        <f>Orders!G39</f>
        <v>190</v>
      </c>
      <c r="N39">
        <f>IFERROR(VLOOKUP(Orders!D39,Products!$A$2:$D$61,4,FALSE),"")</f>
        <v>147</v>
      </c>
      <c r="O39">
        <f t="shared" si="2"/>
        <v>0.22631578947368422</v>
      </c>
      <c r="Q39" t="str">
        <f>Orders!D39</f>
        <v>PROD-060</v>
      </c>
      <c r="R39" t="str">
        <f>Products!A39</f>
        <v>PROD-038</v>
      </c>
      <c r="S39">
        <f t="shared" si="4"/>
        <v>119445.93</v>
      </c>
    </row>
    <row r="40" spans="1:19" x14ac:dyDescent="0.3">
      <c r="A40" t="str">
        <f>Orders!A40</f>
        <v>ORD-00039</v>
      </c>
      <c r="B40">
        <f>Orders!B40</f>
        <v>45355</v>
      </c>
      <c r="C40">
        <f>Orders!I40</f>
        <v>14011.2</v>
      </c>
      <c r="D40" t="str">
        <f>Orders!E40</f>
        <v>R015</v>
      </c>
      <c r="E40" t="str">
        <f>IFERROR(VLOOKUP(Orders!D40,Products!$A$2:$C$61,3,FALSE),"Unknown")</f>
        <v>Sports</v>
      </c>
      <c r="F40" t="str">
        <f>IFERROR(VLOOKUP(Orders!C40,Customers!$A$2:$E$301,5,FALSE),"Unknown")</f>
        <v>Retail</v>
      </c>
      <c r="G40">
        <f>IFERROR(VLOOKUP(Orders!C40,Customers!$A$2:$C$301,3,FALSE),"")</f>
        <v>51</v>
      </c>
      <c r="H40" t="str">
        <f>VLOOKUP(D40,Sales_Reps!$A$2:$C$31,3,FALSE)</f>
        <v>South</v>
      </c>
      <c r="I40" s="44">
        <f t="shared" si="0"/>
        <v>45352</v>
      </c>
      <c r="L40" t="str">
        <f>Orders!K40</f>
        <v>Chennai</v>
      </c>
      <c r="M40">
        <f>Orders!G40</f>
        <v>2400</v>
      </c>
      <c r="N40">
        <f>IFERROR(VLOOKUP(Orders!D40,Products!$A$2:$D$61,4,FALSE),"")</f>
        <v>974</v>
      </c>
      <c r="O40">
        <f t="shared" si="2"/>
        <v>0.59416666666666662</v>
      </c>
      <c r="Q40" t="str">
        <f>Orders!D40</f>
        <v>PROD-058</v>
      </c>
      <c r="R40" t="str">
        <f>Products!A40</f>
        <v>PROD-039</v>
      </c>
      <c r="S40">
        <f t="shared" si="4"/>
        <v>177512.66</v>
      </c>
    </row>
    <row r="41" spans="1:19" x14ac:dyDescent="0.3">
      <c r="A41" t="str">
        <f>Orders!A41</f>
        <v>ORD-00040</v>
      </c>
      <c r="B41">
        <f>Orders!B41</f>
        <v>45599</v>
      </c>
      <c r="C41">
        <f>Orders!I41</f>
        <v>13127.4</v>
      </c>
      <c r="D41" t="str">
        <f>Orders!E41</f>
        <v>R023</v>
      </c>
      <c r="E41" t="str">
        <f>IFERROR(VLOOKUP(Orders!D41,Products!$A$2:$C$61,3,FALSE),"Unknown")</f>
        <v>Beauty</v>
      </c>
      <c r="F41" t="str">
        <f>IFERROR(VLOOKUP(Orders!C41,Customers!$A$2:$E$301,5,FALSE),"Unknown")</f>
        <v>SMB</v>
      </c>
      <c r="G41">
        <f>IFERROR(VLOOKUP(Orders!C41,Customers!$A$2:$C$301,3,FALSE),"")</f>
        <v>50</v>
      </c>
      <c r="H41" t="str">
        <f>VLOOKUP(D41,Sales_Reps!$A$2:$C$31,3,FALSE)</f>
        <v>East</v>
      </c>
      <c r="I41" s="44">
        <f t="shared" si="0"/>
        <v>45597</v>
      </c>
      <c r="L41" t="str">
        <f>Orders!K41</f>
        <v>Delhi</v>
      </c>
      <c r="M41">
        <f>Orders!G41</f>
        <v>1650</v>
      </c>
      <c r="N41">
        <f>IFERROR(VLOOKUP(Orders!D41,Products!$A$2:$D$61,4,FALSE),"")</f>
        <v>1222</v>
      </c>
      <c r="O41">
        <f t="shared" si="2"/>
        <v>0.2593939393939394</v>
      </c>
      <c r="Q41" t="str">
        <f>Orders!D41</f>
        <v>PROD-044</v>
      </c>
      <c r="R41" t="str">
        <f>Products!A41</f>
        <v>PROD-040</v>
      </c>
      <c r="S41">
        <f t="shared" si="4"/>
        <v>47831.039999999994</v>
      </c>
    </row>
    <row r="42" spans="1:19" x14ac:dyDescent="0.3">
      <c r="A42" t="str">
        <f>Orders!A42</f>
        <v>ORD-00041</v>
      </c>
      <c r="B42">
        <f>Orders!B42</f>
        <v>45606</v>
      </c>
      <c r="C42">
        <f>Orders!I42</f>
        <v>19149.12</v>
      </c>
      <c r="D42" t="str">
        <f>Orders!E42</f>
        <v>R006</v>
      </c>
      <c r="E42" t="str">
        <f>IFERROR(VLOOKUP(Orders!D42,Products!$A$2:$C$61,3,FALSE),"Unknown")</f>
        <v>Home</v>
      </c>
      <c r="F42" t="str">
        <f>IFERROR(VLOOKUP(Orders!C42,Customers!$A$2:$E$301,5,FALSE),"Unknown")</f>
        <v>Unknown</v>
      </c>
      <c r="G42" t="str">
        <f>IFERROR(VLOOKUP(Orders!C42,Customers!$A$2:$C$301,3,FALSE),"")</f>
        <v/>
      </c>
      <c r="H42" t="str">
        <f>VLOOKUP(D42,Sales_Reps!$A$2:$C$31,3,FALSE)</f>
        <v>North</v>
      </c>
      <c r="I42" s="44">
        <f t="shared" si="0"/>
        <v>45597</v>
      </c>
      <c r="L42" t="str">
        <f>Orders!K42</f>
        <v>Chennai</v>
      </c>
      <c r="M42">
        <f>Orders!G42</f>
        <v>5490</v>
      </c>
      <c r="N42">
        <f>IFERROR(VLOOKUP(Orders!D42,Products!$A$2:$D$61,4,FALSE),"")</f>
        <v>2549</v>
      </c>
      <c r="O42">
        <f t="shared" si="2"/>
        <v>0.53570127504553733</v>
      </c>
      <c r="Q42" t="str">
        <f>Orders!D42</f>
        <v>PROD-038</v>
      </c>
      <c r="R42" t="str">
        <f>Products!A42</f>
        <v>PROD-041</v>
      </c>
      <c r="S42">
        <f t="shared" si="4"/>
        <v>80488.099999999991</v>
      </c>
    </row>
    <row r="43" spans="1:19" x14ac:dyDescent="0.3">
      <c r="A43" t="str">
        <f>Orders!A43</f>
        <v>ORD-00042</v>
      </c>
      <c r="B43">
        <f>Orders!B43</f>
        <v>45432</v>
      </c>
      <c r="C43">
        <f>Orders!I43</f>
        <v>42602.400000000001</v>
      </c>
      <c r="D43" t="str">
        <f>Orders!E43</f>
        <v>R014</v>
      </c>
      <c r="E43" t="str">
        <f>IFERROR(VLOOKUP(Orders!D43,Products!$A$2:$C$61,3,FALSE),"Unknown")</f>
        <v>Beauty</v>
      </c>
      <c r="F43" t="str">
        <f>IFERROR(VLOOKUP(Orders!C43,Customers!$A$2:$E$301,5,FALSE),"Unknown")</f>
        <v>Retail</v>
      </c>
      <c r="G43">
        <f>IFERROR(VLOOKUP(Orders!C43,Customers!$A$2:$C$301,3,FALSE),"")</f>
        <v>53</v>
      </c>
      <c r="H43" t="str">
        <f>VLOOKUP(D43,Sales_Reps!$A$2:$C$31,3,FALSE)</f>
        <v>South</v>
      </c>
      <c r="I43" s="44">
        <f t="shared" si="0"/>
        <v>45413</v>
      </c>
      <c r="L43" t="str">
        <f>Orders!K43</f>
        <v>Delhi</v>
      </c>
      <c r="M43">
        <f>Orders!G43</f>
        <v>4880</v>
      </c>
      <c r="N43">
        <f>IFERROR(VLOOKUP(Orders!D43,Products!$A$2:$D$61,4,FALSE),"")</f>
        <v>2768</v>
      </c>
      <c r="O43">
        <f t="shared" si="2"/>
        <v>0.43278688524590164</v>
      </c>
      <c r="Q43" t="str">
        <f>Orders!D43</f>
        <v>PROD-046</v>
      </c>
      <c r="R43" t="str">
        <f>Products!A43</f>
        <v>PROD-042</v>
      </c>
      <c r="S43">
        <f t="shared" si="4"/>
        <v>138799.19000000003</v>
      </c>
    </row>
    <row r="44" spans="1:19" x14ac:dyDescent="0.3">
      <c r="A44" t="str">
        <f>Orders!A44</f>
        <v>ORD-00043</v>
      </c>
      <c r="B44">
        <f>Orders!B44</f>
        <v>45392</v>
      </c>
      <c r="C44">
        <f>Orders!I44</f>
        <v>5535.32</v>
      </c>
      <c r="D44" t="str">
        <f>Orders!E44</f>
        <v>R019</v>
      </c>
      <c r="E44" t="str">
        <f>IFERROR(VLOOKUP(Orders!D44,Products!$A$2:$C$61,3,FALSE),"Unknown")</f>
        <v>Home</v>
      </c>
      <c r="F44" t="str">
        <f>IFERROR(VLOOKUP(Orders!C44,Customers!$A$2:$E$301,5,FALSE),"Unknown")</f>
        <v>Retail</v>
      </c>
      <c r="G44">
        <f>IFERROR(VLOOKUP(Orders!C44,Customers!$A$2:$C$301,3,FALSE),"")</f>
        <v>37</v>
      </c>
      <c r="H44" t="str">
        <f>VLOOKUP(D44,Sales_Reps!$A$2:$C$31,3,FALSE)</f>
        <v>East</v>
      </c>
      <c r="I44" s="44">
        <f t="shared" si="0"/>
        <v>45383</v>
      </c>
      <c r="L44" t="str">
        <f>Orders!K44</f>
        <v>Chennai</v>
      </c>
      <c r="M44">
        <f>Orders!G44</f>
        <v>3730</v>
      </c>
      <c r="N44">
        <f>IFERROR(VLOOKUP(Orders!D44,Products!$A$2:$D$61,4,FALSE),"")</f>
        <v>2135</v>
      </c>
      <c r="O44">
        <f t="shared" si="2"/>
        <v>0.42761394101876676</v>
      </c>
      <c r="Q44" t="str">
        <f>Orders!D44</f>
        <v>PROD-031</v>
      </c>
      <c r="R44" t="str">
        <f>Products!A44</f>
        <v>PROD-043</v>
      </c>
      <c r="S44">
        <f t="shared" si="4"/>
        <v>104386</v>
      </c>
    </row>
    <row r="45" spans="1:19" x14ac:dyDescent="0.3">
      <c r="A45" t="str">
        <f>Orders!A45</f>
        <v>ORD-00044</v>
      </c>
      <c r="B45">
        <f>Orders!B45</f>
        <v>45396</v>
      </c>
      <c r="C45">
        <f>Orders!I45</f>
        <v>10943.4</v>
      </c>
      <c r="D45" t="str">
        <f>Orders!E45</f>
        <v>R029</v>
      </c>
      <c r="E45" t="str">
        <f>IFERROR(VLOOKUP(Orders!D45,Products!$A$2:$C$61,3,FALSE),"Unknown")</f>
        <v>Beauty</v>
      </c>
      <c r="F45" t="str">
        <f>IFERROR(VLOOKUP(Orders!C45,Customers!$A$2:$E$301,5,FALSE),"Unknown")</f>
        <v>SMB</v>
      </c>
      <c r="G45">
        <f>IFERROR(VLOOKUP(Orders!C45,Customers!$A$2:$C$301,3,FALSE),"")</f>
        <v>54</v>
      </c>
      <c r="H45" t="str">
        <f>VLOOKUP(D45,Sales_Reps!$A$2:$C$31,3,FALSE)</f>
        <v>West</v>
      </c>
      <c r="I45" s="44">
        <f t="shared" si="0"/>
        <v>45383</v>
      </c>
      <c r="L45" t="str">
        <f>Orders!K45</f>
        <v>Mumbai</v>
      </c>
      <c r="M45">
        <f>Orders!G45</f>
        <v>3450</v>
      </c>
      <c r="N45">
        <f>IFERROR(VLOOKUP(Orders!D45,Products!$A$2:$D$61,4,FALSE),"")</f>
        <v>2420</v>
      </c>
      <c r="O45">
        <f t="shared" si="2"/>
        <v>0.29855072463768118</v>
      </c>
      <c r="Q45" t="str">
        <f>Orders!D45</f>
        <v>PROD-047</v>
      </c>
      <c r="R45" t="str">
        <f>Products!A45</f>
        <v>PROD-044</v>
      </c>
      <c r="S45">
        <f t="shared" si="4"/>
        <v>68328.149999999994</v>
      </c>
    </row>
    <row r="46" spans="1:19" x14ac:dyDescent="0.3">
      <c r="A46" t="str">
        <f>Orders!A46</f>
        <v>ORD-00045</v>
      </c>
      <c r="B46">
        <f>Orders!B46</f>
        <v>45373</v>
      </c>
      <c r="C46">
        <f>Orders!I46</f>
        <v>4101.92</v>
      </c>
      <c r="D46" t="str">
        <f>Orders!E46</f>
        <v>R019</v>
      </c>
      <c r="E46" t="str">
        <f>IFERROR(VLOOKUP(Orders!D46,Products!$A$2:$C$61,3,FALSE),"Unknown")</f>
        <v>Apparel</v>
      </c>
      <c r="F46" t="str">
        <f>IFERROR(VLOOKUP(Orders!C46,Customers!$A$2:$E$301,5,FALSE),"Unknown")</f>
        <v>SMB</v>
      </c>
      <c r="G46">
        <f>IFERROR(VLOOKUP(Orders!C46,Customers!$A$2:$C$301,3,FALSE),"")</f>
        <v>64</v>
      </c>
      <c r="H46" t="str">
        <f>VLOOKUP(D46,Sales_Reps!$A$2:$C$31,3,FALSE)</f>
        <v>East</v>
      </c>
      <c r="I46" s="44">
        <f t="shared" si="0"/>
        <v>45352</v>
      </c>
      <c r="L46" t="str">
        <f>Orders!K46</f>
        <v>Bengaluru</v>
      </c>
      <c r="M46">
        <f>Orders!G46</f>
        <v>2480</v>
      </c>
      <c r="N46">
        <f>IFERROR(VLOOKUP(Orders!D46,Products!$A$2:$D$61,4,FALSE),"")</f>
        <v>1173</v>
      </c>
      <c r="O46">
        <f t="shared" si="2"/>
        <v>0.52701612903225803</v>
      </c>
      <c r="Q46" t="str">
        <f>Orders!D46</f>
        <v>PROD-019</v>
      </c>
      <c r="R46" t="str">
        <f>Products!A46</f>
        <v>PROD-045</v>
      </c>
      <c r="S46">
        <f t="shared" si="4"/>
        <v>102894.42000000001</v>
      </c>
    </row>
    <row r="47" spans="1:19" x14ac:dyDescent="0.3">
      <c r="A47" t="str">
        <f>Orders!A47</f>
        <v>ORD-00046</v>
      </c>
      <c r="B47">
        <f>Orders!B47</f>
        <v>45312</v>
      </c>
      <c r="C47">
        <f>Orders!I47</f>
        <v>31060.26</v>
      </c>
      <c r="D47" t="str">
        <f>Orders!E47</f>
        <v>R015</v>
      </c>
      <c r="E47" t="str">
        <f>IFERROR(VLOOKUP(Orders!D47,Products!$A$2:$C$61,3,FALSE),"Unknown")</f>
        <v>Grocery</v>
      </c>
      <c r="F47" t="str">
        <f>IFERROR(VLOOKUP(Orders!C47,Customers!$A$2:$E$301,5,FALSE),"Unknown")</f>
        <v>SMB</v>
      </c>
      <c r="G47">
        <f>IFERROR(VLOOKUP(Orders!C47,Customers!$A$2:$C$301,3,FALSE),"")</f>
        <v>29</v>
      </c>
      <c r="H47" t="str">
        <f>VLOOKUP(D47,Sales_Reps!$A$2:$C$31,3,FALSE)</f>
        <v>South</v>
      </c>
      <c r="I47" s="44">
        <f t="shared" si="0"/>
        <v>45292</v>
      </c>
      <c r="L47" t="str">
        <f>Orders!K47</f>
        <v>Pune</v>
      </c>
      <c r="M47">
        <f>Orders!G47</f>
        <v>3780</v>
      </c>
      <c r="N47">
        <f>IFERROR(VLOOKUP(Orders!D47,Products!$A$2:$D$61,4,FALSE),"")</f>
        <v>2436</v>
      </c>
      <c r="O47">
        <f t="shared" si="2"/>
        <v>0.35555555555555557</v>
      </c>
      <c r="Q47" t="str">
        <f>Orders!D47</f>
        <v>PROD-027</v>
      </c>
      <c r="R47" t="str">
        <f>Products!A47</f>
        <v>PROD-046</v>
      </c>
      <c r="S47">
        <f t="shared" si="4"/>
        <v>100035.12</v>
      </c>
    </row>
    <row r="48" spans="1:19" x14ac:dyDescent="0.3">
      <c r="A48" t="str">
        <f>Orders!A48</f>
        <v>ORD-00047</v>
      </c>
      <c r="B48">
        <f>Orders!B48</f>
        <v>45340</v>
      </c>
      <c r="C48">
        <f>Orders!I48</f>
        <v>11546.08</v>
      </c>
      <c r="D48" t="str">
        <f>Orders!E48</f>
        <v>R017</v>
      </c>
      <c r="E48" t="str">
        <f>IFERROR(VLOOKUP(Orders!D48,Products!$A$2:$C$61,3,FALSE),"Unknown")</f>
        <v>Apparel</v>
      </c>
      <c r="F48" t="str">
        <f>IFERROR(VLOOKUP(Orders!C48,Customers!$A$2:$E$301,5,FALSE),"Unknown")</f>
        <v>Retail</v>
      </c>
      <c r="G48">
        <f>IFERROR(VLOOKUP(Orders!C48,Customers!$A$2:$C$301,3,FALSE),"")</f>
        <v>64</v>
      </c>
      <c r="H48" t="str">
        <f>VLOOKUP(D48,Sales_Reps!$A$2:$C$31,3,FALSE)</f>
        <v>East</v>
      </c>
      <c r="I48" s="44">
        <f t="shared" si="0"/>
        <v>45323</v>
      </c>
      <c r="L48" t="str">
        <f>Orders!K48</f>
        <v>Hyderabad</v>
      </c>
      <c r="M48">
        <f>Orders!G48</f>
        <v>3640</v>
      </c>
      <c r="N48">
        <f>IFERROR(VLOOKUP(Orders!D48,Products!$A$2:$D$61,4,FALSE),"")</f>
        <v>2611</v>
      </c>
      <c r="O48">
        <f t="shared" si="2"/>
        <v>0.28269230769230769</v>
      </c>
      <c r="Q48" t="str">
        <f>Orders!D48</f>
        <v>PROD-013</v>
      </c>
      <c r="R48" t="str">
        <f>Products!A48</f>
        <v>PROD-047</v>
      </c>
      <c r="S48">
        <f t="shared" si="4"/>
        <v>167780.4</v>
      </c>
    </row>
    <row r="49" spans="1:19" x14ac:dyDescent="0.3">
      <c r="A49" t="str">
        <f>Orders!A49</f>
        <v>ORD-00048</v>
      </c>
      <c r="B49">
        <f>Orders!B49</f>
        <v>45370</v>
      </c>
      <c r="C49">
        <f>Orders!I49</f>
        <v>36771.839999999997</v>
      </c>
      <c r="D49" t="str">
        <f>Orders!E49</f>
        <v>R003</v>
      </c>
      <c r="E49" t="str">
        <f>IFERROR(VLOOKUP(Orders!D49,Products!$A$2:$C$61,3,FALSE),"Unknown")</f>
        <v>Beauty</v>
      </c>
      <c r="F49" t="str">
        <f>IFERROR(VLOOKUP(Orders!C49,Customers!$A$2:$E$301,5,FALSE),"Unknown")</f>
        <v>Unknown</v>
      </c>
      <c r="G49" t="str">
        <f>IFERROR(VLOOKUP(Orders!C49,Customers!$A$2:$C$301,3,FALSE),"")</f>
        <v/>
      </c>
      <c r="H49" t="str">
        <f>VLOOKUP(D49,Sales_Reps!$A$2:$C$31,3,FALSE)</f>
        <v>North</v>
      </c>
      <c r="I49" s="44">
        <f t="shared" si="0"/>
        <v>45352</v>
      </c>
      <c r="L49" t="str">
        <f>Orders!K49</f>
        <v>Pune</v>
      </c>
      <c r="M49">
        <f>Orders!G49</f>
        <v>6080</v>
      </c>
      <c r="N49">
        <f>IFERROR(VLOOKUP(Orders!D49,Products!$A$2:$D$61,4,FALSE),"")</f>
        <v>2617</v>
      </c>
      <c r="O49">
        <f t="shared" si="2"/>
        <v>0.56957236842105263</v>
      </c>
      <c r="Q49" t="str">
        <f>Orders!D49</f>
        <v>PROD-050</v>
      </c>
      <c r="R49" t="str">
        <f>Products!A49</f>
        <v>PROD-048</v>
      </c>
      <c r="S49">
        <f t="shared" si="4"/>
        <v>244351.19999999998</v>
      </c>
    </row>
    <row r="50" spans="1:19" x14ac:dyDescent="0.3">
      <c r="A50" t="str">
        <f>Orders!A50</f>
        <v>ORD-00049</v>
      </c>
      <c r="B50">
        <f>Orders!B50</f>
        <v>45389</v>
      </c>
      <c r="C50">
        <f>Orders!I50</f>
        <v>9641.7999999999993</v>
      </c>
      <c r="D50" t="str">
        <f>Orders!E50</f>
        <v>R007</v>
      </c>
      <c r="E50" t="str">
        <f>IFERROR(VLOOKUP(Orders!D50,Products!$A$2:$C$61,3,FALSE),"Unknown")</f>
        <v>Grocery</v>
      </c>
      <c r="F50" t="str">
        <f>IFERROR(VLOOKUP(Orders!C50,Customers!$A$2:$E$301,5,FALSE),"Unknown")</f>
        <v>SMB</v>
      </c>
      <c r="G50">
        <f>IFERROR(VLOOKUP(Orders!C50,Customers!$A$2:$C$301,3,FALSE),"")</f>
        <v>52</v>
      </c>
      <c r="H50" t="str">
        <f>VLOOKUP(D50,Sales_Reps!$A$2:$C$31,3,FALSE)</f>
        <v>North</v>
      </c>
      <c r="I50" s="44">
        <f t="shared" si="0"/>
        <v>45383</v>
      </c>
      <c r="L50" t="str">
        <f>Orders!K50</f>
        <v>Chennai</v>
      </c>
      <c r="M50">
        <f>Orders!G50</f>
        <v>970</v>
      </c>
      <c r="N50">
        <f>IFERROR(VLOOKUP(Orders!D50,Products!$A$2:$D$61,4,FALSE),"")</f>
        <v>434</v>
      </c>
      <c r="O50">
        <f t="shared" si="2"/>
        <v>0.5525773195876289</v>
      </c>
      <c r="Q50" t="str">
        <f>Orders!D50</f>
        <v>PROD-030</v>
      </c>
      <c r="R50" t="str">
        <f>Products!A50</f>
        <v>PROD-049</v>
      </c>
      <c r="S50">
        <f t="shared" si="4"/>
        <v>56751.360000000008</v>
      </c>
    </row>
    <row r="51" spans="1:19" x14ac:dyDescent="0.3">
      <c r="A51" t="str">
        <f>Orders!A51</f>
        <v>ORD-00050</v>
      </c>
      <c r="B51">
        <f>Orders!B51</f>
        <v>45565</v>
      </c>
      <c r="C51">
        <f>Orders!I51</f>
        <v>2008.95</v>
      </c>
      <c r="D51" t="str">
        <f>Orders!E51</f>
        <v>R028</v>
      </c>
      <c r="E51" t="str">
        <f>IFERROR(VLOOKUP(Orders!D51,Products!$A$2:$C$61,3,FALSE),"Unknown")</f>
        <v>Grocery</v>
      </c>
      <c r="F51" t="str">
        <f>IFERROR(VLOOKUP(Orders!C51,Customers!$A$2:$E$301,5,FALSE),"Unknown")</f>
        <v>Corporate</v>
      </c>
      <c r="G51">
        <f>IFERROR(VLOOKUP(Orders!C51,Customers!$A$2:$C$301,3,FALSE),"")</f>
        <v>52</v>
      </c>
      <c r="H51" t="str">
        <f>VLOOKUP(D51,Sales_Reps!$A$2:$C$31,3,FALSE)</f>
        <v>West</v>
      </c>
      <c r="I51" s="44">
        <f t="shared" si="0"/>
        <v>45536</v>
      </c>
      <c r="L51" t="str">
        <f>Orders!K51</f>
        <v>Chennai</v>
      </c>
      <c r="M51">
        <f>Orders!G51</f>
        <v>2270</v>
      </c>
      <c r="N51">
        <f>IFERROR(VLOOKUP(Orders!D51,Products!$A$2:$D$61,4,FALSE),"")</f>
        <v>1412</v>
      </c>
      <c r="O51">
        <f t="shared" si="2"/>
        <v>0.37797356828193834</v>
      </c>
      <c r="Q51" t="str">
        <f>Orders!D51</f>
        <v>PROD-022</v>
      </c>
      <c r="R51" t="str">
        <f>Products!A51</f>
        <v>PROD-050</v>
      </c>
      <c r="S51">
        <f t="shared" si="4"/>
        <v>124646.07999999999</v>
      </c>
    </row>
    <row r="52" spans="1:19" x14ac:dyDescent="0.3">
      <c r="A52" t="str">
        <f>Orders!A52</f>
        <v>ORD-00051</v>
      </c>
      <c r="B52">
        <f>Orders!B52</f>
        <v>45323</v>
      </c>
      <c r="C52">
        <f>Orders!I52</f>
        <v>27008.73</v>
      </c>
      <c r="D52" t="str">
        <f>Orders!E52</f>
        <v>R023</v>
      </c>
      <c r="E52" t="str">
        <f>IFERROR(VLOOKUP(Orders!D52,Products!$A$2:$C$61,3,FALSE),"Unknown")</f>
        <v>Electronics</v>
      </c>
      <c r="F52" t="str">
        <f>IFERROR(VLOOKUP(Orders!C52,Customers!$A$2:$E$301,5,FALSE),"Unknown")</f>
        <v>Retail</v>
      </c>
      <c r="G52">
        <f>IFERROR(VLOOKUP(Orders!C52,Customers!$A$2:$C$301,3,FALSE),"")</f>
        <v>34</v>
      </c>
      <c r="H52" t="str">
        <f>VLOOKUP(D52,Sales_Reps!$A$2:$C$31,3,FALSE)</f>
        <v>East</v>
      </c>
      <c r="I52" s="44">
        <f t="shared" si="0"/>
        <v>45323</v>
      </c>
      <c r="L52" t="str">
        <f>Orders!K52</f>
        <v>Bengaluru</v>
      </c>
      <c r="M52">
        <f>Orders!G52</f>
        <v>3870</v>
      </c>
      <c r="N52">
        <f>IFERROR(VLOOKUP(Orders!D52,Products!$A$2:$D$61,4,FALSE),"")</f>
        <v>1559</v>
      </c>
      <c r="O52">
        <f t="shared" si="2"/>
        <v>0.59715762273901807</v>
      </c>
      <c r="Q52" t="str">
        <f>Orders!D52</f>
        <v>PROD-004</v>
      </c>
      <c r="R52" t="str">
        <f>Products!A52</f>
        <v>PROD-051</v>
      </c>
      <c r="S52">
        <f t="shared" si="4"/>
        <v>109233.90000000001</v>
      </c>
    </row>
    <row r="53" spans="1:19" x14ac:dyDescent="0.3">
      <c r="A53" t="str">
        <f>Orders!A53</f>
        <v>ORD-00052</v>
      </c>
      <c r="B53">
        <f>Orders!B53</f>
        <v>45506</v>
      </c>
      <c r="C53">
        <f>Orders!I53</f>
        <v>3713.68</v>
      </c>
      <c r="D53" t="str">
        <f>Orders!E53</f>
        <v>R009</v>
      </c>
      <c r="E53" t="str">
        <f>IFERROR(VLOOKUP(Orders!D53,Products!$A$2:$C$61,3,FALSE),"Unknown")</f>
        <v>Beauty</v>
      </c>
      <c r="F53" t="str">
        <f>IFERROR(VLOOKUP(Orders!C53,Customers!$A$2:$E$301,5,FALSE),"Unknown")</f>
        <v>SMB</v>
      </c>
      <c r="G53">
        <f>IFERROR(VLOOKUP(Orders!C53,Customers!$A$2:$C$301,3,FALSE),"")</f>
        <v>34</v>
      </c>
      <c r="H53" t="str">
        <f>VLOOKUP(D53,Sales_Reps!$A$2:$C$31,3,FALSE)</f>
        <v>South</v>
      </c>
      <c r="I53" s="44">
        <f t="shared" si="0"/>
        <v>45505</v>
      </c>
      <c r="L53" t="str">
        <f>Orders!K53</f>
        <v>Bengaluru</v>
      </c>
      <c r="M53">
        <f>Orders!G53</f>
        <v>4880</v>
      </c>
      <c r="N53">
        <f>IFERROR(VLOOKUP(Orders!D53,Products!$A$2:$D$61,4,FALSE),"")</f>
        <v>2768</v>
      </c>
      <c r="O53">
        <f t="shared" si="2"/>
        <v>0.43278688524590164</v>
      </c>
      <c r="Q53" t="str">
        <f>Orders!D53</f>
        <v>PROD-046</v>
      </c>
      <c r="R53" t="str">
        <f>Products!A53</f>
        <v>PROD-052</v>
      </c>
      <c r="S53">
        <f t="shared" si="4"/>
        <v>74614.720000000001</v>
      </c>
    </row>
    <row r="54" spans="1:19" x14ac:dyDescent="0.3">
      <c r="A54" t="str">
        <f>Orders!A54</f>
        <v>ORD-00053</v>
      </c>
      <c r="B54">
        <f>Orders!B54</f>
        <v>45616</v>
      </c>
      <c r="C54">
        <f>Orders!I54</f>
        <v>15403.5</v>
      </c>
      <c r="D54" t="str">
        <f>Orders!E54</f>
        <v>R013</v>
      </c>
      <c r="E54" t="str">
        <f>IFERROR(VLOOKUP(Orders!D54,Products!$A$2:$C$61,3,FALSE),"Unknown")</f>
        <v>Grocery</v>
      </c>
      <c r="F54" t="str">
        <f>IFERROR(VLOOKUP(Orders!C54,Customers!$A$2:$E$301,5,FALSE),"Unknown")</f>
        <v>Retail</v>
      </c>
      <c r="G54">
        <f>IFERROR(VLOOKUP(Orders!C54,Customers!$A$2:$C$301,3,FALSE),"")</f>
        <v>36</v>
      </c>
      <c r="H54" t="str">
        <f>VLOOKUP(D54,Sales_Reps!$A$2:$C$31,3,FALSE)</f>
        <v>South</v>
      </c>
      <c r="I54" s="44">
        <f t="shared" si="0"/>
        <v>45597</v>
      </c>
      <c r="L54" t="str">
        <f>Orders!K54</f>
        <v>Chennai</v>
      </c>
      <c r="M54">
        <f>Orders!G54</f>
        <v>3780</v>
      </c>
      <c r="N54">
        <f>IFERROR(VLOOKUP(Orders!D54,Products!$A$2:$D$61,4,FALSE),"")</f>
        <v>2436</v>
      </c>
      <c r="O54">
        <f t="shared" si="2"/>
        <v>0.35555555555555557</v>
      </c>
      <c r="Q54" t="str">
        <f>Orders!D54</f>
        <v>PROD-027</v>
      </c>
      <c r="R54" t="str">
        <f>Products!A54</f>
        <v>PROD-053</v>
      </c>
      <c r="S54">
        <f t="shared" si="4"/>
        <v>21160.81</v>
      </c>
    </row>
    <row r="55" spans="1:19" x14ac:dyDescent="0.3">
      <c r="A55" t="str">
        <f>Orders!A55</f>
        <v>ORD-00054</v>
      </c>
      <c r="B55">
        <f>Orders!B55</f>
        <v>45428</v>
      </c>
      <c r="C55">
        <f>Orders!I55</f>
        <v>24212.5</v>
      </c>
      <c r="D55" t="str">
        <f>Orders!E55</f>
        <v>R020</v>
      </c>
      <c r="E55" t="str">
        <f>IFERROR(VLOOKUP(Orders!D55,Products!$A$2:$C$61,3,FALSE),"Unknown")</f>
        <v>Home</v>
      </c>
      <c r="F55" t="str">
        <f>IFERROR(VLOOKUP(Orders!C55,Customers!$A$2:$E$301,5,FALSE),"Unknown")</f>
        <v>Retail</v>
      </c>
      <c r="G55">
        <f>IFERROR(VLOOKUP(Orders!C55,Customers!$A$2:$C$301,3,FALSE),"")</f>
        <v>24</v>
      </c>
      <c r="H55" t="str">
        <f>VLOOKUP(D55,Sales_Reps!$A$2:$C$31,3,FALSE)</f>
        <v>East</v>
      </c>
      <c r="I55" s="44">
        <f t="shared" si="0"/>
        <v>45413</v>
      </c>
      <c r="L55" t="str">
        <f>Orders!K55</f>
        <v>Chennai</v>
      </c>
      <c r="M55">
        <f>Orders!G55</f>
        <v>3250</v>
      </c>
      <c r="N55">
        <f>IFERROR(VLOOKUP(Orders!D55,Products!$A$2:$D$61,4,FALSE),"")</f>
        <v>1556</v>
      </c>
      <c r="O55">
        <f t="shared" si="2"/>
        <v>0.52123076923076928</v>
      </c>
      <c r="Q55" t="str">
        <f>Orders!D55</f>
        <v>PROD-036</v>
      </c>
      <c r="R55" t="str">
        <f>Products!A55</f>
        <v>PROD-054</v>
      </c>
      <c r="S55">
        <f t="shared" si="4"/>
        <v>19529.36</v>
      </c>
    </row>
    <row r="56" spans="1:19" x14ac:dyDescent="0.3">
      <c r="A56" t="str">
        <f>Orders!A56</f>
        <v>ORD-00055</v>
      </c>
      <c r="B56">
        <f>Orders!B56</f>
        <v>45515</v>
      </c>
      <c r="C56">
        <f>Orders!I56</f>
        <v>13118.56</v>
      </c>
      <c r="D56" t="str">
        <f>Orders!E56</f>
        <v>R007</v>
      </c>
      <c r="E56" t="str">
        <f>IFERROR(VLOOKUP(Orders!D56,Products!$A$2:$C$61,3,FALSE),"Unknown")</f>
        <v>Apparel</v>
      </c>
      <c r="F56" t="str">
        <f>IFERROR(VLOOKUP(Orders!C56,Customers!$A$2:$E$301,5,FALSE),"Unknown")</f>
        <v>Retail</v>
      </c>
      <c r="G56">
        <f>IFERROR(VLOOKUP(Orders!C56,Customers!$A$2:$C$301,3,FALSE),"")</f>
        <v>27</v>
      </c>
      <c r="H56" t="str">
        <f>VLOOKUP(D56,Sales_Reps!$A$2:$C$31,3,FALSE)</f>
        <v>North</v>
      </c>
      <c r="I56" s="44">
        <f t="shared" si="0"/>
        <v>45505</v>
      </c>
      <c r="L56" t="str">
        <f>Orders!K56</f>
        <v>Hyderabad</v>
      </c>
      <c r="M56">
        <f>Orders!G56</f>
        <v>3640</v>
      </c>
      <c r="N56">
        <f>IFERROR(VLOOKUP(Orders!D56,Products!$A$2:$D$61,4,FALSE),"")</f>
        <v>2611</v>
      </c>
      <c r="O56">
        <f t="shared" si="2"/>
        <v>0.28269230769230769</v>
      </c>
      <c r="Q56" t="str">
        <f>Orders!D56</f>
        <v>PROD-013</v>
      </c>
      <c r="R56" t="str">
        <f>Products!A56</f>
        <v>PROD-055</v>
      </c>
      <c r="S56">
        <f t="shared" si="4"/>
        <v>109566.6</v>
      </c>
    </row>
    <row r="57" spans="1:19" x14ac:dyDescent="0.3">
      <c r="A57" t="str">
        <f>Orders!A57</f>
        <v>ORD-00056</v>
      </c>
      <c r="B57">
        <f>Orders!B57</f>
        <v>45649</v>
      </c>
      <c r="C57">
        <f>Orders!I57</f>
        <v>4385.92</v>
      </c>
      <c r="D57" t="str">
        <f>Orders!E57</f>
        <v>R023</v>
      </c>
      <c r="E57" t="str">
        <f>IFERROR(VLOOKUP(Orders!D57,Products!$A$2:$C$61,3,FALSE),"Unknown")</f>
        <v>Beauty</v>
      </c>
      <c r="F57" t="str">
        <f>IFERROR(VLOOKUP(Orders!C57,Customers!$A$2:$E$301,5,FALSE),"Unknown")</f>
        <v>SMB</v>
      </c>
      <c r="G57">
        <f>IFERROR(VLOOKUP(Orders!C57,Customers!$A$2:$C$301,3,FALSE),"")</f>
        <v>55</v>
      </c>
      <c r="H57" t="str">
        <f>VLOOKUP(D57,Sales_Reps!$A$2:$C$31,3,FALSE)</f>
        <v>East</v>
      </c>
      <c r="I57" s="44">
        <f t="shared" si="0"/>
        <v>45627</v>
      </c>
      <c r="L57" t="str">
        <f>Orders!K57</f>
        <v>Delhi</v>
      </c>
      <c r="M57">
        <f>Orders!G57</f>
        <v>1540</v>
      </c>
      <c r="N57">
        <f>IFERROR(VLOOKUP(Orders!D57,Products!$A$2:$D$61,4,FALSE),"")</f>
        <v>647</v>
      </c>
      <c r="O57">
        <f t="shared" si="2"/>
        <v>0.57987012987012987</v>
      </c>
      <c r="Q57" t="str">
        <f>Orders!D57</f>
        <v>PROD-041</v>
      </c>
      <c r="R57" t="str">
        <f>Products!A57</f>
        <v>PROD-056</v>
      </c>
      <c r="S57">
        <f t="shared" si="4"/>
        <v>260395.73999999996</v>
      </c>
    </row>
    <row r="58" spans="1:19" x14ac:dyDescent="0.3">
      <c r="A58" t="str">
        <f>Orders!A58</f>
        <v>ORD-00057</v>
      </c>
      <c r="B58">
        <f>Orders!B58</f>
        <v>45616</v>
      </c>
      <c r="C58">
        <f>Orders!I58</f>
        <v>831.6</v>
      </c>
      <c r="D58" t="str">
        <f>Orders!E58</f>
        <v>R017</v>
      </c>
      <c r="E58" t="str">
        <f>IFERROR(VLOOKUP(Orders!D58,Products!$A$2:$C$61,3,FALSE),"Unknown")</f>
        <v>Home</v>
      </c>
      <c r="F58" t="str">
        <f>IFERROR(VLOOKUP(Orders!C58,Customers!$A$2:$E$301,5,FALSE),"Unknown")</f>
        <v>Retail</v>
      </c>
      <c r="G58">
        <f>IFERROR(VLOOKUP(Orders!C58,Customers!$A$2:$C$301,3,FALSE),"")</f>
        <v>54</v>
      </c>
      <c r="H58" t="str">
        <f>VLOOKUP(D58,Sales_Reps!$A$2:$C$31,3,FALSE)</f>
        <v>East</v>
      </c>
      <c r="I58" s="44">
        <f t="shared" si="0"/>
        <v>45597</v>
      </c>
      <c r="L58" t="str">
        <f>Orders!K58</f>
        <v>Delhi</v>
      </c>
      <c r="M58">
        <f>Orders!G58</f>
        <v>1080</v>
      </c>
      <c r="N58">
        <f>IFERROR(VLOOKUP(Orders!D58,Products!$A$2:$D$61,4,FALSE),"")</f>
        <v>519</v>
      </c>
      <c r="O58">
        <f t="shared" si="2"/>
        <v>0.51944444444444449</v>
      </c>
      <c r="Q58" t="str">
        <f>Orders!D58</f>
        <v>PROD-040</v>
      </c>
      <c r="R58" t="str">
        <f>Products!A58</f>
        <v>PROD-057</v>
      </c>
      <c r="S58">
        <f t="shared" si="4"/>
        <v>32451.840000000004</v>
      </c>
    </row>
    <row r="59" spans="1:19" x14ac:dyDescent="0.3">
      <c r="A59" t="str">
        <f>Orders!A59</f>
        <v>ORD-00058</v>
      </c>
      <c r="B59">
        <f>Orders!B59</f>
        <v>45573</v>
      </c>
      <c r="C59">
        <f>Orders!I59</f>
        <v>3797.31</v>
      </c>
      <c r="D59" t="str">
        <f>Orders!E59</f>
        <v>R007</v>
      </c>
      <c r="E59" t="str">
        <f>IFERROR(VLOOKUP(Orders!D59,Products!$A$2:$C$61,3,FALSE),"Unknown")</f>
        <v>Grocery</v>
      </c>
      <c r="F59" t="str">
        <f>IFERROR(VLOOKUP(Orders!C59,Customers!$A$2:$E$301,5,FALSE),"Unknown")</f>
        <v>Retail</v>
      </c>
      <c r="G59">
        <f>IFERROR(VLOOKUP(Orders!C59,Customers!$A$2:$C$301,3,FALSE),"")</f>
        <v>53</v>
      </c>
      <c r="H59" t="str">
        <f>VLOOKUP(D59,Sales_Reps!$A$2:$C$31,3,FALSE)</f>
        <v>North</v>
      </c>
      <c r="I59" s="44">
        <f t="shared" si="0"/>
        <v>45566</v>
      </c>
      <c r="L59" t="str">
        <f>Orders!K59</f>
        <v>Hyderabad</v>
      </c>
      <c r="M59">
        <f>Orders!G59</f>
        <v>4070</v>
      </c>
      <c r="N59">
        <f>IFERROR(VLOOKUP(Orders!D59,Products!$A$2:$D$61,4,FALSE),"")</f>
        <v>2027</v>
      </c>
      <c r="O59">
        <f t="shared" si="2"/>
        <v>0.50196560196560192</v>
      </c>
      <c r="Q59" t="str">
        <f>Orders!D59</f>
        <v>PROD-026</v>
      </c>
      <c r="R59" t="str">
        <f>Products!A59</f>
        <v>PROD-058</v>
      </c>
      <c r="S59">
        <f t="shared" si="4"/>
        <v>71772</v>
      </c>
    </row>
    <row r="60" spans="1:19" x14ac:dyDescent="0.3">
      <c r="A60" t="str">
        <f>Orders!A60</f>
        <v>ORD-00059</v>
      </c>
      <c r="B60">
        <f>Orders!B60</f>
        <v>45417</v>
      </c>
      <c r="C60">
        <f>Orders!I60</f>
        <v>2154.52</v>
      </c>
      <c r="D60" t="str">
        <f>Orders!E60</f>
        <v>R030</v>
      </c>
      <c r="E60" t="str">
        <f>IFERROR(VLOOKUP(Orders!D60,Products!$A$2:$C$61,3,FALSE),"Unknown")</f>
        <v>Electronics</v>
      </c>
      <c r="F60" t="str">
        <f>IFERROR(VLOOKUP(Orders!C60,Customers!$A$2:$E$301,5,FALSE),"Unknown")</f>
        <v>Corporate</v>
      </c>
      <c r="G60">
        <f>IFERROR(VLOOKUP(Orders!C60,Customers!$A$2:$C$301,3,FALSE),"")</f>
        <v>55</v>
      </c>
      <c r="H60" t="str">
        <f>VLOOKUP(D60,Sales_Reps!$A$2:$C$31,3,FALSE)</f>
        <v>West</v>
      </c>
      <c r="I60" s="44">
        <f t="shared" si="0"/>
        <v>45413</v>
      </c>
      <c r="L60" t="str">
        <f>Orders!K60</f>
        <v>Delhi</v>
      </c>
      <c r="M60">
        <f>Orders!G60</f>
        <v>1220</v>
      </c>
      <c r="N60">
        <f>IFERROR(VLOOKUP(Orders!D60,Products!$A$2:$D$61,4,FALSE),"")</f>
        <v>517</v>
      </c>
      <c r="O60">
        <f t="shared" si="2"/>
        <v>0.57622950819672136</v>
      </c>
      <c r="Q60" t="str">
        <f>Orders!D60</f>
        <v>PROD-009</v>
      </c>
      <c r="R60" t="str">
        <f>Products!A60</f>
        <v>PROD-059</v>
      </c>
      <c r="S60">
        <f t="shared" si="4"/>
        <v>150054.66</v>
      </c>
    </row>
    <row r="61" spans="1:19" x14ac:dyDescent="0.3">
      <c r="A61" t="str">
        <f>Orders!A61</f>
        <v>ORD-00060</v>
      </c>
      <c r="B61">
        <f>Orders!B61</f>
        <v>45425</v>
      </c>
      <c r="C61">
        <f>Orders!I61</f>
        <v>13479.64</v>
      </c>
      <c r="D61" t="str">
        <f>Orders!E61</f>
        <v>R029</v>
      </c>
      <c r="E61" t="str">
        <f>IFERROR(VLOOKUP(Orders!D61,Products!$A$2:$C$61,3,FALSE),"Unknown")</f>
        <v>Home</v>
      </c>
      <c r="F61" t="str">
        <f>IFERROR(VLOOKUP(Orders!C61,Customers!$A$2:$E$301,5,FALSE),"Unknown")</f>
        <v>Retail</v>
      </c>
      <c r="G61">
        <f>IFERROR(VLOOKUP(Orders!C61,Customers!$A$2:$C$301,3,FALSE),"")</f>
        <v>40</v>
      </c>
      <c r="H61" t="str">
        <f>VLOOKUP(D61,Sales_Reps!$A$2:$C$31,3,FALSE)</f>
        <v>West</v>
      </c>
      <c r="I61" s="44">
        <f t="shared" si="0"/>
        <v>45413</v>
      </c>
      <c r="L61" t="str">
        <f>Orders!K61</f>
        <v>Mumbai</v>
      </c>
      <c r="M61">
        <f>Orders!G61</f>
        <v>4610</v>
      </c>
      <c r="N61">
        <f>IFERROR(VLOOKUP(Orders!D61,Products!$A$2:$D$61,4,FALSE),"")</f>
        <v>1850</v>
      </c>
      <c r="O61">
        <f t="shared" si="2"/>
        <v>0.59869848156182215</v>
      </c>
      <c r="Q61" t="str">
        <f>Orders!D61</f>
        <v>PROD-039</v>
      </c>
      <c r="R61" t="str">
        <f>Products!A61</f>
        <v>PROD-060</v>
      </c>
      <c r="S61">
        <f t="shared" si="4"/>
        <v>7838.26</v>
      </c>
    </row>
    <row r="62" spans="1:19" x14ac:dyDescent="0.3">
      <c r="A62" t="str">
        <f>Orders!A62</f>
        <v>ORD-00061</v>
      </c>
      <c r="B62">
        <f>Orders!B62</f>
        <v>45589</v>
      </c>
      <c r="C62">
        <f>Orders!I62</f>
        <v>6186.24</v>
      </c>
      <c r="D62" t="str">
        <f>Orders!E62</f>
        <v>R011</v>
      </c>
      <c r="E62" t="str">
        <f>IFERROR(VLOOKUP(Orders!D62,Products!$A$2:$C$61,3,FALSE),"Unknown")</f>
        <v>Home</v>
      </c>
      <c r="F62" t="str">
        <f>IFERROR(VLOOKUP(Orders!C62,Customers!$A$2:$E$301,5,FALSE),"Unknown")</f>
        <v>SMB</v>
      </c>
      <c r="G62">
        <f>IFERROR(VLOOKUP(Orders!C62,Customers!$A$2:$C$301,3,FALSE),"")</f>
        <v>55</v>
      </c>
      <c r="H62" t="str">
        <f>VLOOKUP(D62,Sales_Reps!$A$2:$C$31,3,FALSE)</f>
        <v>South</v>
      </c>
      <c r="I62" s="44">
        <f t="shared" si="0"/>
        <v>45566</v>
      </c>
      <c r="L62" t="str">
        <f>Orders!K62</f>
        <v>Chennai</v>
      </c>
      <c r="M62">
        <f>Orders!G62</f>
        <v>1080</v>
      </c>
      <c r="N62">
        <f>IFERROR(VLOOKUP(Orders!D62,Products!$A$2:$D$61,4,FALSE),"")</f>
        <v>519</v>
      </c>
      <c r="O62">
        <f t="shared" si="2"/>
        <v>0.51944444444444449</v>
      </c>
      <c r="Q62" t="str">
        <f>Orders!D62</f>
        <v>PROD-040</v>
      </c>
    </row>
    <row r="63" spans="1:19" x14ac:dyDescent="0.3">
      <c r="A63" t="str">
        <f>Orders!A63</f>
        <v>ORD-00062</v>
      </c>
      <c r="B63">
        <f>Orders!B63</f>
        <v>45488</v>
      </c>
      <c r="C63">
        <f>Orders!I63</f>
        <v>22529.200000000001</v>
      </c>
      <c r="D63" t="str">
        <f>Orders!E63</f>
        <v>R006</v>
      </c>
      <c r="E63" t="str">
        <f>IFERROR(VLOOKUP(Orders!D63,Products!$A$2:$C$61,3,FALSE),"Unknown")</f>
        <v>Beauty</v>
      </c>
      <c r="F63" t="str">
        <f>IFERROR(VLOOKUP(Orders!C63,Customers!$A$2:$E$301,5,FALSE),"Unknown")</f>
        <v>Retail</v>
      </c>
      <c r="G63">
        <f>IFERROR(VLOOKUP(Orders!C63,Customers!$A$2:$C$301,3,FALSE),"")</f>
        <v>44</v>
      </c>
      <c r="H63" t="str">
        <f>VLOOKUP(D63,Sales_Reps!$A$2:$C$31,3,FALSE)</f>
        <v>North</v>
      </c>
      <c r="I63" s="44">
        <f t="shared" si="0"/>
        <v>45474</v>
      </c>
      <c r="L63" t="str">
        <f>Orders!K63</f>
        <v>Pune</v>
      </c>
      <c r="M63">
        <f>Orders!G63</f>
        <v>3020</v>
      </c>
      <c r="N63">
        <f>IFERROR(VLOOKUP(Orders!D63,Products!$A$2:$D$61,4,FALSE),"")</f>
        <v>1626</v>
      </c>
      <c r="O63">
        <f t="shared" si="2"/>
        <v>0.46158940397350995</v>
      </c>
      <c r="Q63" t="str">
        <f>Orders!D63</f>
        <v>PROD-045</v>
      </c>
    </row>
    <row r="64" spans="1:19" x14ac:dyDescent="0.3">
      <c r="A64" t="str">
        <f>Orders!A64</f>
        <v>ORD-00063</v>
      </c>
      <c r="B64">
        <f>Orders!B64</f>
        <v>45465</v>
      </c>
      <c r="C64">
        <f>Orders!I64</f>
        <v>17633.14</v>
      </c>
      <c r="D64" t="str">
        <f>Orders!E64</f>
        <v>R017</v>
      </c>
      <c r="E64" t="str">
        <f>IFERROR(VLOOKUP(Orders!D64,Products!$A$2:$C$61,3,FALSE),"Unknown")</f>
        <v>Electronics</v>
      </c>
      <c r="F64" t="str">
        <f>IFERROR(VLOOKUP(Orders!C64,Customers!$A$2:$E$301,5,FALSE),"Unknown")</f>
        <v>Corporate</v>
      </c>
      <c r="G64">
        <f>IFERROR(VLOOKUP(Orders!C64,Customers!$A$2:$C$301,3,FALSE),"")</f>
        <v>29</v>
      </c>
      <c r="H64" t="str">
        <f>VLOOKUP(D64,Sales_Reps!$A$2:$C$31,3,FALSE)</f>
        <v>East</v>
      </c>
      <c r="I64" s="44">
        <f t="shared" si="0"/>
        <v>45444</v>
      </c>
      <c r="L64" t="str">
        <f>Orders!K64</f>
        <v>Hyderabad</v>
      </c>
      <c r="M64">
        <f>Orders!G64</f>
        <v>2660</v>
      </c>
      <c r="N64">
        <f>IFERROR(VLOOKUP(Orders!D64,Products!$A$2:$D$61,4,FALSE),"")</f>
        <v>1259</v>
      </c>
      <c r="O64">
        <f t="shared" si="2"/>
        <v>0.52669172932330832</v>
      </c>
      <c r="Q64" t="str">
        <f>Orders!D64</f>
        <v>PROD-008</v>
      </c>
    </row>
    <row r="65" spans="1:17" x14ac:dyDescent="0.3">
      <c r="A65" t="str">
        <f>Orders!A65</f>
        <v>ORD-00064</v>
      </c>
      <c r="B65">
        <f>Orders!B65</f>
        <v>45599</v>
      </c>
      <c r="C65">
        <f>Orders!I65</f>
        <v>2016.9</v>
      </c>
      <c r="D65" t="str">
        <f>Orders!E65</f>
        <v>R003</v>
      </c>
      <c r="E65" t="str">
        <f>IFERROR(VLOOKUP(Orders!D65,Products!$A$2:$C$61,3,FALSE),"Unknown")</f>
        <v>Electronics</v>
      </c>
      <c r="F65" t="str">
        <f>IFERROR(VLOOKUP(Orders!C65,Customers!$A$2:$E$301,5,FALSE),"Unknown")</f>
        <v>Retail</v>
      </c>
      <c r="G65">
        <f>IFERROR(VLOOKUP(Orders!C65,Customers!$A$2:$C$301,3,FALSE),"")</f>
        <v>25</v>
      </c>
      <c r="H65" t="str">
        <f>VLOOKUP(D65,Sales_Reps!$A$2:$C$31,3,FALSE)</f>
        <v>North</v>
      </c>
      <c r="I65" s="44">
        <f t="shared" si="0"/>
        <v>45597</v>
      </c>
      <c r="L65" t="str">
        <f>Orders!K65</f>
        <v>Pune</v>
      </c>
      <c r="M65">
        <f>Orders!G65</f>
        <v>300</v>
      </c>
      <c r="N65">
        <f>IFERROR(VLOOKUP(Orders!D65,Products!$A$2:$D$61,4,FALSE),"")</f>
        <v>128</v>
      </c>
      <c r="O65">
        <f t="shared" si="2"/>
        <v>0.57333333333333336</v>
      </c>
      <c r="Q65" t="str">
        <f>Orders!D65</f>
        <v>PROD-005</v>
      </c>
    </row>
    <row r="66" spans="1:17" x14ac:dyDescent="0.3">
      <c r="A66" t="str">
        <f>Orders!A66</f>
        <v>ORD-00065</v>
      </c>
      <c r="B66">
        <f>Orders!B66</f>
        <v>45317</v>
      </c>
      <c r="C66">
        <f>Orders!I66</f>
        <v>21463.200000000001</v>
      </c>
      <c r="D66" t="str">
        <f>Orders!E66</f>
        <v>R022</v>
      </c>
      <c r="E66" t="str">
        <f>IFERROR(VLOOKUP(Orders!D66,Products!$A$2:$C$61,3,FALSE),"Unknown")</f>
        <v>Electronics</v>
      </c>
      <c r="F66" t="str">
        <f>IFERROR(VLOOKUP(Orders!C66,Customers!$A$2:$E$301,5,FALSE),"Unknown")</f>
        <v>Retail</v>
      </c>
      <c r="G66">
        <f>IFERROR(VLOOKUP(Orders!C66,Customers!$A$2:$C$301,3,FALSE),"")</f>
        <v>28</v>
      </c>
      <c r="H66" t="str">
        <f>VLOOKUP(D66,Sales_Reps!$A$2:$C$31,3,FALSE)</f>
        <v>East</v>
      </c>
      <c r="I66" s="44">
        <f t="shared" si="0"/>
        <v>45292</v>
      </c>
      <c r="L66" t="str">
        <f>Orders!K66</f>
        <v>Chennai</v>
      </c>
      <c r="M66">
        <f>Orders!G66</f>
        <v>2640</v>
      </c>
      <c r="N66">
        <f>IFERROR(VLOOKUP(Orders!D66,Products!$A$2:$D$61,4,FALSE),"")</f>
        <v>1149</v>
      </c>
      <c r="O66">
        <f t="shared" si="2"/>
        <v>0.56477272727272732</v>
      </c>
      <c r="Q66" t="str">
        <f>Orders!D66</f>
        <v>PROD-010</v>
      </c>
    </row>
    <row r="67" spans="1:17" x14ac:dyDescent="0.3">
      <c r="A67" t="str">
        <f>Orders!A67</f>
        <v>ORD-00066</v>
      </c>
      <c r="B67">
        <f>Orders!B67</f>
        <v>45462</v>
      </c>
      <c r="C67">
        <f>Orders!I67</f>
        <v>4985.6000000000004</v>
      </c>
      <c r="D67" t="str">
        <f>Orders!E67</f>
        <v>R020</v>
      </c>
      <c r="E67" t="str">
        <f>IFERROR(VLOOKUP(Orders!D67,Products!$A$2:$C$61,3,FALSE),"Unknown")</f>
        <v>Apparel</v>
      </c>
      <c r="F67" t="str">
        <f>IFERROR(VLOOKUP(Orders!C67,Customers!$A$2:$E$301,5,FALSE),"Unknown")</f>
        <v>SMB</v>
      </c>
      <c r="G67">
        <f>IFERROR(VLOOKUP(Orders!C67,Customers!$A$2:$C$301,3,FALSE),"")</f>
        <v>50</v>
      </c>
      <c r="H67" t="str">
        <f>VLOOKUP(D67,Sales_Reps!$A$2:$C$31,3,FALSE)</f>
        <v>East</v>
      </c>
      <c r="I67" s="44">
        <f t="shared" ref="I67:I130" si="5">DATE(YEAR(B67),MONTH(B67),1)</f>
        <v>45444</v>
      </c>
      <c r="L67" t="str">
        <f>Orders!K67</f>
        <v>Delhi</v>
      </c>
      <c r="M67">
        <f>Orders!G67</f>
        <v>820</v>
      </c>
      <c r="N67">
        <f>IFERROR(VLOOKUP(Orders!D67,Products!$A$2:$D$61,4,FALSE),"")</f>
        <v>391</v>
      </c>
      <c r="O67">
        <f t="shared" ref="O67:O130" si="6">IF(OR(N67="",M67&lt;=0),"",(M67-N67)/M67)</f>
        <v>0.52317073170731709</v>
      </c>
      <c r="Q67" t="str">
        <f>Orders!D67</f>
        <v>PROD-020</v>
      </c>
    </row>
    <row r="68" spans="1:17" x14ac:dyDescent="0.3">
      <c r="A68" t="str">
        <f>Orders!A68</f>
        <v>ORD-00067</v>
      </c>
      <c r="B68">
        <f>Orders!B68</f>
        <v>45499</v>
      </c>
      <c r="C68">
        <f>Orders!I68</f>
        <v>2627.52</v>
      </c>
      <c r="D68" t="str">
        <f>Orders!E68</f>
        <v>R028</v>
      </c>
      <c r="E68" t="str">
        <f>IFERROR(VLOOKUP(Orders!D68,Products!$A$2:$C$61,3,FALSE),"Unknown")</f>
        <v>Grocery</v>
      </c>
      <c r="F68" t="str">
        <f>IFERROR(VLOOKUP(Orders!C68,Customers!$A$2:$E$301,5,FALSE),"Unknown")</f>
        <v>Retail</v>
      </c>
      <c r="G68">
        <f>IFERROR(VLOOKUP(Orders!C68,Customers!$A$2:$C$301,3,FALSE),"")</f>
        <v>39</v>
      </c>
      <c r="H68" t="str">
        <f>VLOOKUP(D68,Sales_Reps!$A$2:$C$31,3,FALSE)</f>
        <v>West</v>
      </c>
      <c r="I68" s="44">
        <f t="shared" si="5"/>
        <v>45474</v>
      </c>
      <c r="L68" t="str">
        <f>Orders!K68</f>
        <v>Chennai</v>
      </c>
      <c r="M68">
        <f>Orders!G68</f>
        <v>2760</v>
      </c>
      <c r="N68">
        <f>IFERROR(VLOOKUP(Orders!D68,Products!$A$2:$D$61,4,FALSE),"")</f>
        <v>1435</v>
      </c>
      <c r="O68">
        <f t="shared" si="6"/>
        <v>0.48007246376811596</v>
      </c>
      <c r="Q68" t="str">
        <f>Orders!D68</f>
        <v>PROD-021</v>
      </c>
    </row>
    <row r="69" spans="1:17" x14ac:dyDescent="0.3">
      <c r="A69" t="str">
        <f>Orders!A69</f>
        <v>ORD-00068</v>
      </c>
      <c r="B69">
        <f>Orders!B69</f>
        <v>45328</v>
      </c>
      <c r="C69">
        <f>Orders!I69</f>
        <v>5857.16</v>
      </c>
      <c r="D69" t="str">
        <f>Orders!E69</f>
        <v>R017</v>
      </c>
      <c r="E69" t="str">
        <f>IFERROR(VLOOKUP(Orders!D69,Products!$A$2:$C$61,3,FALSE),"Unknown")</f>
        <v>Apparel</v>
      </c>
      <c r="F69" t="str">
        <f>IFERROR(VLOOKUP(Orders!C69,Customers!$A$2:$E$301,5,FALSE),"Unknown")</f>
        <v>Retail</v>
      </c>
      <c r="G69">
        <f>IFERROR(VLOOKUP(Orders!C69,Customers!$A$2:$C$301,3,FALSE),"")</f>
        <v>38</v>
      </c>
      <c r="H69" t="str">
        <f>VLOOKUP(D69,Sales_Reps!$A$2:$C$31,3,FALSE)</f>
        <v>East</v>
      </c>
      <c r="I69" s="44">
        <f t="shared" si="5"/>
        <v>45323</v>
      </c>
      <c r="L69" t="str">
        <f>Orders!K69</f>
        <v>Chennai</v>
      </c>
      <c r="M69">
        <f>Orders!G69</f>
        <v>3620</v>
      </c>
      <c r="N69">
        <f>IFERROR(VLOOKUP(Orders!D69,Products!$A$2:$D$61,4,FALSE),"")</f>
        <v>2509</v>
      </c>
      <c r="O69">
        <f t="shared" si="6"/>
        <v>0.3069060773480663</v>
      </c>
      <c r="Q69" t="str">
        <f>Orders!D69</f>
        <v>PROD-014</v>
      </c>
    </row>
    <row r="70" spans="1:17" x14ac:dyDescent="0.3">
      <c r="A70" t="str">
        <f>Orders!A70</f>
        <v>ORD-00069</v>
      </c>
      <c r="B70">
        <f>Orders!B70</f>
        <v>45459</v>
      </c>
      <c r="C70">
        <f>Orders!I70</f>
        <v>613.79999999999995</v>
      </c>
      <c r="D70" t="str">
        <f>Orders!E70</f>
        <v>R025</v>
      </c>
      <c r="E70" t="str">
        <f>IFERROR(VLOOKUP(Orders!D70,Products!$A$2:$C$61,3,FALSE),"Unknown")</f>
        <v>Apparel</v>
      </c>
      <c r="F70" t="str">
        <f>IFERROR(VLOOKUP(Orders!C70,Customers!$A$2:$E$301,5,FALSE),"Unknown")</f>
        <v>Retail</v>
      </c>
      <c r="G70">
        <f>IFERROR(VLOOKUP(Orders!C70,Customers!$A$2:$C$301,3,FALSE),"")</f>
        <v>35</v>
      </c>
      <c r="H70" t="str">
        <f>VLOOKUP(D70,Sales_Reps!$A$2:$C$31,3,FALSE)</f>
        <v>West</v>
      </c>
      <c r="I70" s="44">
        <f t="shared" si="5"/>
        <v>45444</v>
      </c>
      <c r="L70" t="str">
        <f>Orders!K70</f>
        <v>Delhi</v>
      </c>
      <c r="M70">
        <f>Orders!G70</f>
        <v>620</v>
      </c>
      <c r="N70">
        <f>IFERROR(VLOOKUP(Orders!D70,Products!$A$2:$D$61,4,FALSE),"")</f>
        <v>396</v>
      </c>
      <c r="O70">
        <f t="shared" si="6"/>
        <v>0.36129032258064514</v>
      </c>
      <c r="Q70" t="str">
        <f>Orders!D70</f>
        <v>PROD-016</v>
      </c>
    </row>
    <row r="71" spans="1:17" x14ac:dyDescent="0.3">
      <c r="A71" t="str">
        <f>Orders!A71</f>
        <v>ORD-00070</v>
      </c>
      <c r="B71">
        <f>Orders!B71</f>
        <v>45398</v>
      </c>
      <c r="C71">
        <f>Orders!I71</f>
        <v>1963.01</v>
      </c>
      <c r="D71" t="str">
        <f>Orders!E71</f>
        <v>R030</v>
      </c>
      <c r="E71" t="str">
        <f>IFERROR(VLOOKUP(Orders!D71,Products!$A$2:$C$61,3,FALSE),"Unknown")</f>
        <v>Home</v>
      </c>
      <c r="F71" t="str">
        <f>IFERROR(VLOOKUP(Orders!C71,Customers!$A$2:$E$301,5,FALSE),"Unknown")</f>
        <v>SMB</v>
      </c>
      <c r="G71">
        <f>IFERROR(VLOOKUP(Orders!C71,Customers!$A$2:$C$301,3,FALSE),"")</f>
        <v>43</v>
      </c>
      <c r="H71" t="str">
        <f>VLOOKUP(D71,Sales_Reps!$A$2:$C$31,3,FALSE)</f>
        <v>West</v>
      </c>
      <c r="I71" s="44">
        <f t="shared" si="5"/>
        <v>45383</v>
      </c>
      <c r="L71" t="str">
        <f>Orders!K71</f>
        <v>Hyderabad</v>
      </c>
      <c r="M71">
        <f>Orders!G71</f>
        <v>2030</v>
      </c>
      <c r="N71">
        <f>IFERROR(VLOOKUP(Orders!D71,Products!$A$2:$D$61,4,FALSE),"")</f>
        <v>1143</v>
      </c>
      <c r="O71">
        <f t="shared" si="6"/>
        <v>0.43694581280788175</v>
      </c>
      <c r="Q71" t="str">
        <f>Orders!D71</f>
        <v>PROD-033</v>
      </c>
    </row>
    <row r="72" spans="1:17" x14ac:dyDescent="0.3">
      <c r="A72" t="str">
        <f>Orders!A72</f>
        <v>ORD-00071</v>
      </c>
      <c r="B72">
        <f>Orders!B72</f>
        <v>45470</v>
      </c>
      <c r="C72">
        <f>Orders!I72</f>
        <v>26607.200000000001</v>
      </c>
      <c r="D72" t="str">
        <f>Orders!E72</f>
        <v>R002</v>
      </c>
      <c r="E72" t="str">
        <f>IFERROR(VLOOKUP(Orders!D72,Products!$A$2:$C$61,3,FALSE),"Unknown")</f>
        <v>Apparel</v>
      </c>
      <c r="F72" t="str">
        <f>IFERROR(VLOOKUP(Orders!C72,Customers!$A$2:$E$301,5,FALSE),"Unknown")</f>
        <v>Retail</v>
      </c>
      <c r="G72">
        <f>IFERROR(VLOOKUP(Orders!C72,Customers!$A$2:$C$301,3,FALSE),"")</f>
        <v>36</v>
      </c>
      <c r="H72" t="str">
        <f>VLOOKUP(D72,Sales_Reps!$A$2:$C$31,3,FALSE)</f>
        <v>North</v>
      </c>
      <c r="I72" s="44">
        <f t="shared" si="5"/>
        <v>45444</v>
      </c>
      <c r="L72" t="str">
        <f>Orders!K72</f>
        <v>Chennai</v>
      </c>
      <c r="M72">
        <f>Orders!G72</f>
        <v>3160</v>
      </c>
      <c r="N72">
        <f>IFERROR(VLOOKUP(Orders!D72,Products!$A$2:$D$61,4,FALSE),"")</f>
        <v>1886</v>
      </c>
      <c r="O72">
        <f t="shared" si="6"/>
        <v>0.4031645569620253</v>
      </c>
      <c r="Q72" t="str">
        <f>Orders!D72</f>
        <v>PROD-012</v>
      </c>
    </row>
    <row r="73" spans="1:17" x14ac:dyDescent="0.3">
      <c r="A73" t="str">
        <f>Orders!A73</f>
        <v>ORD-00072</v>
      </c>
      <c r="B73">
        <f>Orders!B73</f>
        <v>45346</v>
      </c>
      <c r="C73">
        <f>Orders!I73</f>
        <v>4258.3</v>
      </c>
      <c r="D73" t="str">
        <f>Orders!E73</f>
        <v>R001</v>
      </c>
      <c r="E73" t="str">
        <f>IFERROR(VLOOKUP(Orders!D73,Products!$A$2:$C$61,3,FALSE),"Unknown")</f>
        <v>Grocery</v>
      </c>
      <c r="F73" t="str">
        <f>IFERROR(VLOOKUP(Orders!C73,Customers!$A$2:$E$301,5,FALSE),"Unknown")</f>
        <v>Retail</v>
      </c>
      <c r="G73">
        <f>IFERROR(VLOOKUP(Orders!C73,Customers!$A$2:$C$301,3,FALSE),"")</f>
        <v>29</v>
      </c>
      <c r="H73" t="str">
        <f>VLOOKUP(D73,Sales_Reps!$A$2:$C$31,3,FALSE)</f>
        <v>North</v>
      </c>
      <c r="I73" s="44">
        <f t="shared" si="5"/>
        <v>45323</v>
      </c>
      <c r="L73" t="str">
        <f>Orders!K73</f>
        <v>Hyderabad</v>
      </c>
      <c r="M73">
        <f>Orders!G73</f>
        <v>970</v>
      </c>
      <c r="N73">
        <f>IFERROR(VLOOKUP(Orders!D73,Products!$A$2:$D$61,4,FALSE),"")</f>
        <v>434</v>
      </c>
      <c r="O73">
        <f t="shared" si="6"/>
        <v>0.5525773195876289</v>
      </c>
      <c r="Q73" t="str">
        <f>Orders!D73</f>
        <v>PROD-030</v>
      </c>
    </row>
    <row r="74" spans="1:17" x14ac:dyDescent="0.3">
      <c r="A74" t="str">
        <f>Orders!A74</f>
        <v>ORD-00073</v>
      </c>
      <c r="B74">
        <f>Orders!B74</f>
        <v>45483</v>
      </c>
      <c r="C74">
        <f>Orders!I74</f>
        <v>22371.3</v>
      </c>
      <c r="D74" t="str">
        <f>Orders!E74</f>
        <v>R003</v>
      </c>
      <c r="E74" t="str">
        <f>IFERROR(VLOOKUP(Orders!D74,Products!$A$2:$C$61,3,FALSE),"Unknown")</f>
        <v>Beauty</v>
      </c>
      <c r="F74" t="str">
        <f>IFERROR(VLOOKUP(Orders!C74,Customers!$A$2:$E$301,5,FALSE),"Unknown")</f>
        <v>Retail</v>
      </c>
      <c r="G74">
        <f>IFERROR(VLOOKUP(Orders!C74,Customers!$A$2:$C$301,3,FALSE),"")</f>
        <v>41</v>
      </c>
      <c r="H74" t="str">
        <f>VLOOKUP(D74,Sales_Reps!$A$2:$C$31,3,FALSE)</f>
        <v>North</v>
      </c>
      <c r="I74" s="44">
        <f t="shared" si="5"/>
        <v>45474</v>
      </c>
      <c r="L74" t="str">
        <f>Orders!K74</f>
        <v>Chennai</v>
      </c>
      <c r="M74">
        <f>Orders!G74</f>
        <v>3350</v>
      </c>
      <c r="N74">
        <f>IFERROR(VLOOKUP(Orders!D74,Products!$A$2:$D$61,4,FALSE),"")</f>
        <v>1728</v>
      </c>
      <c r="O74">
        <f t="shared" si="6"/>
        <v>0.48417910447761192</v>
      </c>
      <c r="Q74" t="str">
        <f>Orders!D74</f>
        <v>PROD-043</v>
      </c>
    </row>
    <row r="75" spans="1:17" x14ac:dyDescent="0.3">
      <c r="A75" t="str">
        <f>Orders!A75</f>
        <v>ORD-00074</v>
      </c>
      <c r="B75">
        <f>Orders!B75</f>
        <v>45585</v>
      </c>
      <c r="C75">
        <f>Orders!I75</f>
        <v>263.07</v>
      </c>
      <c r="D75" t="str">
        <f>Orders!E75</f>
        <v>R018</v>
      </c>
      <c r="E75" t="str">
        <f>IFERROR(VLOOKUP(Orders!D75,Products!$A$2:$C$61,3,FALSE),"Unknown")</f>
        <v>Home</v>
      </c>
      <c r="F75" t="str">
        <f>IFERROR(VLOOKUP(Orders!C75,Customers!$A$2:$E$301,5,FALSE),"Unknown")</f>
        <v>SMB</v>
      </c>
      <c r="G75">
        <f>IFERROR(VLOOKUP(Orders!C75,Customers!$A$2:$C$301,3,FALSE),"")</f>
        <v>55</v>
      </c>
      <c r="H75" t="str">
        <f>VLOOKUP(D75,Sales_Reps!$A$2:$C$31,3,FALSE)</f>
        <v>East</v>
      </c>
      <c r="I75" s="44">
        <f t="shared" si="5"/>
        <v>45566</v>
      </c>
      <c r="L75" t="str">
        <f>Orders!K75</f>
        <v>Delhi</v>
      </c>
      <c r="M75">
        <f>Orders!G75</f>
        <v>370</v>
      </c>
      <c r="N75">
        <f>IFERROR(VLOOKUP(Orders!D75,Products!$A$2:$D$61,4,FALSE),"")</f>
        <v>288</v>
      </c>
      <c r="O75">
        <f t="shared" si="6"/>
        <v>0.22162162162162163</v>
      </c>
      <c r="Q75" t="str">
        <f>Orders!D75</f>
        <v>PROD-032</v>
      </c>
    </row>
    <row r="76" spans="1:17" x14ac:dyDescent="0.3">
      <c r="A76" t="str">
        <f>Orders!A76</f>
        <v>ORD-00075</v>
      </c>
      <c r="B76">
        <f>Orders!B76</f>
        <v>45500</v>
      </c>
      <c r="C76">
        <f>Orders!I76</f>
        <v>2784.87</v>
      </c>
      <c r="D76" t="str">
        <f>Orders!E76</f>
        <v>R010</v>
      </c>
      <c r="E76" t="str">
        <f>IFERROR(VLOOKUP(Orders!D76,Products!$A$2:$C$61,3,FALSE),"Unknown")</f>
        <v>Grocery</v>
      </c>
      <c r="F76" t="str">
        <f>IFERROR(VLOOKUP(Orders!C76,Customers!$A$2:$E$301,5,FALSE),"Unknown")</f>
        <v>Corporate</v>
      </c>
      <c r="G76">
        <f>IFERROR(VLOOKUP(Orders!C76,Customers!$A$2:$C$301,3,FALSE),"")</f>
        <v>46</v>
      </c>
      <c r="H76" t="str">
        <f>VLOOKUP(D76,Sales_Reps!$A$2:$C$31,3,FALSE)</f>
        <v>South</v>
      </c>
      <c r="I76" s="44">
        <f t="shared" si="5"/>
        <v>45474</v>
      </c>
      <c r="L76" t="str">
        <f>Orders!K76</f>
        <v>Hyderabad</v>
      </c>
      <c r="M76">
        <f>Orders!G76</f>
        <v>970</v>
      </c>
      <c r="N76">
        <f>IFERROR(VLOOKUP(Orders!D76,Products!$A$2:$D$61,4,FALSE),"")</f>
        <v>434</v>
      </c>
      <c r="O76">
        <f t="shared" si="6"/>
        <v>0.5525773195876289</v>
      </c>
      <c r="Q76" t="str">
        <f>Orders!D76</f>
        <v>PROD-030</v>
      </c>
    </row>
    <row r="77" spans="1:17" x14ac:dyDescent="0.3">
      <c r="A77" t="str">
        <f>Orders!A77</f>
        <v>ORD-00076</v>
      </c>
      <c r="B77">
        <f>Orders!B77</f>
        <v>45375</v>
      </c>
      <c r="C77">
        <f>Orders!I77</f>
        <v>13264.56</v>
      </c>
      <c r="D77" t="str">
        <f>Orders!E77</f>
        <v>R022</v>
      </c>
      <c r="E77" t="str">
        <f>IFERROR(VLOOKUP(Orders!D77,Products!$A$2:$C$61,3,FALSE),"Unknown")</f>
        <v>Grocery</v>
      </c>
      <c r="F77" t="str">
        <f>IFERROR(VLOOKUP(Orders!C77,Customers!$A$2:$E$301,5,FALSE),"Unknown")</f>
        <v>SMB</v>
      </c>
      <c r="G77">
        <f>IFERROR(VLOOKUP(Orders!C77,Customers!$A$2:$C$301,3,FALSE),"")</f>
        <v>39</v>
      </c>
      <c r="H77" t="str">
        <f>VLOOKUP(D77,Sales_Reps!$A$2:$C$31,3,FALSE)</f>
        <v>East</v>
      </c>
      <c r="I77" s="44">
        <f t="shared" si="5"/>
        <v>45352</v>
      </c>
      <c r="L77" t="str">
        <f>Orders!K77</f>
        <v>Pune</v>
      </c>
      <c r="M77">
        <f>Orders!G77</f>
        <v>2760</v>
      </c>
      <c r="N77">
        <f>IFERROR(VLOOKUP(Orders!D77,Products!$A$2:$D$61,4,FALSE),"")</f>
        <v>1435</v>
      </c>
      <c r="O77">
        <f t="shared" si="6"/>
        <v>0.48007246376811596</v>
      </c>
      <c r="Q77" t="str">
        <f>Orders!D77</f>
        <v>PROD-021</v>
      </c>
    </row>
    <row r="78" spans="1:17" x14ac:dyDescent="0.3">
      <c r="A78" t="str">
        <f>Orders!A78</f>
        <v>ORD-00077</v>
      </c>
      <c r="B78">
        <f>Orders!B78</f>
        <v>45443</v>
      </c>
      <c r="C78">
        <f>Orders!I78</f>
        <v>14451.36</v>
      </c>
      <c r="D78" t="str">
        <f>Orders!E78</f>
        <v>R019</v>
      </c>
      <c r="E78" t="str">
        <f>IFERROR(VLOOKUP(Orders!D78,Products!$A$2:$C$61,3,FALSE),"Unknown")</f>
        <v>Grocery</v>
      </c>
      <c r="F78" t="str">
        <f>IFERROR(VLOOKUP(Orders!C78,Customers!$A$2:$E$301,5,FALSE),"Unknown")</f>
        <v>SMB</v>
      </c>
      <c r="G78">
        <f>IFERROR(VLOOKUP(Orders!C78,Customers!$A$2:$C$301,3,FALSE),"")</f>
        <v>54</v>
      </c>
      <c r="H78" t="str">
        <f>VLOOKUP(D78,Sales_Reps!$A$2:$C$31,3,FALSE)</f>
        <v>East</v>
      </c>
      <c r="I78" s="44">
        <f t="shared" si="5"/>
        <v>45413</v>
      </c>
      <c r="L78" t="str">
        <f>Orders!K78</f>
        <v>Pune</v>
      </c>
      <c r="M78">
        <f>Orders!G78</f>
        <v>2760</v>
      </c>
      <c r="N78">
        <f>IFERROR(VLOOKUP(Orders!D78,Products!$A$2:$D$61,4,FALSE),"")</f>
        <v>1435</v>
      </c>
      <c r="O78">
        <f t="shared" si="6"/>
        <v>0.48007246376811596</v>
      </c>
      <c r="Q78" t="str">
        <f>Orders!D78</f>
        <v>PROD-021</v>
      </c>
    </row>
    <row r="79" spans="1:17" x14ac:dyDescent="0.3">
      <c r="A79" t="str">
        <f>Orders!A79</f>
        <v>ORD-00078</v>
      </c>
      <c r="B79">
        <f>Orders!B79</f>
        <v>45390</v>
      </c>
      <c r="C79">
        <f>Orders!I79</f>
        <v>4470.08</v>
      </c>
      <c r="D79" t="str">
        <f>Orders!E79</f>
        <v>R022</v>
      </c>
      <c r="E79" t="str">
        <f>IFERROR(VLOOKUP(Orders!D79,Products!$A$2:$C$61,3,FALSE),"Unknown")</f>
        <v>Electronics</v>
      </c>
      <c r="F79" t="str">
        <f>IFERROR(VLOOKUP(Orders!C79,Customers!$A$2:$E$301,5,FALSE),"Unknown")</f>
        <v>Retail</v>
      </c>
      <c r="G79">
        <f>IFERROR(VLOOKUP(Orders!C79,Customers!$A$2:$C$301,3,FALSE),"")</f>
        <v>42</v>
      </c>
      <c r="H79" t="str">
        <f>VLOOKUP(D79,Sales_Reps!$A$2:$C$31,3,FALSE)</f>
        <v>East</v>
      </c>
      <c r="I79" s="44">
        <f t="shared" si="5"/>
        <v>45383</v>
      </c>
      <c r="L79" t="str">
        <f>Orders!K79</f>
        <v>Bengaluru</v>
      </c>
      <c r="M79">
        <f>Orders!G79</f>
        <v>1220</v>
      </c>
      <c r="N79">
        <f>IFERROR(VLOOKUP(Orders!D79,Products!$A$2:$D$61,4,FALSE),"")</f>
        <v>517</v>
      </c>
      <c r="O79">
        <f t="shared" si="6"/>
        <v>0.57622950819672136</v>
      </c>
      <c r="Q79" t="str">
        <f>Orders!D79</f>
        <v>PROD-009</v>
      </c>
    </row>
    <row r="80" spans="1:17" x14ac:dyDescent="0.3">
      <c r="A80" t="str">
        <f>Orders!A80</f>
        <v>ORD-00079</v>
      </c>
      <c r="B80">
        <f>Orders!B80</f>
        <v>45615</v>
      </c>
      <c r="C80">
        <f>Orders!I80</f>
        <v>5101.2</v>
      </c>
      <c r="D80" t="str">
        <f>Orders!E80</f>
        <v>R028</v>
      </c>
      <c r="E80" t="str">
        <f>IFERROR(VLOOKUP(Orders!D80,Products!$A$2:$C$61,3,FALSE),"Unknown")</f>
        <v>Electronics</v>
      </c>
      <c r="F80" t="str">
        <f>IFERROR(VLOOKUP(Orders!C80,Customers!$A$2:$E$301,5,FALSE),"Unknown")</f>
        <v>Retail</v>
      </c>
      <c r="G80">
        <f>IFERROR(VLOOKUP(Orders!C80,Customers!$A$2:$C$301,3,FALSE),"")</f>
        <v>46</v>
      </c>
      <c r="H80" t="str">
        <f>VLOOKUP(D80,Sales_Reps!$A$2:$C$31,3,FALSE)</f>
        <v>West</v>
      </c>
      <c r="I80" s="44">
        <f t="shared" si="5"/>
        <v>45597</v>
      </c>
      <c r="L80" t="str">
        <f>Orders!K80</f>
        <v>Hyderabad</v>
      </c>
      <c r="M80">
        <f>Orders!G80</f>
        <v>2600</v>
      </c>
      <c r="N80">
        <f>IFERROR(VLOOKUP(Orders!D80,Products!$A$2:$D$61,4,FALSE),"")</f>
        <v>1052</v>
      </c>
      <c r="O80">
        <f t="shared" si="6"/>
        <v>0.5953846153846154</v>
      </c>
      <c r="Q80" t="str">
        <f>Orders!D80</f>
        <v>PROD-002</v>
      </c>
    </row>
    <row r="81" spans="1:17" x14ac:dyDescent="0.3">
      <c r="A81" t="str">
        <f>Orders!A81</f>
        <v>ORD-00080</v>
      </c>
      <c r="B81">
        <f>Orders!B81</f>
        <v>45498</v>
      </c>
      <c r="C81">
        <f>Orders!I81</f>
        <v>26080.560000000001</v>
      </c>
      <c r="D81" t="str">
        <f>Orders!E81</f>
        <v>R030</v>
      </c>
      <c r="E81" t="str">
        <f>IFERROR(VLOOKUP(Orders!D81,Products!$A$2:$C$61,3,FALSE),"Unknown")</f>
        <v>Grocery</v>
      </c>
      <c r="F81" t="str">
        <f>IFERROR(VLOOKUP(Orders!C81,Customers!$A$2:$E$301,5,FALSE),"Unknown")</f>
        <v>Corporate</v>
      </c>
      <c r="G81">
        <f>IFERROR(VLOOKUP(Orders!C81,Customers!$A$2:$C$301,3,FALSE),"")</f>
        <v>33</v>
      </c>
      <c r="H81" t="str">
        <f>VLOOKUP(D81,Sales_Reps!$A$2:$C$31,3,FALSE)</f>
        <v>West</v>
      </c>
      <c r="I81" s="44">
        <f t="shared" si="5"/>
        <v>45474</v>
      </c>
      <c r="L81" t="str">
        <f>Orders!K81</f>
        <v>Pune</v>
      </c>
      <c r="M81">
        <f>Orders!G81</f>
        <v>4070</v>
      </c>
      <c r="N81">
        <f>IFERROR(VLOOKUP(Orders!D81,Products!$A$2:$D$61,4,FALSE),"")</f>
        <v>2027</v>
      </c>
      <c r="O81">
        <f t="shared" si="6"/>
        <v>0.50196560196560192</v>
      </c>
      <c r="Q81" t="str">
        <f>Orders!D81</f>
        <v>PROD-026</v>
      </c>
    </row>
    <row r="82" spans="1:17" x14ac:dyDescent="0.3">
      <c r="A82" t="str">
        <f>Orders!A82</f>
        <v>ORD-00081</v>
      </c>
      <c r="B82">
        <f>Orders!B82</f>
        <v>45515</v>
      </c>
      <c r="C82">
        <f>Orders!I82</f>
        <v>3722.8</v>
      </c>
      <c r="D82" t="str">
        <f>Orders!E82</f>
        <v>R005</v>
      </c>
      <c r="E82" t="str">
        <f>IFERROR(VLOOKUP(Orders!D82,Products!$A$2:$C$61,3,FALSE),"Unknown")</f>
        <v>Grocery</v>
      </c>
      <c r="F82" t="str">
        <f>IFERROR(VLOOKUP(Orders!C82,Customers!$A$2:$E$301,5,FALSE),"Unknown")</f>
        <v>SMB</v>
      </c>
      <c r="G82">
        <f>IFERROR(VLOOKUP(Orders!C82,Customers!$A$2:$C$301,3,FALSE),"")</f>
        <v>60</v>
      </c>
      <c r="H82" t="str">
        <f>VLOOKUP(D82,Sales_Reps!$A$2:$C$31,3,FALSE)</f>
        <v>North</v>
      </c>
      <c r="I82" s="44">
        <f t="shared" si="5"/>
        <v>45505</v>
      </c>
      <c r="L82" t="str">
        <f>Orders!K82</f>
        <v>Pune</v>
      </c>
      <c r="M82">
        <f>Orders!G82</f>
        <v>2270</v>
      </c>
      <c r="N82">
        <f>IFERROR(VLOOKUP(Orders!D82,Products!$A$2:$D$61,4,FALSE),"")</f>
        <v>1203</v>
      </c>
      <c r="O82">
        <f t="shared" si="6"/>
        <v>0.47004405286343615</v>
      </c>
      <c r="Q82" t="str">
        <f>Orders!D82</f>
        <v>PROD-024</v>
      </c>
    </row>
    <row r="83" spans="1:17" x14ac:dyDescent="0.3">
      <c r="A83" t="str">
        <f>Orders!A83</f>
        <v>ORD-00082</v>
      </c>
      <c r="B83">
        <f>Orders!B83</f>
        <v>45528</v>
      </c>
      <c r="C83">
        <f>Orders!I83</f>
        <v>5163.4399999999996</v>
      </c>
      <c r="D83" t="str">
        <f>Orders!E83</f>
        <v>R017</v>
      </c>
      <c r="E83" t="str">
        <f>IFERROR(VLOOKUP(Orders!D83,Products!$A$2:$C$61,3,FALSE),"Unknown")</f>
        <v>Apparel</v>
      </c>
      <c r="F83" t="str">
        <f>IFERROR(VLOOKUP(Orders!C83,Customers!$A$2:$E$301,5,FALSE),"Unknown")</f>
        <v>SMB</v>
      </c>
      <c r="G83">
        <f>IFERROR(VLOOKUP(Orders!C83,Customers!$A$2:$C$301,3,FALSE),"")</f>
        <v>57</v>
      </c>
      <c r="H83" t="str">
        <f>VLOOKUP(D83,Sales_Reps!$A$2:$C$31,3,FALSE)</f>
        <v>East</v>
      </c>
      <c r="I83" s="44">
        <f t="shared" si="5"/>
        <v>45505</v>
      </c>
      <c r="L83" t="str">
        <f>Orders!K83</f>
        <v>Chennai</v>
      </c>
      <c r="M83">
        <f>Orders!G83</f>
        <v>3160</v>
      </c>
      <c r="N83">
        <f>IFERROR(VLOOKUP(Orders!D83,Products!$A$2:$D$61,4,FALSE),"")</f>
        <v>1886</v>
      </c>
      <c r="O83">
        <f t="shared" si="6"/>
        <v>0.4031645569620253</v>
      </c>
      <c r="Q83" t="str">
        <f>Orders!D83</f>
        <v>PROD-012</v>
      </c>
    </row>
    <row r="84" spans="1:17" x14ac:dyDescent="0.3">
      <c r="A84" t="str">
        <f>Orders!A84</f>
        <v>ORD-00083</v>
      </c>
      <c r="B84">
        <f>Orders!B84</f>
        <v>45402</v>
      </c>
      <c r="C84">
        <f>Orders!I84</f>
        <v>9810.8799999999992</v>
      </c>
      <c r="D84" t="str">
        <f>Orders!E84</f>
        <v>R007</v>
      </c>
      <c r="E84" t="str">
        <f>IFERROR(VLOOKUP(Orders!D84,Products!$A$2:$C$61,3,FALSE),"Unknown")</f>
        <v>Apparel</v>
      </c>
      <c r="F84" t="str">
        <f>IFERROR(VLOOKUP(Orders!C84,Customers!$A$2:$E$301,5,FALSE),"Unknown")</f>
        <v>SMB</v>
      </c>
      <c r="G84">
        <f>IFERROR(VLOOKUP(Orders!C84,Customers!$A$2:$C$301,3,FALSE),"")</f>
        <v>36</v>
      </c>
      <c r="H84" t="str">
        <f>VLOOKUP(D84,Sales_Reps!$A$2:$C$31,3,FALSE)</f>
        <v>North</v>
      </c>
      <c r="I84" s="44">
        <f t="shared" si="5"/>
        <v>45383</v>
      </c>
      <c r="L84" t="str">
        <f>Orders!K84</f>
        <v>Hyderabad</v>
      </c>
      <c r="M84">
        <f>Orders!G84</f>
        <v>2480</v>
      </c>
      <c r="N84">
        <f>IFERROR(VLOOKUP(Orders!D84,Products!$A$2:$D$61,4,FALSE),"")</f>
        <v>1173</v>
      </c>
      <c r="O84">
        <f t="shared" si="6"/>
        <v>0.52701612903225803</v>
      </c>
      <c r="Q84" t="str">
        <f>Orders!D84</f>
        <v>PROD-019</v>
      </c>
    </row>
    <row r="85" spans="1:17" x14ac:dyDescent="0.3">
      <c r="A85" t="str">
        <f>Orders!A85</f>
        <v>ORD-00084</v>
      </c>
      <c r="B85">
        <f>Orders!B85</f>
        <v>45547</v>
      </c>
      <c r="C85">
        <f>Orders!I85</f>
        <v>2101.4</v>
      </c>
      <c r="D85" t="str">
        <f>Orders!E85</f>
        <v>R026</v>
      </c>
      <c r="E85" t="str">
        <f>IFERROR(VLOOKUP(Orders!D85,Products!$A$2:$C$61,3,FALSE),"Unknown")</f>
        <v>Electronics</v>
      </c>
      <c r="F85" t="str">
        <f>IFERROR(VLOOKUP(Orders!C85,Customers!$A$2:$E$301,5,FALSE),"Unknown")</f>
        <v>Retail</v>
      </c>
      <c r="G85">
        <f>IFERROR(VLOOKUP(Orders!C85,Customers!$A$2:$C$301,3,FALSE),"")</f>
        <v>31</v>
      </c>
      <c r="H85" t="str">
        <f>VLOOKUP(D85,Sales_Reps!$A$2:$C$31,3,FALSE)</f>
        <v>West</v>
      </c>
      <c r="I85" s="44">
        <f t="shared" si="5"/>
        <v>45536</v>
      </c>
      <c r="L85" t="str">
        <f>Orders!K85</f>
        <v>Delhi</v>
      </c>
      <c r="M85">
        <f>Orders!G85</f>
        <v>2660</v>
      </c>
      <c r="N85">
        <f>IFERROR(VLOOKUP(Orders!D85,Products!$A$2:$D$61,4,FALSE),"")</f>
        <v>1259</v>
      </c>
      <c r="O85">
        <f t="shared" si="6"/>
        <v>0.52669172932330832</v>
      </c>
      <c r="Q85" t="str">
        <f>Orders!D85</f>
        <v>PROD-008</v>
      </c>
    </row>
    <row r="86" spans="1:17" x14ac:dyDescent="0.3">
      <c r="A86" t="str">
        <f>Orders!A86</f>
        <v>ORD-00085</v>
      </c>
      <c r="B86">
        <f>Orders!B86</f>
        <v>45424</v>
      </c>
      <c r="C86">
        <f>Orders!I86</f>
        <v>11747.8</v>
      </c>
      <c r="D86" t="str">
        <f>Orders!E86</f>
        <v>R012</v>
      </c>
      <c r="E86" t="str">
        <f>IFERROR(VLOOKUP(Orders!D86,Products!$A$2:$C$61,3,FALSE),"Unknown")</f>
        <v>Beauty</v>
      </c>
      <c r="F86" t="str">
        <f>IFERROR(VLOOKUP(Orders!C86,Customers!$A$2:$E$301,5,FALSE),"Unknown")</f>
        <v>Retail</v>
      </c>
      <c r="G86">
        <f>IFERROR(VLOOKUP(Orders!C86,Customers!$A$2:$C$301,3,FALSE),"")</f>
        <v>28</v>
      </c>
      <c r="H86" t="str">
        <f>VLOOKUP(D86,Sales_Reps!$A$2:$C$31,3,FALSE)</f>
        <v>South</v>
      </c>
      <c r="I86" s="44">
        <f t="shared" si="5"/>
        <v>45413</v>
      </c>
      <c r="L86" t="str">
        <f>Orders!K86</f>
        <v>Hyderabad</v>
      </c>
      <c r="M86">
        <f>Orders!G86</f>
        <v>3020</v>
      </c>
      <c r="N86">
        <f>IFERROR(VLOOKUP(Orders!D86,Products!$A$2:$D$61,4,FALSE),"")</f>
        <v>1626</v>
      </c>
      <c r="O86">
        <f t="shared" si="6"/>
        <v>0.46158940397350995</v>
      </c>
      <c r="Q86" t="str">
        <f>Orders!D86</f>
        <v>PROD-045</v>
      </c>
    </row>
    <row r="87" spans="1:17" x14ac:dyDescent="0.3">
      <c r="A87" t="str">
        <f>Orders!A87</f>
        <v>ORD-00086</v>
      </c>
      <c r="B87">
        <f>Orders!B87</f>
        <v>45461</v>
      </c>
      <c r="C87">
        <f>Orders!I87</f>
        <v>4279.8599999999997</v>
      </c>
      <c r="D87" t="str">
        <f>Orders!E87</f>
        <v>R030</v>
      </c>
      <c r="E87" t="str">
        <f>IFERROR(VLOOKUP(Orders!D87,Products!$A$2:$C$61,3,FALSE),"Unknown")</f>
        <v>Apparel</v>
      </c>
      <c r="F87" t="str">
        <f>IFERROR(VLOOKUP(Orders!C87,Customers!$A$2:$E$301,5,FALSE),"Unknown")</f>
        <v>SMB</v>
      </c>
      <c r="G87">
        <f>IFERROR(VLOOKUP(Orders!C87,Customers!$A$2:$C$301,3,FALSE),"")</f>
        <v>44</v>
      </c>
      <c r="H87" t="str">
        <f>VLOOKUP(D87,Sales_Reps!$A$2:$C$31,3,FALSE)</f>
        <v>West</v>
      </c>
      <c r="I87" s="44">
        <f t="shared" si="5"/>
        <v>45444</v>
      </c>
      <c r="L87" t="str">
        <f>Orders!K87</f>
        <v>Pune</v>
      </c>
      <c r="M87">
        <f>Orders!G87</f>
        <v>620</v>
      </c>
      <c r="N87">
        <f>IFERROR(VLOOKUP(Orders!D87,Products!$A$2:$D$61,4,FALSE),"")</f>
        <v>396</v>
      </c>
      <c r="O87">
        <f t="shared" si="6"/>
        <v>0.36129032258064514</v>
      </c>
      <c r="Q87" t="str">
        <f>Orders!D87</f>
        <v>PROD-016</v>
      </c>
    </row>
    <row r="88" spans="1:17" x14ac:dyDescent="0.3">
      <c r="A88" t="str">
        <f>Orders!A88</f>
        <v>ORD-00087</v>
      </c>
      <c r="B88">
        <f>Orders!B88</f>
        <v>45600</v>
      </c>
      <c r="C88">
        <f>Orders!I88</f>
        <v>889.24</v>
      </c>
      <c r="D88" t="str">
        <f>Orders!E88</f>
        <v>R026</v>
      </c>
      <c r="E88" t="str">
        <f>IFERROR(VLOOKUP(Orders!D88,Products!$A$2:$C$61,3,FALSE),"Unknown")</f>
        <v>Sports</v>
      </c>
      <c r="F88" t="str">
        <f>IFERROR(VLOOKUP(Orders!C88,Customers!$A$2:$E$301,5,FALSE),"Unknown")</f>
        <v>Retail</v>
      </c>
      <c r="G88">
        <f>IFERROR(VLOOKUP(Orders!C88,Customers!$A$2:$C$301,3,FALSE),"")</f>
        <v>28</v>
      </c>
      <c r="H88" t="str">
        <f>VLOOKUP(D88,Sales_Reps!$A$2:$C$31,3,FALSE)</f>
        <v>West</v>
      </c>
      <c r="I88" s="44">
        <f t="shared" si="5"/>
        <v>45597</v>
      </c>
      <c r="L88" t="str">
        <f>Orders!K88</f>
        <v>Chennai</v>
      </c>
      <c r="M88">
        <f>Orders!G88</f>
        <v>470</v>
      </c>
      <c r="N88">
        <f>IFERROR(VLOOKUP(Orders!D88,Products!$A$2:$D$61,4,FALSE),"")</f>
        <v>302</v>
      </c>
      <c r="O88">
        <f t="shared" si="6"/>
        <v>0.35744680851063831</v>
      </c>
      <c r="Q88" t="str">
        <f>Orders!D88</f>
        <v>PROD-053</v>
      </c>
    </row>
    <row r="89" spans="1:17" x14ac:dyDescent="0.3">
      <c r="A89" t="str">
        <f>Orders!A89</f>
        <v>ORD-00088</v>
      </c>
      <c r="B89">
        <f>Orders!B89</f>
        <v>45587</v>
      </c>
      <c r="C89">
        <f>Orders!I89</f>
        <v>4011.15</v>
      </c>
      <c r="D89" t="str">
        <f>Orders!E89</f>
        <v>R010</v>
      </c>
      <c r="E89" t="str">
        <f>IFERROR(VLOOKUP(Orders!D89,Products!$A$2:$C$61,3,FALSE),"Unknown")</f>
        <v>Electronics</v>
      </c>
      <c r="F89" t="str">
        <f>IFERROR(VLOOKUP(Orders!C89,Customers!$A$2:$E$301,5,FALSE),"Unknown")</f>
        <v>Retail</v>
      </c>
      <c r="G89">
        <f>IFERROR(VLOOKUP(Orders!C89,Customers!$A$2:$C$301,3,FALSE),"")</f>
        <v>50</v>
      </c>
      <c r="H89" t="str">
        <f>VLOOKUP(D89,Sales_Reps!$A$2:$C$31,3,FALSE)</f>
        <v>South</v>
      </c>
      <c r="I89" s="44">
        <f t="shared" si="5"/>
        <v>45566</v>
      </c>
      <c r="L89" t="str">
        <f>Orders!K89</f>
        <v>Pune</v>
      </c>
      <c r="M89">
        <f>Orders!G89</f>
        <v>1430</v>
      </c>
      <c r="N89">
        <f>IFERROR(VLOOKUP(Orders!D89,Products!$A$2:$D$61,4,FALSE),"")</f>
        <v>861</v>
      </c>
      <c r="O89">
        <f t="shared" si="6"/>
        <v>0.39790209790209791</v>
      </c>
      <c r="Q89" t="str">
        <f>Orders!D89</f>
        <v>PROD-007</v>
      </c>
    </row>
    <row r="90" spans="1:17" x14ac:dyDescent="0.3">
      <c r="A90" t="str">
        <f>Orders!A90</f>
        <v>ORD-00089</v>
      </c>
      <c r="B90">
        <f>Orders!B90</f>
        <v>45518</v>
      </c>
      <c r="C90">
        <f>Orders!I90</f>
        <v>3623.28</v>
      </c>
      <c r="D90" t="str">
        <f>Orders!E90</f>
        <v>R004</v>
      </c>
      <c r="E90" t="str">
        <f>IFERROR(VLOOKUP(Orders!D90,Products!$A$2:$C$61,3,FALSE),"Unknown")</f>
        <v>Apparel</v>
      </c>
      <c r="F90" t="str">
        <f>IFERROR(VLOOKUP(Orders!C90,Customers!$A$2:$E$301,5,FALSE),"Unknown")</f>
        <v>Corporate</v>
      </c>
      <c r="G90">
        <f>IFERROR(VLOOKUP(Orders!C90,Customers!$A$2:$C$301,3,FALSE),"")</f>
        <v>59</v>
      </c>
      <c r="H90" t="str">
        <f>VLOOKUP(D90,Sales_Reps!$A$2:$C$31,3,FALSE)</f>
        <v>North</v>
      </c>
      <c r="I90" s="44">
        <f t="shared" si="5"/>
        <v>45505</v>
      </c>
      <c r="L90" t="str">
        <f>Orders!K90</f>
        <v>Bengaluru</v>
      </c>
      <c r="M90">
        <f>Orders!G90</f>
        <v>620</v>
      </c>
      <c r="N90">
        <f>IFERROR(VLOOKUP(Orders!D90,Products!$A$2:$D$61,4,FALSE),"")</f>
        <v>396</v>
      </c>
      <c r="O90">
        <f t="shared" si="6"/>
        <v>0.36129032258064514</v>
      </c>
      <c r="Q90" t="str">
        <f>Orders!D90</f>
        <v>PROD-016</v>
      </c>
    </row>
    <row r="91" spans="1:17" x14ac:dyDescent="0.3">
      <c r="A91" t="str">
        <f>Orders!A91</f>
        <v>ORD-00090</v>
      </c>
      <c r="B91">
        <f>Orders!B91</f>
        <v>45533</v>
      </c>
      <c r="C91">
        <f>Orders!I91</f>
        <v>13637.4</v>
      </c>
      <c r="D91" t="str">
        <f>Orders!E91</f>
        <v>R012</v>
      </c>
      <c r="E91" t="str">
        <f>IFERROR(VLOOKUP(Orders!D91,Products!$A$2:$C$61,3,FALSE),"Unknown")</f>
        <v>Electronics</v>
      </c>
      <c r="F91" t="str">
        <f>IFERROR(VLOOKUP(Orders!C91,Customers!$A$2:$E$301,5,FALSE),"Unknown")</f>
        <v>SMB</v>
      </c>
      <c r="G91">
        <f>IFERROR(VLOOKUP(Orders!C91,Customers!$A$2:$C$301,3,FALSE),"")</f>
        <v>65</v>
      </c>
      <c r="H91" t="str">
        <f>VLOOKUP(D91,Sales_Reps!$A$2:$C$31,3,FALSE)</f>
        <v>South</v>
      </c>
      <c r="I91" s="44">
        <f t="shared" si="5"/>
        <v>45505</v>
      </c>
      <c r="L91" t="str">
        <f>Orders!K91</f>
        <v>Hyderabad</v>
      </c>
      <c r="M91">
        <f>Orders!G91</f>
        <v>3570</v>
      </c>
      <c r="N91">
        <f>IFERROR(VLOOKUP(Orders!D91,Products!$A$2:$D$61,4,FALSE),"")</f>
        <v>1665</v>
      </c>
      <c r="O91">
        <f t="shared" si="6"/>
        <v>0.53361344537815125</v>
      </c>
      <c r="Q91" t="str">
        <f>Orders!D91</f>
        <v>PROD-003</v>
      </c>
    </row>
    <row r="92" spans="1:17" x14ac:dyDescent="0.3">
      <c r="A92" t="str">
        <f>Orders!A92</f>
        <v>ORD-00091</v>
      </c>
      <c r="B92">
        <f>Orders!B92</f>
        <v>45622</v>
      </c>
      <c r="C92">
        <f>Orders!I92</f>
        <v>13347.6</v>
      </c>
      <c r="D92" t="str">
        <f>Orders!E92</f>
        <v>R010</v>
      </c>
      <c r="E92" t="str">
        <f>IFERROR(VLOOKUP(Orders!D92,Products!$A$2:$C$61,3,FALSE),"Unknown")</f>
        <v>Grocery</v>
      </c>
      <c r="F92" t="str">
        <f>IFERROR(VLOOKUP(Orders!C92,Customers!$A$2:$E$301,5,FALSE),"Unknown")</f>
        <v>Corporate</v>
      </c>
      <c r="G92">
        <f>IFERROR(VLOOKUP(Orders!C92,Customers!$A$2:$C$301,3,FALSE),"")</f>
        <v>46</v>
      </c>
      <c r="H92" t="str">
        <f>VLOOKUP(D92,Sales_Reps!$A$2:$C$31,3,FALSE)</f>
        <v>South</v>
      </c>
      <c r="I92" s="44">
        <f t="shared" si="5"/>
        <v>45597</v>
      </c>
      <c r="L92" t="str">
        <f>Orders!K92</f>
        <v>Hyderabad</v>
      </c>
      <c r="M92">
        <f>Orders!G92</f>
        <v>2270</v>
      </c>
      <c r="N92">
        <f>IFERROR(VLOOKUP(Orders!D92,Products!$A$2:$D$61,4,FALSE),"")</f>
        <v>1412</v>
      </c>
      <c r="O92">
        <f t="shared" si="6"/>
        <v>0.37797356828193834</v>
      </c>
      <c r="Q92" t="str">
        <f>Orders!D92</f>
        <v>PROD-022</v>
      </c>
    </row>
    <row r="93" spans="1:17" x14ac:dyDescent="0.3">
      <c r="A93" t="str">
        <f>Orders!A93</f>
        <v>ORD-00092</v>
      </c>
      <c r="B93">
        <f>Orders!B93</f>
        <v>45328</v>
      </c>
      <c r="C93">
        <f>Orders!I93</f>
        <v>16107.84</v>
      </c>
      <c r="D93" t="str">
        <f>Orders!E93</f>
        <v>R014</v>
      </c>
      <c r="E93" t="str">
        <f>IFERROR(VLOOKUP(Orders!D93,Products!$A$2:$C$61,3,FALSE),"Unknown")</f>
        <v>Apparel</v>
      </c>
      <c r="F93" t="str">
        <f>IFERROR(VLOOKUP(Orders!C93,Customers!$A$2:$E$301,5,FALSE),"Unknown")</f>
        <v>Retail</v>
      </c>
      <c r="G93">
        <f>IFERROR(VLOOKUP(Orders!C93,Customers!$A$2:$C$301,3,FALSE),"")</f>
        <v>49</v>
      </c>
      <c r="H93" t="str">
        <f>VLOOKUP(D93,Sales_Reps!$A$2:$C$31,3,FALSE)</f>
        <v>South</v>
      </c>
      <c r="I93" s="44">
        <f t="shared" si="5"/>
        <v>45323</v>
      </c>
      <c r="L93" t="str">
        <f>Orders!K93</f>
        <v>Mumbai</v>
      </c>
      <c r="M93">
        <f>Orders!G93</f>
        <v>2720</v>
      </c>
      <c r="N93">
        <f>IFERROR(VLOOKUP(Orders!D93,Products!$A$2:$D$61,4,FALSE),"")</f>
        <v>1962</v>
      </c>
      <c r="O93">
        <f t="shared" si="6"/>
        <v>0.2786764705882353</v>
      </c>
      <c r="Q93" t="str">
        <f>Orders!D93</f>
        <v>PROD-015</v>
      </c>
    </row>
    <row r="94" spans="1:17" x14ac:dyDescent="0.3">
      <c r="A94" t="str">
        <f>Orders!A94</f>
        <v>ORD-00093</v>
      </c>
      <c r="B94">
        <f>Orders!B94</f>
        <v>45380</v>
      </c>
      <c r="C94">
        <f>Orders!I94</f>
        <v>17423.64</v>
      </c>
      <c r="D94" t="str">
        <f>Orders!E94</f>
        <v>R001</v>
      </c>
      <c r="E94" t="str">
        <f>IFERROR(VLOOKUP(Orders!D94,Products!$A$2:$C$61,3,FALSE),"Unknown")</f>
        <v>Grocery</v>
      </c>
      <c r="F94" t="str">
        <f>IFERROR(VLOOKUP(Orders!C94,Customers!$A$2:$E$301,5,FALSE),"Unknown")</f>
        <v>Retail</v>
      </c>
      <c r="G94">
        <f>IFERROR(VLOOKUP(Orders!C94,Customers!$A$2:$C$301,3,FALSE),"")</f>
        <v>38</v>
      </c>
      <c r="H94" t="str">
        <f>VLOOKUP(D94,Sales_Reps!$A$2:$C$31,3,FALSE)</f>
        <v>North</v>
      </c>
      <c r="I94" s="44">
        <f t="shared" si="5"/>
        <v>45352</v>
      </c>
      <c r="L94" t="str">
        <f>Orders!K94</f>
        <v>Chennai</v>
      </c>
      <c r="M94">
        <f>Orders!G94</f>
        <v>2210</v>
      </c>
      <c r="N94">
        <f>IFERROR(VLOOKUP(Orders!D94,Products!$A$2:$D$61,4,FALSE),"")</f>
        <v>1010</v>
      </c>
      <c r="O94">
        <f t="shared" si="6"/>
        <v>0.54298642533936647</v>
      </c>
      <c r="Q94" t="str">
        <f>Orders!D94</f>
        <v>PROD-029</v>
      </c>
    </row>
    <row r="95" spans="1:17" x14ac:dyDescent="0.3">
      <c r="A95" t="str">
        <f>Orders!A95</f>
        <v>ORD-00094</v>
      </c>
      <c r="B95">
        <f>Orders!B95</f>
        <v>45648</v>
      </c>
      <c r="C95">
        <f>Orders!I95</f>
        <v>921.12</v>
      </c>
      <c r="D95" t="str">
        <f>Orders!E95</f>
        <v>R026</v>
      </c>
      <c r="E95" t="str">
        <f>IFERROR(VLOOKUP(Orders!D95,Products!$A$2:$C$61,3,FALSE),"Unknown")</f>
        <v>Sports</v>
      </c>
      <c r="F95" t="str">
        <f>IFERROR(VLOOKUP(Orders!C95,Customers!$A$2:$E$301,5,FALSE),"Unknown")</f>
        <v>Retail</v>
      </c>
      <c r="G95">
        <f>IFERROR(VLOOKUP(Orders!C95,Customers!$A$2:$C$301,3,FALSE),"")</f>
        <v>25</v>
      </c>
      <c r="H95" t="str">
        <f>VLOOKUP(D95,Sales_Reps!$A$2:$C$31,3,FALSE)</f>
        <v>West</v>
      </c>
      <c r="I95" s="44">
        <f t="shared" si="5"/>
        <v>45627</v>
      </c>
      <c r="L95" t="str">
        <f>Orders!K95</f>
        <v>Pune</v>
      </c>
      <c r="M95">
        <f>Orders!G95</f>
        <v>190</v>
      </c>
      <c r="N95">
        <f>IFERROR(VLOOKUP(Orders!D95,Products!$A$2:$D$61,4,FALSE),"")</f>
        <v>147</v>
      </c>
      <c r="O95">
        <f t="shared" si="6"/>
        <v>0.22631578947368422</v>
      </c>
      <c r="Q95" t="str">
        <f>Orders!D95</f>
        <v>PROD-060</v>
      </c>
    </row>
    <row r="96" spans="1:17" x14ac:dyDescent="0.3">
      <c r="A96" t="str">
        <f>Orders!A96</f>
        <v>ORD-00095</v>
      </c>
      <c r="B96">
        <f>Orders!B96</f>
        <v>45607</v>
      </c>
      <c r="C96">
        <f>Orders!I96</f>
        <v>38046</v>
      </c>
      <c r="D96" t="str">
        <f>Orders!E96</f>
        <v>R027</v>
      </c>
      <c r="E96" t="str">
        <f>IFERROR(VLOOKUP(Orders!D96,Products!$A$2:$C$61,3,FALSE),"Unknown")</f>
        <v>Beauty</v>
      </c>
      <c r="F96" t="str">
        <f>IFERROR(VLOOKUP(Orders!C96,Customers!$A$2:$E$301,5,FALSE),"Unknown")</f>
        <v>Retail</v>
      </c>
      <c r="G96">
        <f>IFERROR(VLOOKUP(Orders!C96,Customers!$A$2:$C$301,3,FALSE),"")</f>
        <v>26</v>
      </c>
      <c r="H96" t="str">
        <f>VLOOKUP(D96,Sales_Reps!$A$2:$C$31,3,FALSE)</f>
        <v>West</v>
      </c>
      <c r="I96" s="44">
        <f t="shared" si="5"/>
        <v>45597</v>
      </c>
      <c r="L96" t="str">
        <f>Orders!K96</f>
        <v>Chennai</v>
      </c>
      <c r="M96">
        <f>Orders!G96</f>
        <v>5100</v>
      </c>
      <c r="N96">
        <f>IFERROR(VLOOKUP(Orders!D96,Products!$A$2:$D$61,4,FALSE),"")</f>
        <v>2237</v>
      </c>
      <c r="O96">
        <f t="shared" si="6"/>
        <v>0.56137254901960787</v>
      </c>
      <c r="Q96" t="str">
        <f>Orders!D96</f>
        <v>PROD-048</v>
      </c>
    </row>
    <row r="97" spans="1:17" x14ac:dyDescent="0.3">
      <c r="A97" t="str">
        <f>Orders!A97</f>
        <v>ORD-00096</v>
      </c>
      <c r="B97">
        <f>Orders!B97</f>
        <v>45414</v>
      </c>
      <c r="C97">
        <f>Orders!I97</f>
        <v>4969.2</v>
      </c>
      <c r="D97" t="str">
        <f>Orders!E97</f>
        <v>R016</v>
      </c>
      <c r="E97" t="str">
        <f>IFERROR(VLOOKUP(Orders!D97,Products!$A$2:$C$61,3,FALSE),"Unknown")</f>
        <v>Sports</v>
      </c>
      <c r="F97" t="str">
        <f>IFERROR(VLOOKUP(Orders!C97,Customers!$A$2:$E$301,5,FALSE),"Unknown")</f>
        <v>Corporate</v>
      </c>
      <c r="G97">
        <f>IFERROR(VLOOKUP(Orders!C97,Customers!$A$2:$C$301,3,FALSE),"")</f>
        <v>38</v>
      </c>
      <c r="H97" t="str">
        <f>VLOOKUP(D97,Sales_Reps!$A$2:$C$31,3,FALSE)</f>
        <v>South</v>
      </c>
      <c r="I97" s="44">
        <f t="shared" si="5"/>
        <v>45413</v>
      </c>
      <c r="L97" t="str">
        <f>Orders!K97</f>
        <v>Chennai</v>
      </c>
      <c r="M97">
        <f>Orders!G97</f>
        <v>1010</v>
      </c>
      <c r="N97">
        <f>IFERROR(VLOOKUP(Orders!D97,Products!$A$2:$D$61,4,FALSE),"")</f>
        <v>516</v>
      </c>
      <c r="O97">
        <f t="shared" si="6"/>
        <v>0.4891089108910891</v>
      </c>
      <c r="Q97" t="str">
        <f>Orders!D97</f>
        <v>PROD-054</v>
      </c>
    </row>
    <row r="98" spans="1:17" x14ac:dyDescent="0.3">
      <c r="A98" t="str">
        <f>Orders!A98</f>
        <v>ORD-00097</v>
      </c>
      <c r="B98">
        <f>Orders!B98</f>
        <v>45328</v>
      </c>
      <c r="C98">
        <f>Orders!I98</f>
        <v>2883.29</v>
      </c>
      <c r="D98" t="str">
        <f>Orders!E98</f>
        <v>R025</v>
      </c>
      <c r="E98" t="str">
        <f>IFERROR(VLOOKUP(Orders!D98,Products!$A$2:$C$61,3,FALSE),"Unknown")</f>
        <v>Home</v>
      </c>
      <c r="F98" t="str">
        <f>IFERROR(VLOOKUP(Orders!C98,Customers!$A$2:$E$301,5,FALSE),"Unknown")</f>
        <v>Retail</v>
      </c>
      <c r="G98">
        <f>IFERROR(VLOOKUP(Orders!C98,Customers!$A$2:$C$301,3,FALSE),"")</f>
        <v>53</v>
      </c>
      <c r="H98" t="str">
        <f>VLOOKUP(D98,Sales_Reps!$A$2:$C$31,3,FALSE)</f>
        <v>West</v>
      </c>
      <c r="I98" s="44">
        <f t="shared" si="5"/>
        <v>45323</v>
      </c>
      <c r="L98" t="str">
        <f>Orders!K98</f>
        <v>Hyderabad</v>
      </c>
      <c r="M98">
        <f>Orders!G98</f>
        <v>3730</v>
      </c>
      <c r="N98">
        <f>IFERROR(VLOOKUP(Orders!D98,Products!$A$2:$D$61,4,FALSE),"")</f>
        <v>2135</v>
      </c>
      <c r="O98">
        <f t="shared" si="6"/>
        <v>0.42761394101876676</v>
      </c>
      <c r="Q98" t="str">
        <f>Orders!D98</f>
        <v>PROD-031</v>
      </c>
    </row>
    <row r="99" spans="1:17" x14ac:dyDescent="0.3">
      <c r="A99" t="str">
        <f>Orders!A99</f>
        <v>ORD-00098</v>
      </c>
      <c r="B99">
        <f>Orders!B99</f>
        <v>45373</v>
      </c>
      <c r="C99">
        <f>Orders!I99</f>
        <v>20618</v>
      </c>
      <c r="D99" t="str">
        <f>Orders!E99</f>
        <v>R028</v>
      </c>
      <c r="E99" t="str">
        <f>IFERROR(VLOOKUP(Orders!D99,Products!$A$2:$C$61,3,FALSE),"Unknown")</f>
        <v>Electronics</v>
      </c>
      <c r="F99" t="str">
        <f>IFERROR(VLOOKUP(Orders!C99,Customers!$A$2:$E$301,5,FALSE),"Unknown")</f>
        <v>Retail</v>
      </c>
      <c r="G99">
        <f>IFERROR(VLOOKUP(Orders!C99,Customers!$A$2:$C$301,3,FALSE),"")</f>
        <v>41</v>
      </c>
      <c r="H99" t="str">
        <f>VLOOKUP(D99,Sales_Reps!$A$2:$C$31,3,FALSE)</f>
        <v>West</v>
      </c>
      <c r="I99" s="44">
        <f t="shared" si="5"/>
        <v>45352</v>
      </c>
      <c r="L99" t="str">
        <f>Orders!K99</f>
        <v>Chennai</v>
      </c>
      <c r="M99">
        <f>Orders!G99</f>
        <v>2600</v>
      </c>
      <c r="N99">
        <f>IFERROR(VLOOKUP(Orders!D99,Products!$A$2:$D$61,4,FALSE),"")</f>
        <v>1052</v>
      </c>
      <c r="O99">
        <f t="shared" si="6"/>
        <v>0.5953846153846154</v>
      </c>
      <c r="Q99" t="str">
        <f>Orders!D99</f>
        <v>PROD-002</v>
      </c>
    </row>
    <row r="100" spans="1:17" x14ac:dyDescent="0.3">
      <c r="A100" t="str">
        <f>Orders!A100</f>
        <v>ORD-00099</v>
      </c>
      <c r="B100">
        <f>Orders!B100</f>
        <v>45458</v>
      </c>
      <c r="C100">
        <f>Orders!I100</f>
        <v>13982.64</v>
      </c>
      <c r="D100" t="str">
        <f>Orders!E100</f>
        <v>R006</v>
      </c>
      <c r="E100" t="str">
        <f>IFERROR(VLOOKUP(Orders!D100,Products!$A$2:$C$61,3,FALSE),"Unknown")</f>
        <v>Grocery</v>
      </c>
      <c r="F100" t="str">
        <f>IFERROR(VLOOKUP(Orders!C100,Customers!$A$2:$E$301,5,FALSE),"Unknown")</f>
        <v>SMB</v>
      </c>
      <c r="G100">
        <f>IFERROR(VLOOKUP(Orders!C100,Customers!$A$2:$C$301,3,FALSE),"")</f>
        <v>22</v>
      </c>
      <c r="H100" t="str">
        <f>VLOOKUP(D100,Sales_Reps!$A$2:$C$31,3,FALSE)</f>
        <v>North</v>
      </c>
      <c r="I100" s="44">
        <f t="shared" si="5"/>
        <v>45444</v>
      </c>
      <c r="L100" t="str">
        <f>Orders!K100</f>
        <v>Mumbai</v>
      </c>
      <c r="M100">
        <f>Orders!G100</f>
        <v>4060</v>
      </c>
      <c r="N100">
        <f>IFERROR(VLOOKUP(Orders!D100,Products!$A$2:$D$61,4,FALSE),"")</f>
        <v>2911</v>
      </c>
      <c r="O100">
        <f t="shared" si="6"/>
        <v>0.28300492610837441</v>
      </c>
      <c r="Q100" t="str">
        <f>Orders!D100</f>
        <v>PROD-025</v>
      </c>
    </row>
    <row r="101" spans="1:17" x14ac:dyDescent="0.3">
      <c r="A101" t="str">
        <f>Orders!A101</f>
        <v>ORD-00100</v>
      </c>
      <c r="B101">
        <f>Orders!B101</f>
        <v>45426</v>
      </c>
      <c r="C101">
        <f>Orders!I101</f>
        <v>30460.799999999999</v>
      </c>
      <c r="D101" t="str">
        <f>Orders!E101</f>
        <v>R027</v>
      </c>
      <c r="E101" t="str">
        <f>IFERROR(VLOOKUP(Orders!D101,Products!$A$2:$C$61,3,FALSE),"Unknown")</f>
        <v>Beauty</v>
      </c>
      <c r="F101" t="str">
        <f>IFERROR(VLOOKUP(Orders!C101,Customers!$A$2:$E$301,5,FALSE),"Unknown")</f>
        <v>Retail</v>
      </c>
      <c r="G101">
        <f>IFERROR(VLOOKUP(Orders!C101,Customers!$A$2:$C$301,3,FALSE),"")</f>
        <v>60</v>
      </c>
      <c r="H101" t="str">
        <f>VLOOKUP(D101,Sales_Reps!$A$2:$C$31,3,FALSE)</f>
        <v>West</v>
      </c>
      <c r="I101" s="44">
        <f t="shared" si="5"/>
        <v>45413</v>
      </c>
      <c r="L101" t="str">
        <f>Orders!K101</f>
        <v>Chennai</v>
      </c>
      <c r="M101">
        <f>Orders!G101</f>
        <v>6080</v>
      </c>
      <c r="N101">
        <f>IFERROR(VLOOKUP(Orders!D101,Products!$A$2:$D$61,4,FALSE),"")</f>
        <v>2617</v>
      </c>
      <c r="O101">
        <f t="shared" si="6"/>
        <v>0.56957236842105263</v>
      </c>
      <c r="Q101" t="str">
        <f>Orders!D101</f>
        <v>PROD-050</v>
      </c>
    </row>
    <row r="102" spans="1:17" x14ac:dyDescent="0.3">
      <c r="A102" t="str">
        <f>Orders!A102</f>
        <v>ORD-00101</v>
      </c>
      <c r="B102">
        <f>Orders!B102</f>
        <v>45557</v>
      </c>
      <c r="C102">
        <f>Orders!I102</f>
        <v>13297.98</v>
      </c>
      <c r="D102" t="str">
        <f>Orders!E102</f>
        <v>R028</v>
      </c>
      <c r="E102" t="str">
        <f>IFERROR(VLOOKUP(Orders!D102,Products!$A$2:$C$61,3,FALSE),"Unknown")</f>
        <v>Apparel</v>
      </c>
      <c r="F102" t="str">
        <f>IFERROR(VLOOKUP(Orders!C102,Customers!$A$2:$E$301,5,FALSE),"Unknown")</f>
        <v>SMB</v>
      </c>
      <c r="G102">
        <f>IFERROR(VLOOKUP(Orders!C102,Customers!$A$2:$C$301,3,FALSE),"")</f>
        <v>44</v>
      </c>
      <c r="H102" t="str">
        <f>VLOOKUP(D102,Sales_Reps!$A$2:$C$31,3,FALSE)</f>
        <v>West</v>
      </c>
      <c r="I102" s="44">
        <f t="shared" si="5"/>
        <v>45536</v>
      </c>
      <c r="L102" t="str">
        <f>Orders!K102</f>
        <v>Pune</v>
      </c>
      <c r="M102">
        <f>Orders!G102</f>
        <v>2510</v>
      </c>
      <c r="N102">
        <f>IFERROR(VLOOKUP(Orders!D102,Products!$A$2:$D$61,4,FALSE),"")</f>
        <v>1075</v>
      </c>
      <c r="O102">
        <f t="shared" si="6"/>
        <v>0.57171314741035861</v>
      </c>
      <c r="Q102" t="str">
        <f>Orders!D102</f>
        <v>PROD-017</v>
      </c>
    </row>
    <row r="103" spans="1:17" x14ac:dyDescent="0.3">
      <c r="A103" t="str">
        <f>Orders!A103</f>
        <v>ORD-00102</v>
      </c>
      <c r="B103">
        <f>Orders!B103</f>
        <v>45509</v>
      </c>
      <c r="C103">
        <f>Orders!I103</f>
        <v>13260</v>
      </c>
      <c r="D103" t="str">
        <f>Orders!E103</f>
        <v>R026</v>
      </c>
      <c r="E103" t="str">
        <f>IFERROR(VLOOKUP(Orders!D103,Products!$A$2:$C$61,3,FALSE),"Unknown")</f>
        <v>Home</v>
      </c>
      <c r="F103" t="str">
        <f>IFERROR(VLOOKUP(Orders!C103,Customers!$A$2:$E$301,5,FALSE),"Unknown")</f>
        <v>SMB</v>
      </c>
      <c r="G103">
        <f>IFERROR(VLOOKUP(Orders!C103,Customers!$A$2:$C$301,3,FALSE),"")</f>
        <v>38</v>
      </c>
      <c r="H103" t="str">
        <f>VLOOKUP(D103,Sales_Reps!$A$2:$C$31,3,FALSE)</f>
        <v>West</v>
      </c>
      <c r="I103" s="44">
        <f t="shared" si="5"/>
        <v>45505</v>
      </c>
      <c r="L103" t="str">
        <f>Orders!K103</f>
        <v>Delhi</v>
      </c>
      <c r="M103">
        <f>Orders!G103</f>
        <v>3250</v>
      </c>
      <c r="N103">
        <f>IFERROR(VLOOKUP(Orders!D103,Products!$A$2:$D$61,4,FALSE),"")</f>
        <v>1556</v>
      </c>
      <c r="O103">
        <f t="shared" si="6"/>
        <v>0.52123076923076928</v>
      </c>
      <c r="Q103" t="str">
        <f>Orders!D103</f>
        <v>PROD-036</v>
      </c>
    </row>
    <row r="104" spans="1:17" x14ac:dyDescent="0.3">
      <c r="A104" t="str">
        <f>Orders!A104</f>
        <v>ORD-00103</v>
      </c>
      <c r="B104">
        <f>Orders!B104</f>
        <v>45329</v>
      </c>
      <c r="C104">
        <f>Orders!I104</f>
        <v>19519.28</v>
      </c>
      <c r="D104" t="str">
        <f>Orders!E104</f>
        <v>R005</v>
      </c>
      <c r="E104" t="str">
        <f>IFERROR(VLOOKUP(Orders!D104,Products!$A$2:$C$61,3,FALSE),"Unknown")</f>
        <v>Sports</v>
      </c>
      <c r="F104" t="str">
        <f>IFERROR(VLOOKUP(Orders!C104,Customers!$A$2:$E$301,5,FALSE),"Unknown")</f>
        <v>SMB</v>
      </c>
      <c r="G104">
        <f>IFERROR(VLOOKUP(Orders!C104,Customers!$A$2:$C$301,3,FALSE),"")</f>
        <v>28</v>
      </c>
      <c r="H104" t="str">
        <f>VLOOKUP(D104,Sales_Reps!$A$2:$C$31,3,FALSE)</f>
        <v>North</v>
      </c>
      <c r="I104" s="44">
        <f t="shared" si="5"/>
        <v>45323</v>
      </c>
      <c r="L104" t="str">
        <f>Orders!K104</f>
        <v>Delhi</v>
      </c>
      <c r="M104">
        <f>Orders!G104</f>
        <v>5410</v>
      </c>
      <c r="N104">
        <f>IFERROR(VLOOKUP(Orders!D104,Products!$A$2:$D$61,4,FALSE),"")</f>
        <v>2265</v>
      </c>
      <c r="O104">
        <f t="shared" si="6"/>
        <v>0.58133086876155271</v>
      </c>
      <c r="Q104" t="str">
        <f>Orders!D104</f>
        <v>PROD-052</v>
      </c>
    </row>
    <row r="105" spans="1:17" x14ac:dyDescent="0.3">
      <c r="A105" t="str">
        <f>Orders!A105</f>
        <v>ORD-00104</v>
      </c>
      <c r="B105">
        <f>Orders!B105</f>
        <v>45411</v>
      </c>
      <c r="C105">
        <f>Orders!I105</f>
        <v>25389.84</v>
      </c>
      <c r="D105" t="str">
        <f>Orders!E105</f>
        <v>R018</v>
      </c>
      <c r="E105" t="str">
        <f>IFERROR(VLOOKUP(Orders!D105,Products!$A$2:$C$61,3,FALSE),"Unknown")</f>
        <v>Electronics</v>
      </c>
      <c r="F105" t="str">
        <f>IFERROR(VLOOKUP(Orders!C105,Customers!$A$2:$E$301,5,FALSE),"Unknown")</f>
        <v>Corporate</v>
      </c>
      <c r="G105">
        <f>IFERROR(VLOOKUP(Orders!C105,Customers!$A$2:$C$301,3,FALSE),"")</f>
        <v>51</v>
      </c>
      <c r="H105" t="str">
        <f>VLOOKUP(D105,Sales_Reps!$A$2:$C$31,3,FALSE)</f>
        <v>East</v>
      </c>
      <c r="I105" s="44">
        <f t="shared" si="5"/>
        <v>45383</v>
      </c>
      <c r="L105" t="str">
        <f>Orders!K105</f>
        <v>Chennai</v>
      </c>
      <c r="M105">
        <f>Orders!G105</f>
        <v>3570</v>
      </c>
      <c r="N105">
        <f>IFERROR(VLOOKUP(Orders!D105,Products!$A$2:$D$61,4,FALSE),"")</f>
        <v>1665</v>
      </c>
      <c r="O105">
        <f t="shared" si="6"/>
        <v>0.53361344537815125</v>
      </c>
      <c r="Q105" t="str">
        <f>Orders!D105</f>
        <v>PROD-003</v>
      </c>
    </row>
    <row r="106" spans="1:17" x14ac:dyDescent="0.3">
      <c r="A106" t="str">
        <f>Orders!A106</f>
        <v>ORD-00105</v>
      </c>
      <c r="B106">
        <f>Orders!B106</f>
        <v>45297</v>
      </c>
      <c r="C106">
        <f>Orders!I106</f>
        <v>42000.4</v>
      </c>
      <c r="D106" t="str">
        <f>Orders!E106</f>
        <v>R003</v>
      </c>
      <c r="E106" t="str">
        <f>IFERROR(VLOOKUP(Orders!D106,Products!$A$2:$C$61,3,FALSE),"Unknown")</f>
        <v>Electronics</v>
      </c>
      <c r="F106" t="str">
        <f>IFERROR(VLOOKUP(Orders!C106,Customers!$A$2:$E$301,5,FALSE),"Unknown")</f>
        <v>SMB</v>
      </c>
      <c r="G106">
        <f>IFERROR(VLOOKUP(Orders!C106,Customers!$A$2:$C$301,3,FALSE),"")</f>
        <v>22</v>
      </c>
      <c r="H106" t="str">
        <f>VLOOKUP(D106,Sales_Reps!$A$2:$C$31,3,FALSE)</f>
        <v>North</v>
      </c>
      <c r="I106" s="44">
        <f t="shared" si="5"/>
        <v>45292</v>
      </c>
      <c r="L106" t="str">
        <f>Orders!K106</f>
        <v>Mumbai</v>
      </c>
      <c r="M106">
        <f>Orders!G106</f>
        <v>5330</v>
      </c>
      <c r="N106">
        <f>IFERROR(VLOOKUP(Orders!D106,Products!$A$2:$D$61,4,FALSE),"")</f>
        <v>2405</v>
      </c>
      <c r="O106">
        <f t="shared" si="6"/>
        <v>0.54878048780487809</v>
      </c>
      <c r="Q106" t="str">
        <f>Orders!D106</f>
        <v>PROD-001</v>
      </c>
    </row>
    <row r="107" spans="1:17" x14ac:dyDescent="0.3">
      <c r="A107" t="str">
        <f>Orders!A107</f>
        <v>ORD-00106</v>
      </c>
      <c r="B107">
        <f>Orders!B107</f>
        <v>45640</v>
      </c>
      <c r="C107">
        <f>Orders!I107</f>
        <v>7025.76</v>
      </c>
      <c r="D107" t="str">
        <f>Orders!E107</f>
        <v>R017</v>
      </c>
      <c r="E107" t="str">
        <f>IFERROR(VLOOKUP(Orders!D107,Products!$A$2:$C$61,3,FALSE),"Unknown")</f>
        <v>Grocery</v>
      </c>
      <c r="F107" t="str">
        <f>IFERROR(VLOOKUP(Orders!C107,Customers!$A$2:$E$301,5,FALSE),"Unknown")</f>
        <v>Retail</v>
      </c>
      <c r="G107">
        <f>IFERROR(VLOOKUP(Orders!C107,Customers!$A$2:$C$301,3,FALSE),"")</f>
        <v>25</v>
      </c>
      <c r="H107" t="str">
        <f>VLOOKUP(D107,Sales_Reps!$A$2:$C$31,3,FALSE)</f>
        <v>East</v>
      </c>
      <c r="I107" s="44">
        <f t="shared" si="5"/>
        <v>45627</v>
      </c>
      <c r="L107" t="str">
        <f>Orders!K107</f>
        <v>Mumbai</v>
      </c>
      <c r="M107">
        <f>Orders!G107</f>
        <v>2380</v>
      </c>
      <c r="N107">
        <f>IFERROR(VLOOKUP(Orders!D107,Products!$A$2:$D$61,4,FALSE),"")</f>
        <v>1182</v>
      </c>
      <c r="O107">
        <f t="shared" si="6"/>
        <v>0.50336134453781511</v>
      </c>
      <c r="Q107" t="str">
        <f>Orders!D107</f>
        <v>PROD-023</v>
      </c>
    </row>
    <row r="108" spans="1:17" x14ac:dyDescent="0.3">
      <c r="A108" t="str">
        <f>Orders!A108</f>
        <v>ORD-00107</v>
      </c>
      <c r="B108">
        <f>Orders!B108</f>
        <v>45322</v>
      </c>
      <c r="C108">
        <f>Orders!I108</f>
        <v>813.05</v>
      </c>
      <c r="D108" t="str">
        <f>Orders!E108</f>
        <v>R027</v>
      </c>
      <c r="E108" t="str">
        <f>IFERROR(VLOOKUP(Orders!D108,Products!$A$2:$C$61,3,FALSE),"Unknown")</f>
        <v>Sports</v>
      </c>
      <c r="F108" t="str">
        <f>IFERROR(VLOOKUP(Orders!C108,Customers!$A$2:$E$301,5,FALSE),"Unknown")</f>
        <v>SMB</v>
      </c>
      <c r="G108">
        <f>IFERROR(VLOOKUP(Orders!C108,Customers!$A$2:$C$301,3,FALSE),"")</f>
        <v>62</v>
      </c>
      <c r="H108" t="str">
        <f>VLOOKUP(D108,Sales_Reps!$A$2:$C$31,3,FALSE)</f>
        <v>West</v>
      </c>
      <c r="I108" s="44">
        <f t="shared" si="5"/>
        <v>45292</v>
      </c>
      <c r="L108" t="str">
        <f>Orders!K108</f>
        <v>Chennai</v>
      </c>
      <c r="M108">
        <f>Orders!G108</f>
        <v>1010</v>
      </c>
      <c r="N108">
        <f>IFERROR(VLOOKUP(Orders!D108,Products!$A$2:$D$61,4,FALSE),"")</f>
        <v>516</v>
      </c>
      <c r="O108">
        <f t="shared" si="6"/>
        <v>0.4891089108910891</v>
      </c>
      <c r="Q108" t="str">
        <f>Orders!D108</f>
        <v>PROD-054</v>
      </c>
    </row>
    <row r="109" spans="1:17" x14ac:dyDescent="0.3">
      <c r="A109" t="str">
        <f>Orders!A109</f>
        <v>ORD-00108</v>
      </c>
      <c r="B109">
        <f>Orders!B109</f>
        <v>45414</v>
      </c>
      <c r="C109">
        <f>Orders!I109</f>
        <v>3612.42</v>
      </c>
      <c r="D109" t="str">
        <f>Orders!E109</f>
        <v>R025</v>
      </c>
      <c r="E109" t="str">
        <f>IFERROR(VLOOKUP(Orders!D109,Products!$A$2:$C$61,3,FALSE),"Unknown")</f>
        <v>Grocery</v>
      </c>
      <c r="F109" t="str">
        <f>IFERROR(VLOOKUP(Orders!C109,Customers!$A$2:$E$301,5,FALSE),"Unknown")</f>
        <v>Retail</v>
      </c>
      <c r="G109">
        <f>IFERROR(VLOOKUP(Orders!C109,Customers!$A$2:$C$301,3,FALSE),"")</f>
        <v>42</v>
      </c>
      <c r="H109" t="str">
        <f>VLOOKUP(D109,Sales_Reps!$A$2:$C$31,3,FALSE)</f>
        <v>West</v>
      </c>
      <c r="I109" s="44">
        <f t="shared" si="5"/>
        <v>45413</v>
      </c>
      <c r="L109" t="str">
        <f>Orders!K109</f>
        <v>Mumbai</v>
      </c>
      <c r="M109">
        <f>Orders!G109</f>
        <v>3660</v>
      </c>
      <c r="N109">
        <f>IFERROR(VLOOKUP(Orders!D109,Products!$A$2:$D$61,4,FALSE),"")</f>
        <v>2214</v>
      </c>
      <c r="O109">
        <f t="shared" si="6"/>
        <v>0.39508196721311473</v>
      </c>
      <c r="Q109" t="str">
        <f>Orders!D109</f>
        <v>PROD-028</v>
      </c>
    </row>
    <row r="110" spans="1:17" x14ac:dyDescent="0.3">
      <c r="A110" t="str">
        <f>Orders!A110</f>
        <v>ORD-00109</v>
      </c>
      <c r="B110">
        <f>Orders!B110</f>
        <v>45592</v>
      </c>
      <c r="C110">
        <f>Orders!I110</f>
        <v>5779.4</v>
      </c>
      <c r="D110" t="str">
        <f>Orders!E110</f>
        <v>R013</v>
      </c>
      <c r="E110" t="str">
        <f>IFERROR(VLOOKUP(Orders!D110,Products!$A$2:$C$61,3,FALSE),"Unknown")</f>
        <v>Grocery</v>
      </c>
      <c r="F110" t="str">
        <f>IFERROR(VLOOKUP(Orders!C110,Customers!$A$2:$E$301,5,FALSE),"Unknown")</f>
        <v>Retail</v>
      </c>
      <c r="G110">
        <f>IFERROR(VLOOKUP(Orders!C110,Customers!$A$2:$C$301,3,FALSE),"")</f>
        <v>43</v>
      </c>
      <c r="H110" t="str">
        <f>VLOOKUP(D110,Sales_Reps!$A$2:$C$31,3,FALSE)</f>
        <v>South</v>
      </c>
      <c r="I110" s="44">
        <f t="shared" si="5"/>
        <v>45566</v>
      </c>
      <c r="L110" t="str">
        <f>Orders!K110</f>
        <v>Pune</v>
      </c>
      <c r="M110">
        <f>Orders!G110</f>
        <v>4070</v>
      </c>
      <c r="N110">
        <f>IFERROR(VLOOKUP(Orders!D110,Products!$A$2:$D$61,4,FALSE),"")</f>
        <v>2027</v>
      </c>
      <c r="O110">
        <f t="shared" si="6"/>
        <v>0.50196560196560192</v>
      </c>
      <c r="Q110" t="str">
        <f>Orders!D110</f>
        <v>PROD-026</v>
      </c>
    </row>
    <row r="111" spans="1:17" x14ac:dyDescent="0.3">
      <c r="A111" t="str">
        <f>Orders!A111</f>
        <v>ORD-00110</v>
      </c>
      <c r="B111">
        <f>Orders!B111</f>
        <v>45439</v>
      </c>
      <c r="C111">
        <f>Orders!I111</f>
        <v>3160.08</v>
      </c>
      <c r="D111" t="str">
        <f>Orders!E111</f>
        <v>R029</v>
      </c>
      <c r="E111" t="str">
        <f>IFERROR(VLOOKUP(Orders!D111,Products!$A$2:$C$61,3,FALSE),"Unknown")</f>
        <v>Home</v>
      </c>
      <c r="F111" t="str">
        <f>IFERROR(VLOOKUP(Orders!C111,Customers!$A$2:$E$301,5,FALSE),"Unknown")</f>
        <v>Corporate</v>
      </c>
      <c r="G111">
        <f>IFERROR(VLOOKUP(Orders!C111,Customers!$A$2:$C$301,3,FALSE),"")</f>
        <v>56</v>
      </c>
      <c r="H111" t="str">
        <f>VLOOKUP(D111,Sales_Reps!$A$2:$C$31,3,FALSE)</f>
        <v>West</v>
      </c>
      <c r="I111" s="44">
        <f t="shared" si="5"/>
        <v>45413</v>
      </c>
      <c r="L111" t="str">
        <f>Orders!K111</f>
        <v>Hyderabad</v>
      </c>
      <c r="M111">
        <f>Orders!G111</f>
        <v>660</v>
      </c>
      <c r="N111">
        <f>IFERROR(VLOOKUP(Orders!D111,Products!$A$2:$D$61,4,FALSE),"")</f>
        <v>329</v>
      </c>
      <c r="O111">
        <f t="shared" si="6"/>
        <v>0.50151515151515147</v>
      </c>
      <c r="Q111" t="str">
        <f>Orders!D111</f>
        <v>PROD-037</v>
      </c>
    </row>
    <row r="112" spans="1:17" x14ac:dyDescent="0.3">
      <c r="A112" t="str">
        <f>Orders!A112</f>
        <v>ORD-00111</v>
      </c>
      <c r="B112">
        <f>Orders!B112</f>
        <v>45486</v>
      </c>
      <c r="C112">
        <f>Orders!I112</f>
        <v>2277.7199999999998</v>
      </c>
      <c r="D112" t="str">
        <f>Orders!E112</f>
        <v>R024</v>
      </c>
      <c r="E112" t="str">
        <f>IFERROR(VLOOKUP(Orders!D112,Products!$A$2:$C$61,3,FALSE),"Unknown")</f>
        <v>Home</v>
      </c>
      <c r="F112" t="str">
        <f>IFERROR(VLOOKUP(Orders!C112,Customers!$A$2:$E$301,5,FALSE),"Unknown")</f>
        <v>SMB</v>
      </c>
      <c r="G112">
        <f>IFERROR(VLOOKUP(Orders!C112,Customers!$A$2:$C$301,3,FALSE),"")</f>
        <v>44</v>
      </c>
      <c r="H112" t="str">
        <f>VLOOKUP(D112,Sales_Reps!$A$2:$C$31,3,FALSE)</f>
        <v>West</v>
      </c>
      <c r="I112" s="44">
        <f t="shared" si="5"/>
        <v>45474</v>
      </c>
      <c r="L112" t="str">
        <f>Orders!K112</f>
        <v>Bengaluru</v>
      </c>
      <c r="M112">
        <f>Orders!G112</f>
        <v>1080</v>
      </c>
      <c r="N112">
        <f>IFERROR(VLOOKUP(Orders!D112,Products!$A$2:$D$61,4,FALSE),"")</f>
        <v>519</v>
      </c>
      <c r="O112">
        <f t="shared" si="6"/>
        <v>0.51944444444444449</v>
      </c>
      <c r="Q112" t="str">
        <f>Orders!D112</f>
        <v>PROD-040</v>
      </c>
    </row>
    <row r="113" spans="1:17" x14ac:dyDescent="0.3">
      <c r="A113" t="str">
        <f>Orders!A113</f>
        <v>ORD-00112</v>
      </c>
      <c r="B113">
        <f>Orders!B113</f>
        <v>45629</v>
      </c>
      <c r="C113">
        <f>Orders!I113</f>
        <v>4965.1000000000004</v>
      </c>
      <c r="D113" t="str">
        <f>Orders!E113</f>
        <v>R006</v>
      </c>
      <c r="E113" t="str">
        <f>IFERROR(VLOOKUP(Orders!D113,Products!$A$2:$C$61,3,FALSE),"Unknown")</f>
        <v>Apparel</v>
      </c>
      <c r="F113" t="str">
        <f>IFERROR(VLOOKUP(Orders!C113,Customers!$A$2:$E$301,5,FALSE),"Unknown")</f>
        <v>SMB</v>
      </c>
      <c r="G113">
        <f>IFERROR(VLOOKUP(Orders!C113,Customers!$A$2:$C$301,3,FALSE),"")</f>
        <v>53</v>
      </c>
      <c r="H113" t="str">
        <f>VLOOKUP(D113,Sales_Reps!$A$2:$C$31,3,FALSE)</f>
        <v>North</v>
      </c>
      <c r="I113" s="44">
        <f t="shared" si="5"/>
        <v>45627</v>
      </c>
      <c r="L113" t="str">
        <f>Orders!K113</f>
        <v>Chennai</v>
      </c>
      <c r="M113">
        <f>Orders!G113</f>
        <v>820</v>
      </c>
      <c r="N113">
        <f>IFERROR(VLOOKUP(Orders!D113,Products!$A$2:$D$61,4,FALSE),"")</f>
        <v>391</v>
      </c>
      <c r="O113">
        <f t="shared" si="6"/>
        <v>0.52317073170731709</v>
      </c>
      <c r="Q113" t="str">
        <f>Orders!D113</f>
        <v>PROD-020</v>
      </c>
    </row>
    <row r="114" spans="1:17" x14ac:dyDescent="0.3">
      <c r="A114" t="str">
        <f>Orders!A114</f>
        <v>ORD-00113</v>
      </c>
      <c r="B114">
        <f>Orders!B114</f>
        <v>45394</v>
      </c>
      <c r="C114">
        <f>Orders!I114</f>
        <v>2841.6</v>
      </c>
      <c r="D114" t="str">
        <f>Orders!E114</f>
        <v>R027</v>
      </c>
      <c r="E114" t="str">
        <f>IFERROR(VLOOKUP(Orders!D114,Products!$A$2:$C$61,3,FALSE),"Unknown")</f>
        <v>Beauty</v>
      </c>
      <c r="F114" t="str">
        <f>IFERROR(VLOOKUP(Orders!C114,Customers!$A$2:$E$301,5,FALSE),"Unknown")</f>
        <v>SMB</v>
      </c>
      <c r="G114">
        <f>IFERROR(VLOOKUP(Orders!C114,Customers!$A$2:$C$301,3,FALSE),"")</f>
        <v>27</v>
      </c>
      <c r="H114" t="str">
        <f>VLOOKUP(D114,Sales_Reps!$A$2:$C$31,3,FALSE)</f>
        <v>West</v>
      </c>
      <c r="I114" s="44">
        <f t="shared" si="5"/>
        <v>45383</v>
      </c>
      <c r="L114" t="str">
        <f>Orders!K114</f>
        <v>Delhi</v>
      </c>
      <c r="M114">
        <f>Orders!G114</f>
        <v>960</v>
      </c>
      <c r="N114">
        <f>IFERROR(VLOOKUP(Orders!D114,Products!$A$2:$D$61,4,FALSE),"")</f>
        <v>675</v>
      </c>
      <c r="O114">
        <f t="shared" si="6"/>
        <v>0.296875</v>
      </c>
      <c r="Q114" t="str">
        <f>Orders!D114</f>
        <v>PROD-049</v>
      </c>
    </row>
    <row r="115" spans="1:17" x14ac:dyDescent="0.3">
      <c r="A115" t="str">
        <f>Orders!A115</f>
        <v>ORD-00114</v>
      </c>
      <c r="B115">
        <f>Orders!B115</f>
        <v>45453</v>
      </c>
      <c r="C115">
        <f>Orders!I115</f>
        <v>6380.4</v>
      </c>
      <c r="D115" t="str">
        <f>Orders!E115</f>
        <v>R014</v>
      </c>
      <c r="E115" t="str">
        <f>IFERROR(VLOOKUP(Orders!D115,Products!$A$2:$C$61,3,FALSE),"Unknown")</f>
        <v>Electronics</v>
      </c>
      <c r="F115" t="str">
        <f>IFERROR(VLOOKUP(Orders!C115,Customers!$A$2:$E$301,5,FALSE),"Unknown")</f>
        <v>Corporate</v>
      </c>
      <c r="G115">
        <f>IFERROR(VLOOKUP(Orders!C115,Customers!$A$2:$C$301,3,FALSE),"")</f>
        <v>27</v>
      </c>
      <c r="H115" t="str">
        <f>VLOOKUP(D115,Sales_Reps!$A$2:$C$31,3,FALSE)</f>
        <v>South</v>
      </c>
      <c r="I115" s="44">
        <f t="shared" si="5"/>
        <v>45444</v>
      </c>
      <c r="L115" t="str">
        <f>Orders!K115</f>
        <v>Delhi</v>
      </c>
      <c r="M115">
        <f>Orders!G115</f>
        <v>2600</v>
      </c>
      <c r="N115">
        <f>IFERROR(VLOOKUP(Orders!D115,Products!$A$2:$D$61,4,FALSE),"")</f>
        <v>1052</v>
      </c>
      <c r="O115">
        <f t="shared" si="6"/>
        <v>0.5953846153846154</v>
      </c>
      <c r="Q115" t="str">
        <f>Orders!D115</f>
        <v>PROD-002</v>
      </c>
    </row>
    <row r="116" spans="1:17" x14ac:dyDescent="0.3">
      <c r="A116" t="str">
        <f>Orders!A116</f>
        <v>ORD-00115</v>
      </c>
      <c r="B116">
        <f>Orders!B116</f>
        <v>45370</v>
      </c>
      <c r="C116">
        <f>Orders!I116</f>
        <v>13501.53</v>
      </c>
      <c r="D116" t="str">
        <f>Orders!E116</f>
        <v>R029</v>
      </c>
      <c r="E116" t="str">
        <f>IFERROR(VLOOKUP(Orders!D116,Products!$A$2:$C$61,3,FALSE),"Unknown")</f>
        <v>Home</v>
      </c>
      <c r="F116" t="str">
        <f>IFERROR(VLOOKUP(Orders!C116,Customers!$A$2:$E$301,5,FALSE),"Unknown")</f>
        <v>Retail</v>
      </c>
      <c r="G116">
        <f>IFERROR(VLOOKUP(Orders!C116,Customers!$A$2:$C$301,3,FALSE),"")</f>
        <v>63</v>
      </c>
      <c r="H116" t="str">
        <f>VLOOKUP(D116,Sales_Reps!$A$2:$C$31,3,FALSE)</f>
        <v>West</v>
      </c>
      <c r="I116" s="44">
        <f t="shared" si="5"/>
        <v>45352</v>
      </c>
      <c r="L116" t="str">
        <f>Orders!K116</f>
        <v>Pune</v>
      </c>
      <c r="M116">
        <f>Orders!G116</f>
        <v>2030</v>
      </c>
      <c r="N116">
        <f>IFERROR(VLOOKUP(Orders!D116,Products!$A$2:$D$61,4,FALSE),"")</f>
        <v>1143</v>
      </c>
      <c r="O116">
        <f t="shared" si="6"/>
        <v>0.43694581280788175</v>
      </c>
      <c r="Q116" t="str">
        <f>Orders!D116</f>
        <v>PROD-033</v>
      </c>
    </row>
    <row r="117" spans="1:17" x14ac:dyDescent="0.3">
      <c r="A117" t="str">
        <f>Orders!A117</f>
        <v>ORD-00116</v>
      </c>
      <c r="B117">
        <f>Orders!B117</f>
        <v>45597</v>
      </c>
      <c r="C117">
        <f>Orders!I117</f>
        <v>14509.44</v>
      </c>
      <c r="D117" t="str">
        <f>Orders!E117</f>
        <v>R028</v>
      </c>
      <c r="E117" t="str">
        <f>IFERROR(VLOOKUP(Orders!D117,Products!$A$2:$C$61,3,FALSE),"Unknown")</f>
        <v>Beauty</v>
      </c>
      <c r="F117" t="str">
        <f>IFERROR(VLOOKUP(Orders!C117,Customers!$A$2:$E$301,5,FALSE),"Unknown")</f>
        <v>Retail</v>
      </c>
      <c r="G117">
        <f>IFERROR(VLOOKUP(Orders!C117,Customers!$A$2:$C$301,3,FALSE),"")</f>
        <v>23</v>
      </c>
      <c r="H117" t="str">
        <f>VLOOKUP(D117,Sales_Reps!$A$2:$C$31,3,FALSE)</f>
        <v>West</v>
      </c>
      <c r="I117" s="44">
        <f t="shared" si="5"/>
        <v>45597</v>
      </c>
      <c r="L117" t="str">
        <f>Orders!K117</f>
        <v>Bengaluru</v>
      </c>
      <c r="M117">
        <f>Orders!G117</f>
        <v>2290</v>
      </c>
      <c r="N117">
        <f>IFERROR(VLOOKUP(Orders!D117,Products!$A$2:$D$61,4,FALSE),"")</f>
        <v>1219</v>
      </c>
      <c r="O117">
        <f t="shared" si="6"/>
        <v>0.46768558951965067</v>
      </c>
      <c r="Q117" t="str">
        <f>Orders!D117</f>
        <v>PROD-042</v>
      </c>
    </row>
    <row r="118" spans="1:17" x14ac:dyDescent="0.3">
      <c r="A118" t="str">
        <f>Orders!A118</f>
        <v>ORD-00117</v>
      </c>
      <c r="B118">
        <f>Orders!B118</f>
        <v>45531</v>
      </c>
      <c r="C118">
        <f>Orders!I118</f>
        <v>10305.99</v>
      </c>
      <c r="D118" t="str">
        <f>Orders!E118</f>
        <v>R029</v>
      </c>
      <c r="E118" t="str">
        <f>IFERROR(VLOOKUP(Orders!D118,Products!$A$2:$C$61,3,FALSE),"Unknown")</f>
        <v>Home</v>
      </c>
      <c r="F118" t="str">
        <f>IFERROR(VLOOKUP(Orders!C118,Customers!$A$2:$E$301,5,FALSE),"Unknown")</f>
        <v>Retail</v>
      </c>
      <c r="G118">
        <f>IFERROR(VLOOKUP(Orders!C118,Customers!$A$2:$C$301,3,FALSE),"")</f>
        <v>44</v>
      </c>
      <c r="H118" t="str">
        <f>VLOOKUP(D118,Sales_Reps!$A$2:$C$31,3,FALSE)</f>
        <v>West</v>
      </c>
      <c r="I118" s="44">
        <f t="shared" si="5"/>
        <v>45505</v>
      </c>
      <c r="L118" t="str">
        <f>Orders!K118</f>
        <v>Hyderabad</v>
      </c>
      <c r="M118">
        <f>Orders!G118</f>
        <v>3730</v>
      </c>
      <c r="N118">
        <f>IFERROR(VLOOKUP(Orders!D118,Products!$A$2:$D$61,4,FALSE),"")</f>
        <v>2135</v>
      </c>
      <c r="O118">
        <f t="shared" si="6"/>
        <v>0.42761394101876676</v>
      </c>
      <c r="Q118" t="str">
        <f>Orders!D118</f>
        <v>PROD-031</v>
      </c>
    </row>
    <row r="119" spans="1:17" x14ac:dyDescent="0.3">
      <c r="A119" t="str">
        <f>Orders!A119</f>
        <v>ORD-00118</v>
      </c>
      <c r="B119">
        <f>Orders!B119</f>
        <v>45596</v>
      </c>
      <c r="C119">
        <f>Orders!I119</f>
        <v>249.3</v>
      </c>
      <c r="D119" t="str">
        <f>Orders!E119</f>
        <v>R014</v>
      </c>
      <c r="E119" t="str">
        <f>IFERROR(VLOOKUP(Orders!D119,Products!$A$2:$C$61,3,FALSE),"Unknown")</f>
        <v>Electronics</v>
      </c>
      <c r="F119" t="str">
        <f>IFERROR(VLOOKUP(Orders!C119,Customers!$A$2:$E$301,5,FALSE),"Unknown")</f>
        <v>SMB</v>
      </c>
      <c r="G119">
        <f>IFERROR(VLOOKUP(Orders!C119,Customers!$A$2:$C$301,3,FALSE),"")</f>
        <v>54</v>
      </c>
      <c r="H119" t="str">
        <f>VLOOKUP(D119,Sales_Reps!$A$2:$C$31,3,FALSE)</f>
        <v>South</v>
      </c>
      <c r="I119" s="44">
        <f t="shared" si="5"/>
        <v>45566</v>
      </c>
      <c r="L119" t="str">
        <f>Orders!K119</f>
        <v>Pune</v>
      </c>
      <c r="M119">
        <f>Orders!G119</f>
        <v>300</v>
      </c>
      <c r="N119">
        <f>IFERROR(VLOOKUP(Orders!D119,Products!$A$2:$D$61,4,FALSE),"")</f>
        <v>128</v>
      </c>
      <c r="O119">
        <f t="shared" si="6"/>
        <v>0.57333333333333336</v>
      </c>
      <c r="Q119" t="str">
        <f>Orders!D119</f>
        <v>PROD-005</v>
      </c>
    </row>
    <row r="120" spans="1:17" x14ac:dyDescent="0.3">
      <c r="A120" t="str">
        <f>Orders!A120</f>
        <v>ORD-00119</v>
      </c>
      <c r="B120">
        <f>Orders!B120</f>
        <v>45420</v>
      </c>
      <c r="C120">
        <f>Orders!I120</f>
        <v>894.6</v>
      </c>
      <c r="D120" t="str">
        <f>Orders!E120</f>
        <v>R012</v>
      </c>
      <c r="E120" t="str">
        <f>IFERROR(VLOOKUP(Orders!D120,Products!$A$2:$C$61,3,FALSE),"Unknown")</f>
        <v>Electronics</v>
      </c>
      <c r="F120" t="str">
        <f>IFERROR(VLOOKUP(Orders!C120,Customers!$A$2:$E$301,5,FALSE),"Unknown")</f>
        <v>Retail</v>
      </c>
      <c r="G120">
        <f>IFERROR(VLOOKUP(Orders!C120,Customers!$A$2:$C$301,3,FALSE),"")</f>
        <v>50</v>
      </c>
      <c r="H120" t="str">
        <f>VLOOKUP(D120,Sales_Reps!$A$2:$C$31,3,FALSE)</f>
        <v>South</v>
      </c>
      <c r="I120" s="44">
        <f t="shared" si="5"/>
        <v>45413</v>
      </c>
      <c r="L120" t="str">
        <f>Orders!K120</f>
        <v>Mumbai</v>
      </c>
      <c r="M120">
        <f>Orders!G120</f>
        <v>300</v>
      </c>
      <c r="N120">
        <f>IFERROR(VLOOKUP(Orders!D120,Products!$A$2:$D$61,4,FALSE),"")</f>
        <v>128</v>
      </c>
      <c r="O120">
        <f t="shared" si="6"/>
        <v>0.57333333333333336</v>
      </c>
      <c r="Q120" t="str">
        <f>Orders!D120</f>
        <v>PROD-005</v>
      </c>
    </row>
    <row r="121" spans="1:17" x14ac:dyDescent="0.3">
      <c r="A121" t="str">
        <f>Orders!A121</f>
        <v>ORD-00120</v>
      </c>
      <c r="B121">
        <f>Orders!B121</f>
        <v>45329</v>
      </c>
      <c r="C121">
        <f>Orders!I121</f>
        <v>19637.7</v>
      </c>
      <c r="D121" t="str">
        <f>Orders!E121</f>
        <v>R007</v>
      </c>
      <c r="E121" t="str">
        <f>IFERROR(VLOOKUP(Orders!D121,Products!$A$2:$C$61,3,FALSE),"Unknown")</f>
        <v>Beauty</v>
      </c>
      <c r="F121" t="str">
        <f>IFERROR(VLOOKUP(Orders!C121,Customers!$A$2:$E$301,5,FALSE),"Unknown")</f>
        <v>SMB</v>
      </c>
      <c r="G121">
        <f>IFERROR(VLOOKUP(Orders!C121,Customers!$A$2:$C$301,3,FALSE),"")</f>
        <v>28</v>
      </c>
      <c r="H121" t="str">
        <f>VLOOKUP(D121,Sales_Reps!$A$2:$C$31,3,FALSE)</f>
        <v>North</v>
      </c>
      <c r="I121" s="44">
        <f t="shared" si="5"/>
        <v>45323</v>
      </c>
      <c r="L121" t="str">
        <f>Orders!K121</f>
        <v>Bengaluru</v>
      </c>
      <c r="M121">
        <f>Orders!G121</f>
        <v>3350</v>
      </c>
      <c r="N121">
        <f>IFERROR(VLOOKUP(Orders!D121,Products!$A$2:$D$61,4,FALSE),"")</f>
        <v>1728</v>
      </c>
      <c r="O121">
        <f t="shared" si="6"/>
        <v>0.48417910447761192</v>
      </c>
      <c r="Q121" t="str">
        <f>Orders!D121</f>
        <v>PROD-043</v>
      </c>
    </row>
    <row r="122" spans="1:17" x14ac:dyDescent="0.3">
      <c r="A122" t="str">
        <f>Orders!A122</f>
        <v>ORD-00121</v>
      </c>
      <c r="B122">
        <f>Orders!B122</f>
        <v>45416</v>
      </c>
      <c r="C122">
        <f>Orders!I122</f>
        <v>15073.24</v>
      </c>
      <c r="D122" t="str">
        <f>Orders!E122</f>
        <v>R003</v>
      </c>
      <c r="E122" t="str">
        <f>IFERROR(VLOOKUP(Orders!D122,Products!$A$2:$C$61,3,FALSE),"Unknown")</f>
        <v>Electronics</v>
      </c>
      <c r="F122" t="str">
        <f>IFERROR(VLOOKUP(Orders!C122,Customers!$A$2:$E$301,5,FALSE),"Unknown")</f>
        <v>SMB</v>
      </c>
      <c r="G122">
        <f>IFERROR(VLOOKUP(Orders!C122,Customers!$A$2:$C$301,3,FALSE),"")</f>
        <v>46</v>
      </c>
      <c r="H122" t="str">
        <f>VLOOKUP(D122,Sales_Reps!$A$2:$C$31,3,FALSE)</f>
        <v>North</v>
      </c>
      <c r="I122" s="44">
        <f t="shared" si="5"/>
        <v>45413</v>
      </c>
      <c r="L122" t="str">
        <f>Orders!K122</f>
        <v>Bengaluru</v>
      </c>
      <c r="M122">
        <f>Orders!G122</f>
        <v>5330</v>
      </c>
      <c r="N122">
        <f>IFERROR(VLOOKUP(Orders!D122,Products!$A$2:$D$61,4,FALSE),"")</f>
        <v>2405</v>
      </c>
      <c r="O122">
        <f t="shared" si="6"/>
        <v>0.54878048780487809</v>
      </c>
      <c r="Q122" t="str">
        <f>Orders!D122</f>
        <v>PROD-001</v>
      </c>
    </row>
    <row r="123" spans="1:17" x14ac:dyDescent="0.3">
      <c r="A123" t="str">
        <f>Orders!A123</f>
        <v>ORD-00122</v>
      </c>
      <c r="B123">
        <f>Orders!B123</f>
        <v>45614</v>
      </c>
      <c r="C123">
        <f>Orders!I123</f>
        <v>19374.240000000002</v>
      </c>
      <c r="D123" t="str">
        <f>Orders!E123</f>
        <v>R002</v>
      </c>
      <c r="E123" t="str">
        <f>IFERROR(VLOOKUP(Orders!D123,Products!$A$2:$C$61,3,FALSE),"Unknown")</f>
        <v>Apparel</v>
      </c>
      <c r="F123" t="str">
        <f>IFERROR(VLOOKUP(Orders!C123,Customers!$A$2:$E$301,5,FALSE),"Unknown")</f>
        <v>Retail</v>
      </c>
      <c r="G123">
        <f>IFERROR(VLOOKUP(Orders!C123,Customers!$A$2:$C$301,3,FALSE),"")</f>
        <v>30</v>
      </c>
      <c r="H123" t="str">
        <f>VLOOKUP(D123,Sales_Reps!$A$2:$C$31,3,FALSE)</f>
        <v>North</v>
      </c>
      <c r="I123" s="44">
        <f t="shared" si="5"/>
        <v>45597</v>
      </c>
      <c r="L123" t="str">
        <f>Orders!K123</f>
        <v>Delhi</v>
      </c>
      <c r="M123">
        <f>Orders!G123</f>
        <v>3620</v>
      </c>
      <c r="N123">
        <f>IFERROR(VLOOKUP(Orders!D123,Products!$A$2:$D$61,4,FALSE),"")</f>
        <v>2509</v>
      </c>
      <c r="O123">
        <f t="shared" si="6"/>
        <v>0.3069060773480663</v>
      </c>
      <c r="Q123" t="str">
        <f>Orders!D123</f>
        <v>PROD-014</v>
      </c>
    </row>
    <row r="124" spans="1:17" x14ac:dyDescent="0.3">
      <c r="A124" t="str">
        <f>Orders!A124</f>
        <v>ORD-00123</v>
      </c>
      <c r="B124">
        <f>Orders!B124</f>
        <v>45593</v>
      </c>
      <c r="C124">
        <f>Orders!I124</f>
        <v>17006.759999999998</v>
      </c>
      <c r="D124" t="str">
        <f>Orders!E124</f>
        <v>R005</v>
      </c>
      <c r="E124" t="str">
        <f>IFERROR(VLOOKUP(Orders!D124,Products!$A$2:$C$61,3,FALSE),"Unknown")</f>
        <v>Apparel</v>
      </c>
      <c r="F124" t="str">
        <f>IFERROR(VLOOKUP(Orders!C124,Customers!$A$2:$E$301,5,FALSE),"Unknown")</f>
        <v>SMB</v>
      </c>
      <c r="G124">
        <f>IFERROR(VLOOKUP(Orders!C124,Customers!$A$2:$C$301,3,FALSE),"")</f>
        <v>53</v>
      </c>
      <c r="H124" t="str">
        <f>VLOOKUP(D124,Sales_Reps!$A$2:$C$31,3,FALSE)</f>
        <v>North</v>
      </c>
      <c r="I124" s="44">
        <f t="shared" si="5"/>
        <v>45566</v>
      </c>
      <c r="L124" t="str">
        <f>Orders!K124</f>
        <v>Delhi</v>
      </c>
      <c r="M124">
        <f>Orders!G124</f>
        <v>3620</v>
      </c>
      <c r="N124">
        <f>IFERROR(VLOOKUP(Orders!D124,Products!$A$2:$D$61,4,FALSE),"")</f>
        <v>2509</v>
      </c>
      <c r="O124">
        <f t="shared" si="6"/>
        <v>0.3069060773480663</v>
      </c>
      <c r="Q124" t="str">
        <f>Orders!D124</f>
        <v>PROD-014</v>
      </c>
    </row>
    <row r="125" spans="1:17" x14ac:dyDescent="0.3">
      <c r="A125" t="str">
        <f>Orders!A125</f>
        <v>ORD-00124</v>
      </c>
      <c r="B125">
        <f>Orders!B125</f>
        <v>45360</v>
      </c>
      <c r="C125">
        <f>Orders!I125</f>
        <v>5537.28</v>
      </c>
      <c r="D125" t="str">
        <f>Orders!E125</f>
        <v>R008</v>
      </c>
      <c r="E125" t="str">
        <f>IFERROR(VLOOKUP(Orders!D125,Products!$A$2:$C$61,3,FALSE),"Unknown")</f>
        <v>Sports</v>
      </c>
      <c r="F125" t="str">
        <f>IFERROR(VLOOKUP(Orders!C125,Customers!$A$2:$E$301,5,FALSE),"Unknown")</f>
        <v>SMB</v>
      </c>
      <c r="G125">
        <f>IFERROR(VLOOKUP(Orders!C125,Customers!$A$2:$C$301,3,FALSE),"")</f>
        <v>51</v>
      </c>
      <c r="H125" t="str">
        <f>VLOOKUP(D125,Sales_Reps!$A$2:$C$31,3,FALSE)</f>
        <v>North</v>
      </c>
      <c r="I125" s="44">
        <f t="shared" si="5"/>
        <v>45352</v>
      </c>
      <c r="L125" t="str">
        <f>Orders!K125</f>
        <v>Chennai</v>
      </c>
      <c r="M125">
        <f>Orders!G125</f>
        <v>960</v>
      </c>
      <c r="N125">
        <f>IFERROR(VLOOKUP(Orders!D125,Products!$A$2:$D$61,4,FALSE),"")</f>
        <v>705</v>
      </c>
      <c r="O125">
        <f t="shared" si="6"/>
        <v>0.265625</v>
      </c>
      <c r="Q125" t="str">
        <f>Orders!D125</f>
        <v>PROD-057</v>
      </c>
    </row>
    <row r="126" spans="1:17" x14ac:dyDescent="0.3">
      <c r="A126" t="str">
        <f>Orders!A126</f>
        <v>ORD-00125</v>
      </c>
      <c r="B126">
        <f>Orders!B126</f>
        <v>45628</v>
      </c>
      <c r="C126">
        <f>Orders!I126</f>
        <v>7845.75</v>
      </c>
      <c r="D126" t="str">
        <f>Orders!E126</f>
        <v>R025</v>
      </c>
      <c r="E126" t="str">
        <f>IFERROR(VLOOKUP(Orders!D126,Products!$A$2:$C$61,3,FALSE),"Unknown")</f>
        <v>Beauty</v>
      </c>
      <c r="F126" t="str">
        <f>IFERROR(VLOOKUP(Orders!C126,Customers!$A$2:$E$301,5,FALSE),"Unknown")</f>
        <v>Retail</v>
      </c>
      <c r="G126">
        <f>IFERROR(VLOOKUP(Orders!C126,Customers!$A$2:$C$301,3,FALSE),"")</f>
        <v>59</v>
      </c>
      <c r="H126" t="str">
        <f>VLOOKUP(D126,Sales_Reps!$A$2:$C$31,3,FALSE)</f>
        <v>West</v>
      </c>
      <c r="I126" s="44">
        <f t="shared" si="5"/>
        <v>45627</v>
      </c>
      <c r="L126" t="str">
        <f>Orders!K126</f>
        <v>Bengaluru</v>
      </c>
      <c r="M126">
        <f>Orders!G126</f>
        <v>1650</v>
      </c>
      <c r="N126">
        <f>IFERROR(VLOOKUP(Orders!D126,Products!$A$2:$D$61,4,FALSE),"")</f>
        <v>1222</v>
      </c>
      <c r="O126">
        <f t="shared" si="6"/>
        <v>0.2593939393939394</v>
      </c>
      <c r="Q126" t="str">
        <f>Orders!D126</f>
        <v>PROD-044</v>
      </c>
    </row>
    <row r="127" spans="1:17" x14ac:dyDescent="0.3">
      <c r="A127" t="str">
        <f>Orders!A127</f>
        <v>ORD-00126</v>
      </c>
      <c r="B127">
        <f>Orders!B127</f>
        <v>45592</v>
      </c>
      <c r="C127">
        <f>Orders!I127</f>
        <v>6471.36</v>
      </c>
      <c r="D127" t="str">
        <f>Orders!E127</f>
        <v>R010</v>
      </c>
      <c r="E127" t="str">
        <f>IFERROR(VLOOKUP(Orders!D127,Products!$A$2:$C$61,3,FALSE),"Unknown")</f>
        <v>Beauty</v>
      </c>
      <c r="F127" t="str">
        <f>IFERROR(VLOOKUP(Orders!C127,Customers!$A$2:$E$301,5,FALSE),"Unknown")</f>
        <v>Corporate</v>
      </c>
      <c r="G127">
        <f>IFERROR(VLOOKUP(Orders!C127,Customers!$A$2:$C$301,3,FALSE),"")</f>
        <v>24</v>
      </c>
      <c r="H127" t="str">
        <f>VLOOKUP(D127,Sales_Reps!$A$2:$C$31,3,FALSE)</f>
        <v>South</v>
      </c>
      <c r="I127" s="44">
        <f t="shared" si="5"/>
        <v>45566</v>
      </c>
      <c r="L127" t="str">
        <f>Orders!K127</f>
        <v>Chennai</v>
      </c>
      <c r="M127">
        <f>Orders!G127</f>
        <v>960</v>
      </c>
      <c r="N127">
        <f>IFERROR(VLOOKUP(Orders!D127,Products!$A$2:$D$61,4,FALSE),"")</f>
        <v>675</v>
      </c>
      <c r="O127">
        <f t="shared" si="6"/>
        <v>0.296875</v>
      </c>
      <c r="Q127" t="str">
        <f>Orders!D127</f>
        <v>PROD-049</v>
      </c>
    </row>
    <row r="128" spans="1:17" x14ac:dyDescent="0.3">
      <c r="A128" t="str">
        <f>Orders!A128</f>
        <v>ORD-00127</v>
      </c>
      <c r="B128">
        <f>Orders!B128</f>
        <v>45453</v>
      </c>
      <c r="C128">
        <f>Orders!I128</f>
        <v>23954.98</v>
      </c>
      <c r="D128" t="str">
        <f>Orders!E128</f>
        <v>R003</v>
      </c>
      <c r="E128" t="str">
        <f>IFERROR(VLOOKUP(Orders!D128,Products!$A$2:$C$61,3,FALSE),"Unknown")</f>
        <v>Electronics</v>
      </c>
      <c r="F128" t="str">
        <f>IFERROR(VLOOKUP(Orders!C128,Customers!$A$2:$E$301,5,FALSE),"Unknown")</f>
        <v>SMB</v>
      </c>
      <c r="G128">
        <f>IFERROR(VLOOKUP(Orders!C128,Customers!$A$2:$C$301,3,FALSE),"")</f>
        <v>53</v>
      </c>
      <c r="H128" t="str">
        <f>VLOOKUP(D128,Sales_Reps!$A$2:$C$31,3,FALSE)</f>
        <v>North</v>
      </c>
      <c r="I128" s="44">
        <f t="shared" si="5"/>
        <v>45444</v>
      </c>
      <c r="L128" t="str">
        <f>Orders!K128</f>
        <v>Pune</v>
      </c>
      <c r="M128">
        <f>Orders!G128</f>
        <v>3970</v>
      </c>
      <c r="N128">
        <f>IFERROR(VLOOKUP(Orders!D128,Products!$A$2:$D$61,4,FALSE),"")</f>
        <v>2865</v>
      </c>
      <c r="O128">
        <f t="shared" si="6"/>
        <v>0.27833753148614609</v>
      </c>
      <c r="Q128" t="str">
        <f>Orders!D128</f>
        <v>PROD-006</v>
      </c>
    </row>
    <row r="129" spans="1:17" x14ac:dyDescent="0.3">
      <c r="A129" t="str">
        <f>Orders!A129</f>
        <v>ORD-00128</v>
      </c>
      <c r="B129">
        <f>Orders!B129</f>
        <v>45612</v>
      </c>
      <c r="C129">
        <f>Orders!I129</f>
        <v>5323.36</v>
      </c>
      <c r="D129" t="str">
        <f>Orders!E129</f>
        <v>R005</v>
      </c>
      <c r="E129" t="str">
        <f>IFERROR(VLOOKUP(Orders!D129,Products!$A$2:$C$61,3,FALSE),"Unknown")</f>
        <v>Grocery</v>
      </c>
      <c r="F129" t="str">
        <f>IFERROR(VLOOKUP(Orders!C129,Customers!$A$2:$E$301,5,FALSE),"Unknown")</f>
        <v>Retail</v>
      </c>
      <c r="G129">
        <f>IFERROR(VLOOKUP(Orders!C129,Customers!$A$2:$C$301,3,FALSE),"")</f>
        <v>29</v>
      </c>
      <c r="H129" t="str">
        <f>VLOOKUP(D129,Sales_Reps!$A$2:$C$31,3,FALSE)</f>
        <v>North</v>
      </c>
      <c r="I129" s="44">
        <f t="shared" si="5"/>
        <v>45597</v>
      </c>
      <c r="L129" t="str">
        <f>Orders!K129</f>
        <v>Hyderabad</v>
      </c>
      <c r="M129">
        <f>Orders!G129</f>
        <v>970</v>
      </c>
      <c r="N129">
        <f>IFERROR(VLOOKUP(Orders!D129,Products!$A$2:$D$61,4,FALSE),"")</f>
        <v>434</v>
      </c>
      <c r="O129">
        <f t="shared" si="6"/>
        <v>0.5525773195876289</v>
      </c>
      <c r="Q129" t="str">
        <f>Orders!D129</f>
        <v>PROD-030</v>
      </c>
    </row>
    <row r="130" spans="1:17" x14ac:dyDescent="0.3">
      <c r="A130" t="str">
        <f>Orders!A130</f>
        <v>ORD-00129</v>
      </c>
      <c r="B130">
        <f>Orders!B130</f>
        <v>45541</v>
      </c>
      <c r="C130">
        <f>Orders!I130</f>
        <v>20056.400000000001</v>
      </c>
      <c r="D130" t="str">
        <f>Orders!E130</f>
        <v>R001</v>
      </c>
      <c r="E130" t="str">
        <f>IFERROR(VLOOKUP(Orders!D130,Products!$A$2:$C$61,3,FALSE),"Unknown")</f>
        <v>Home</v>
      </c>
      <c r="F130" t="str">
        <f>IFERROR(VLOOKUP(Orders!C130,Customers!$A$2:$E$301,5,FALSE),"Unknown")</f>
        <v>Retail</v>
      </c>
      <c r="G130">
        <f>IFERROR(VLOOKUP(Orders!C130,Customers!$A$2:$C$301,3,FALSE),"")</f>
        <v>61</v>
      </c>
      <c r="H130" t="str">
        <f>VLOOKUP(D130,Sales_Reps!$A$2:$C$31,3,FALSE)</f>
        <v>North</v>
      </c>
      <c r="I130" s="44">
        <f t="shared" si="5"/>
        <v>45536</v>
      </c>
      <c r="L130" t="str">
        <f>Orders!K130</f>
        <v>Mumbai</v>
      </c>
      <c r="M130">
        <f>Orders!G130</f>
        <v>2030</v>
      </c>
      <c r="N130">
        <f>IFERROR(VLOOKUP(Orders!D130,Products!$A$2:$D$61,4,FALSE),"")</f>
        <v>1143</v>
      </c>
      <c r="O130">
        <f t="shared" si="6"/>
        <v>0.43694581280788175</v>
      </c>
      <c r="Q130" t="str">
        <f>Orders!D130</f>
        <v>PROD-033</v>
      </c>
    </row>
    <row r="131" spans="1:17" x14ac:dyDescent="0.3">
      <c r="A131" t="str">
        <f>Orders!A131</f>
        <v>ORD-00130</v>
      </c>
      <c r="B131">
        <f>Orders!B131</f>
        <v>45640</v>
      </c>
      <c r="C131">
        <f>Orders!I131</f>
        <v>17733.240000000002</v>
      </c>
      <c r="D131" t="str">
        <f>Orders!E131</f>
        <v>R021</v>
      </c>
      <c r="E131" t="str">
        <f>IFERROR(VLOOKUP(Orders!D131,Products!$A$2:$C$61,3,FALSE),"Unknown")</f>
        <v>Grocery</v>
      </c>
      <c r="F131" t="str">
        <f>IFERROR(VLOOKUP(Orders!C131,Customers!$A$2:$E$301,5,FALSE),"Unknown")</f>
        <v>Retail</v>
      </c>
      <c r="G131">
        <f>IFERROR(VLOOKUP(Orders!C131,Customers!$A$2:$C$301,3,FALSE),"")</f>
        <v>22</v>
      </c>
      <c r="H131" t="str">
        <f>VLOOKUP(D131,Sales_Reps!$A$2:$C$31,3,FALSE)</f>
        <v>East</v>
      </c>
      <c r="I131" s="44">
        <f t="shared" ref="I131:I194" si="7">DATE(YEAR(B131),MONTH(B131),1)</f>
        <v>45627</v>
      </c>
      <c r="L131" t="str">
        <f>Orders!K131</f>
        <v>Pune</v>
      </c>
      <c r="M131">
        <f>Orders!G131</f>
        <v>2270</v>
      </c>
      <c r="N131">
        <f>IFERROR(VLOOKUP(Orders!D131,Products!$A$2:$D$61,4,FALSE),"")</f>
        <v>1203</v>
      </c>
      <c r="O131">
        <f t="shared" ref="O131:O194" si="8">IF(OR(N131="",M131&lt;=0),"",(M131-N131)/M131)</f>
        <v>0.47004405286343615</v>
      </c>
      <c r="Q131" t="str">
        <f>Orders!D131</f>
        <v>PROD-024</v>
      </c>
    </row>
    <row r="132" spans="1:17" x14ac:dyDescent="0.3">
      <c r="A132" t="str">
        <f>Orders!A132</f>
        <v>ORD-00131</v>
      </c>
      <c r="B132">
        <f>Orders!B132</f>
        <v>45524</v>
      </c>
      <c r="C132">
        <f>Orders!I132</f>
        <v>33808.639999999999</v>
      </c>
      <c r="D132" t="str">
        <f>Orders!E132</f>
        <v>R003</v>
      </c>
      <c r="E132" t="str">
        <f>IFERROR(VLOOKUP(Orders!D132,Products!$A$2:$C$61,3,FALSE),"Unknown")</f>
        <v>Beauty</v>
      </c>
      <c r="F132" t="str">
        <f>IFERROR(VLOOKUP(Orders!C132,Customers!$A$2:$E$301,5,FALSE),"Unknown")</f>
        <v>Corporate</v>
      </c>
      <c r="G132">
        <f>IFERROR(VLOOKUP(Orders!C132,Customers!$A$2:$C$301,3,FALSE),"")</f>
        <v>32</v>
      </c>
      <c r="H132" t="str">
        <f>VLOOKUP(D132,Sales_Reps!$A$2:$C$31,3,FALSE)</f>
        <v>North</v>
      </c>
      <c r="I132" s="44">
        <f t="shared" si="7"/>
        <v>45505</v>
      </c>
      <c r="L132" t="str">
        <f>Orders!K132</f>
        <v>Hyderabad</v>
      </c>
      <c r="M132">
        <f>Orders!G132</f>
        <v>4880</v>
      </c>
      <c r="N132">
        <f>IFERROR(VLOOKUP(Orders!D132,Products!$A$2:$D$61,4,FALSE),"")</f>
        <v>2768</v>
      </c>
      <c r="O132">
        <f t="shared" si="8"/>
        <v>0.43278688524590164</v>
      </c>
      <c r="Q132" t="str">
        <f>Orders!D132</f>
        <v>PROD-046</v>
      </c>
    </row>
    <row r="133" spans="1:17" x14ac:dyDescent="0.3">
      <c r="A133" t="str">
        <f>Orders!A133</f>
        <v>ORD-00132</v>
      </c>
      <c r="B133">
        <f>Orders!B133</f>
        <v>45344</v>
      </c>
      <c r="C133">
        <f>Orders!I133</f>
        <v>29450.7</v>
      </c>
      <c r="D133" t="str">
        <f>Orders!E133</f>
        <v>R011</v>
      </c>
      <c r="E133" t="str">
        <f>IFERROR(VLOOKUP(Orders!D133,Products!$A$2:$C$61,3,FALSE),"Unknown")</f>
        <v>Electronics</v>
      </c>
      <c r="F133" t="str">
        <f>IFERROR(VLOOKUP(Orders!C133,Customers!$A$2:$E$301,5,FALSE),"Unknown")</f>
        <v>Corporate</v>
      </c>
      <c r="G133">
        <f>IFERROR(VLOOKUP(Orders!C133,Customers!$A$2:$C$301,3,FALSE),"")</f>
        <v>42</v>
      </c>
      <c r="H133" t="str">
        <f>VLOOKUP(D133,Sales_Reps!$A$2:$C$31,3,FALSE)</f>
        <v>South</v>
      </c>
      <c r="I133" s="44">
        <f t="shared" si="7"/>
        <v>45323</v>
      </c>
      <c r="L133" t="str">
        <f>Orders!K133</f>
        <v>Bengaluru</v>
      </c>
      <c r="M133">
        <f>Orders!G133</f>
        <v>3870</v>
      </c>
      <c r="N133">
        <f>IFERROR(VLOOKUP(Orders!D133,Products!$A$2:$D$61,4,FALSE),"")</f>
        <v>1559</v>
      </c>
      <c r="O133">
        <f t="shared" si="8"/>
        <v>0.59715762273901807</v>
      </c>
      <c r="Q133" t="str">
        <f>Orders!D133</f>
        <v>PROD-004</v>
      </c>
    </row>
    <row r="134" spans="1:17" x14ac:dyDescent="0.3">
      <c r="A134" t="str">
        <f>Orders!A134</f>
        <v>ORD-00133</v>
      </c>
      <c r="B134">
        <f>Orders!B134</f>
        <v>45463</v>
      </c>
      <c r="C134">
        <f>Orders!I134</f>
        <v>7767.68</v>
      </c>
      <c r="D134" t="str">
        <f>Orders!E134</f>
        <v>R002</v>
      </c>
      <c r="E134" t="str">
        <f>IFERROR(VLOOKUP(Orders!D134,Products!$A$2:$C$61,3,FALSE),"Unknown")</f>
        <v>Beauty</v>
      </c>
      <c r="F134" t="str">
        <f>IFERROR(VLOOKUP(Orders!C134,Customers!$A$2:$E$301,5,FALSE),"Unknown")</f>
        <v>Retail</v>
      </c>
      <c r="G134">
        <f>IFERROR(VLOOKUP(Orders!C134,Customers!$A$2:$C$301,3,FALSE),"")</f>
        <v>22</v>
      </c>
      <c r="H134" t="str">
        <f>VLOOKUP(D134,Sales_Reps!$A$2:$C$31,3,FALSE)</f>
        <v>North</v>
      </c>
      <c r="I134" s="44">
        <f t="shared" si="7"/>
        <v>45444</v>
      </c>
      <c r="L134" t="str">
        <f>Orders!K134</f>
        <v>Hyderabad</v>
      </c>
      <c r="M134">
        <f>Orders!G134</f>
        <v>2290</v>
      </c>
      <c r="N134">
        <f>IFERROR(VLOOKUP(Orders!D134,Products!$A$2:$D$61,4,FALSE),"")</f>
        <v>1219</v>
      </c>
      <c r="O134">
        <f t="shared" si="8"/>
        <v>0.46768558951965067</v>
      </c>
      <c r="Q134" t="str">
        <f>Orders!D134</f>
        <v>PROD-042</v>
      </c>
    </row>
    <row r="135" spans="1:17" x14ac:dyDescent="0.3">
      <c r="A135" t="str">
        <f>Orders!A135</f>
        <v>ORD-00134</v>
      </c>
      <c r="B135">
        <f>Orders!B135</f>
        <v>45443</v>
      </c>
      <c r="C135">
        <f>Orders!I135</f>
        <v>18240.32</v>
      </c>
      <c r="D135" t="str">
        <f>Orders!E135</f>
        <v>R020</v>
      </c>
      <c r="E135" t="str">
        <f>IFERROR(VLOOKUP(Orders!D135,Products!$A$2:$C$61,3,FALSE),"Unknown")</f>
        <v>Grocery</v>
      </c>
      <c r="F135" t="str">
        <f>IFERROR(VLOOKUP(Orders!C135,Customers!$A$2:$E$301,5,FALSE),"Unknown")</f>
        <v>Retail</v>
      </c>
      <c r="G135">
        <f>IFERROR(VLOOKUP(Orders!C135,Customers!$A$2:$C$301,3,FALSE),"")</f>
        <v>44</v>
      </c>
      <c r="H135" t="str">
        <f>VLOOKUP(D135,Sales_Reps!$A$2:$C$31,3,FALSE)</f>
        <v>East</v>
      </c>
      <c r="I135" s="44">
        <f t="shared" si="7"/>
        <v>45413</v>
      </c>
      <c r="L135" t="str">
        <f>Orders!K135</f>
        <v>Delhi</v>
      </c>
      <c r="M135">
        <f>Orders!G135</f>
        <v>2380</v>
      </c>
      <c r="N135">
        <f>IFERROR(VLOOKUP(Orders!D135,Products!$A$2:$D$61,4,FALSE),"")</f>
        <v>1182</v>
      </c>
      <c r="O135">
        <f t="shared" si="8"/>
        <v>0.50336134453781511</v>
      </c>
      <c r="Q135" t="str">
        <f>Orders!D135</f>
        <v>PROD-023</v>
      </c>
    </row>
    <row r="136" spans="1:17" x14ac:dyDescent="0.3">
      <c r="A136" t="str">
        <f>Orders!A136</f>
        <v>ORD-00135</v>
      </c>
      <c r="B136">
        <f>Orders!B136</f>
        <v>45301</v>
      </c>
      <c r="C136">
        <f>Orders!I136</f>
        <v>15646.8</v>
      </c>
      <c r="D136" t="str">
        <f>Orders!E136</f>
        <v>R013</v>
      </c>
      <c r="E136" t="str">
        <f>IFERROR(VLOOKUP(Orders!D136,Products!$A$2:$C$61,3,FALSE),"Unknown")</f>
        <v>Grocery</v>
      </c>
      <c r="F136" t="str">
        <f>IFERROR(VLOOKUP(Orders!C136,Customers!$A$2:$E$301,5,FALSE),"Unknown")</f>
        <v>SMB</v>
      </c>
      <c r="G136">
        <f>IFERROR(VLOOKUP(Orders!C136,Customers!$A$2:$C$301,3,FALSE),"")</f>
        <v>64</v>
      </c>
      <c r="H136" t="str">
        <f>VLOOKUP(D136,Sales_Reps!$A$2:$C$31,3,FALSE)</f>
        <v>South</v>
      </c>
      <c r="I136" s="44">
        <f t="shared" si="7"/>
        <v>45292</v>
      </c>
      <c r="L136" t="str">
        <f>Orders!K136</f>
        <v>Chennai</v>
      </c>
      <c r="M136">
        <f>Orders!G136</f>
        <v>2210</v>
      </c>
      <c r="N136">
        <f>IFERROR(VLOOKUP(Orders!D136,Products!$A$2:$D$61,4,FALSE),"")</f>
        <v>1010</v>
      </c>
      <c r="O136">
        <f t="shared" si="8"/>
        <v>0.54298642533936647</v>
      </c>
      <c r="Q136" t="str">
        <f>Orders!D136</f>
        <v>PROD-029</v>
      </c>
    </row>
    <row r="137" spans="1:17" x14ac:dyDescent="0.3">
      <c r="A137" t="str">
        <f>Orders!A137</f>
        <v>ORD-01445</v>
      </c>
      <c r="B137">
        <f>Orders!B137</f>
        <v>45360</v>
      </c>
      <c r="C137">
        <f>Orders!I137</f>
        <v>16501.68</v>
      </c>
      <c r="D137" t="str">
        <f>Orders!E137</f>
        <v>R022</v>
      </c>
      <c r="E137" t="str">
        <f>IFERROR(VLOOKUP(Orders!D137,Products!$A$2:$C$61,3,FALSE),"Unknown")</f>
        <v>Electronics</v>
      </c>
      <c r="F137" t="str">
        <f>IFERROR(VLOOKUP(Orders!C137,Customers!$A$2:$E$301,5,FALSE),"Unknown")</f>
        <v>SMB</v>
      </c>
      <c r="G137">
        <f>IFERROR(VLOOKUP(Orders!C137,Customers!$A$2:$C$301,3,FALSE),"")</f>
        <v>29</v>
      </c>
      <c r="H137" t="str">
        <f>VLOOKUP(D137,Sales_Reps!$A$2:$C$31,3,FALSE)</f>
        <v>East</v>
      </c>
      <c r="I137" s="44">
        <f t="shared" si="7"/>
        <v>45352</v>
      </c>
      <c r="L137" t="str">
        <f>Orders!K137</f>
        <v>Pune</v>
      </c>
      <c r="M137">
        <f>Orders!G137</f>
        <v>5330</v>
      </c>
      <c r="N137">
        <f>IFERROR(VLOOKUP(Orders!D137,Products!$A$2:$D$61,4,FALSE),"")</f>
        <v>2405</v>
      </c>
      <c r="O137">
        <f t="shared" si="8"/>
        <v>0.54878048780487809</v>
      </c>
      <c r="Q137" t="str">
        <f>Orders!D137</f>
        <v>PROD-001</v>
      </c>
    </row>
    <row r="138" spans="1:17" x14ac:dyDescent="0.3">
      <c r="A138" t="str">
        <f>Orders!A138</f>
        <v>ORD-00137</v>
      </c>
      <c r="B138">
        <f>Orders!B138</f>
        <v>45559</v>
      </c>
      <c r="C138">
        <f>Orders!I138</f>
        <v>24836.32</v>
      </c>
      <c r="D138" t="str">
        <f>Orders!E138</f>
        <v>R022</v>
      </c>
      <c r="E138" t="str">
        <f>IFERROR(VLOOKUP(Orders!D138,Products!$A$2:$C$61,3,FALSE),"Unknown")</f>
        <v>Electronics</v>
      </c>
      <c r="F138" t="str">
        <f>IFERROR(VLOOKUP(Orders!C138,Customers!$A$2:$E$301,5,FALSE),"Unknown")</f>
        <v>SMB</v>
      </c>
      <c r="G138">
        <f>IFERROR(VLOOKUP(Orders!C138,Customers!$A$2:$C$301,3,FALSE),"")</f>
        <v>64</v>
      </c>
      <c r="H138" t="str">
        <f>VLOOKUP(D138,Sales_Reps!$A$2:$C$31,3,FALSE)</f>
        <v>East</v>
      </c>
      <c r="I138" s="44">
        <f t="shared" si="7"/>
        <v>45536</v>
      </c>
      <c r="L138" t="str">
        <f>Orders!K138</f>
        <v>Chennai</v>
      </c>
      <c r="M138">
        <f>Orders!G138</f>
        <v>3970</v>
      </c>
      <c r="N138">
        <f>IFERROR(VLOOKUP(Orders!D138,Products!$A$2:$D$61,4,FALSE),"")</f>
        <v>2865</v>
      </c>
      <c r="O138">
        <f t="shared" si="8"/>
        <v>0.27833753148614609</v>
      </c>
      <c r="Q138" t="str">
        <f>Orders!D138</f>
        <v>PROD-006</v>
      </c>
    </row>
    <row r="139" spans="1:17" x14ac:dyDescent="0.3">
      <c r="A139" t="str">
        <f>Orders!A139</f>
        <v>ORD-00138</v>
      </c>
      <c r="B139">
        <f>Orders!B139</f>
        <v>45546</v>
      </c>
      <c r="C139">
        <f>Orders!I139</f>
        <v>26512.400000000001</v>
      </c>
      <c r="D139" t="str">
        <f>Orders!E139</f>
        <v>R020</v>
      </c>
      <c r="E139" t="str">
        <f>IFERROR(VLOOKUP(Orders!D139,Products!$A$2:$C$61,3,FALSE),"Unknown")</f>
        <v>Apparel</v>
      </c>
      <c r="F139" t="str">
        <f>IFERROR(VLOOKUP(Orders!C139,Customers!$A$2:$E$301,5,FALSE),"Unknown")</f>
        <v>Corporate</v>
      </c>
      <c r="G139">
        <f>IFERROR(VLOOKUP(Orders!C139,Customers!$A$2:$C$301,3,FALSE),"")</f>
        <v>48</v>
      </c>
      <c r="H139" t="str">
        <f>VLOOKUP(D139,Sales_Reps!$A$2:$C$31,3,FALSE)</f>
        <v>East</v>
      </c>
      <c r="I139" s="44">
        <f t="shared" si="7"/>
        <v>45536</v>
      </c>
      <c r="L139" t="str">
        <f>Orders!K139</f>
        <v>Pune</v>
      </c>
      <c r="M139">
        <f>Orders!G139</f>
        <v>3160</v>
      </c>
      <c r="N139">
        <f>IFERROR(VLOOKUP(Orders!D139,Products!$A$2:$D$61,4,FALSE),"")</f>
        <v>1886</v>
      </c>
      <c r="O139">
        <f t="shared" si="8"/>
        <v>0.4031645569620253</v>
      </c>
      <c r="Q139" t="str">
        <f>Orders!D139</f>
        <v>PROD-012</v>
      </c>
    </row>
    <row r="140" spans="1:17" x14ac:dyDescent="0.3">
      <c r="A140" t="str">
        <f>Orders!A140</f>
        <v>ORD-00139</v>
      </c>
      <c r="B140">
        <f>Orders!B140</f>
        <v>45425</v>
      </c>
      <c r="C140">
        <f>Orders!I140</f>
        <v>809.4</v>
      </c>
      <c r="D140" t="str">
        <f>Orders!E140</f>
        <v>R009</v>
      </c>
      <c r="E140" t="str">
        <f>IFERROR(VLOOKUP(Orders!D140,Products!$A$2:$C$61,3,FALSE),"Unknown")</f>
        <v>Sports</v>
      </c>
      <c r="F140" t="str">
        <f>IFERROR(VLOOKUP(Orders!C140,Customers!$A$2:$E$301,5,FALSE),"Unknown")</f>
        <v>Retail</v>
      </c>
      <c r="G140">
        <f>IFERROR(VLOOKUP(Orders!C140,Customers!$A$2:$C$301,3,FALSE),"")</f>
        <v>55</v>
      </c>
      <c r="H140" t="str">
        <f>VLOOKUP(D140,Sales_Reps!$A$2:$C$31,3,FALSE)</f>
        <v>South</v>
      </c>
      <c r="I140" s="44">
        <f t="shared" si="7"/>
        <v>45413</v>
      </c>
      <c r="L140" t="str">
        <f>Orders!K140</f>
        <v>Bengaluru</v>
      </c>
      <c r="M140">
        <f>Orders!G140</f>
        <v>190</v>
      </c>
      <c r="N140">
        <f>IFERROR(VLOOKUP(Orders!D140,Products!$A$2:$D$61,4,FALSE),"")</f>
        <v>147</v>
      </c>
      <c r="O140">
        <f t="shared" si="8"/>
        <v>0.22631578947368422</v>
      </c>
      <c r="Q140" t="str">
        <f>Orders!D140</f>
        <v>PROD-060</v>
      </c>
    </row>
    <row r="141" spans="1:17" x14ac:dyDescent="0.3">
      <c r="A141" t="str">
        <f>Orders!A141</f>
        <v>ORD-00140</v>
      </c>
      <c r="B141">
        <f>Orders!B141</f>
        <v>45351</v>
      </c>
      <c r="C141">
        <f>Orders!I141</f>
        <v>13281.12</v>
      </c>
      <c r="D141" t="str">
        <f>Orders!E141</f>
        <v>R007</v>
      </c>
      <c r="E141" t="str">
        <f>IFERROR(VLOOKUP(Orders!D141,Products!$A$2:$C$61,3,FALSE),"Unknown")</f>
        <v>Grocery</v>
      </c>
      <c r="F141" t="str">
        <f>IFERROR(VLOOKUP(Orders!C141,Customers!$A$2:$E$301,5,FALSE),"Unknown")</f>
        <v>Retail</v>
      </c>
      <c r="G141">
        <f>IFERROR(VLOOKUP(Orders!C141,Customers!$A$2:$C$301,3,FALSE),"")</f>
        <v>31</v>
      </c>
      <c r="H141" t="str">
        <f>VLOOKUP(D141,Sales_Reps!$A$2:$C$31,3,FALSE)</f>
        <v>North</v>
      </c>
      <c r="I141" s="44">
        <f t="shared" si="7"/>
        <v>45323</v>
      </c>
      <c r="L141" t="str">
        <f>Orders!K141</f>
        <v>Delhi</v>
      </c>
      <c r="M141">
        <f>Orders!G141</f>
        <v>2760</v>
      </c>
      <c r="N141">
        <f>IFERROR(VLOOKUP(Orders!D141,Products!$A$2:$D$61,4,FALSE),"")</f>
        <v>1435</v>
      </c>
      <c r="O141">
        <f t="shared" si="8"/>
        <v>0.48007246376811596</v>
      </c>
      <c r="Q141" t="str">
        <f>Orders!D141</f>
        <v>PROD-021</v>
      </c>
    </row>
    <row r="142" spans="1:17" x14ac:dyDescent="0.3">
      <c r="A142" t="str">
        <f>Orders!A142</f>
        <v>ORD-00141</v>
      </c>
      <c r="B142">
        <f>Orders!B142</f>
        <v>45604</v>
      </c>
      <c r="C142">
        <f>Orders!I142</f>
        <v>16180.56</v>
      </c>
      <c r="D142" t="str">
        <f>Orders!E142</f>
        <v>R019</v>
      </c>
      <c r="E142" t="str">
        <f>IFERROR(VLOOKUP(Orders!D142,Products!$A$2:$C$61,3,FALSE),"Unknown")</f>
        <v>Grocery</v>
      </c>
      <c r="F142" t="str">
        <f>IFERROR(VLOOKUP(Orders!C142,Customers!$A$2:$E$301,5,FALSE),"Unknown")</f>
        <v>Retail</v>
      </c>
      <c r="G142">
        <f>IFERROR(VLOOKUP(Orders!C142,Customers!$A$2:$C$301,3,FALSE),"")</f>
        <v>42</v>
      </c>
      <c r="H142" t="str">
        <f>VLOOKUP(D142,Sales_Reps!$A$2:$C$31,3,FALSE)</f>
        <v>East</v>
      </c>
      <c r="I142" s="44">
        <f t="shared" si="7"/>
        <v>45597</v>
      </c>
      <c r="L142" t="str">
        <f>Orders!K142</f>
        <v>Mumbai</v>
      </c>
      <c r="M142">
        <f>Orders!G142</f>
        <v>2270</v>
      </c>
      <c r="N142">
        <f>IFERROR(VLOOKUP(Orders!D142,Products!$A$2:$D$61,4,FALSE),"")</f>
        <v>1412</v>
      </c>
      <c r="O142">
        <f t="shared" si="8"/>
        <v>0.37797356828193834</v>
      </c>
      <c r="Q142" t="str">
        <f>Orders!D142</f>
        <v>PROD-022</v>
      </c>
    </row>
    <row r="143" spans="1:17" x14ac:dyDescent="0.3">
      <c r="A143" t="str">
        <f>Orders!A143</f>
        <v>ORD-00142</v>
      </c>
      <c r="B143">
        <f>Orders!B143</f>
        <v>45328</v>
      </c>
      <c r="C143">
        <f>Orders!I143</f>
        <v>37696.879999999997</v>
      </c>
      <c r="D143" t="str">
        <f>Orders!E143</f>
        <v>R001</v>
      </c>
      <c r="E143" t="str">
        <f>IFERROR(VLOOKUP(Orders!D143,Products!$A$2:$C$61,3,FALSE),"Unknown")</f>
        <v>Sports</v>
      </c>
      <c r="F143" t="str">
        <f>IFERROR(VLOOKUP(Orders!C143,Customers!$A$2:$E$301,5,FALSE),"Unknown")</f>
        <v>Retail</v>
      </c>
      <c r="G143">
        <f>IFERROR(VLOOKUP(Orders!C143,Customers!$A$2:$C$301,3,FALSE),"")</f>
        <v>32</v>
      </c>
      <c r="H143" t="str">
        <f>VLOOKUP(D143,Sales_Reps!$A$2:$C$31,3,FALSE)</f>
        <v>North</v>
      </c>
      <c r="I143" s="44">
        <f t="shared" si="7"/>
        <v>45323</v>
      </c>
      <c r="L143" t="str">
        <f>Orders!K143</f>
        <v>Hyderabad</v>
      </c>
      <c r="M143">
        <f>Orders!G143</f>
        <v>5410</v>
      </c>
      <c r="N143">
        <f>IFERROR(VLOOKUP(Orders!D143,Products!$A$2:$D$61,4,FALSE),"")</f>
        <v>2265</v>
      </c>
      <c r="O143">
        <f t="shared" si="8"/>
        <v>0.58133086876155271</v>
      </c>
      <c r="Q143" t="str">
        <f>Orders!D143</f>
        <v>PROD-052</v>
      </c>
    </row>
    <row r="144" spans="1:17" x14ac:dyDescent="0.3">
      <c r="A144" t="str">
        <f>Orders!A144</f>
        <v>ORD-00143</v>
      </c>
      <c r="B144">
        <f>Orders!B144</f>
        <v>45508</v>
      </c>
      <c r="C144">
        <f>Orders!I144</f>
        <v>19040.759999999998</v>
      </c>
      <c r="D144" t="str">
        <f>Orders!E144</f>
        <v>R009</v>
      </c>
      <c r="E144" t="str">
        <f>IFERROR(VLOOKUP(Orders!D144,Products!$A$2:$C$61,3,FALSE),"Unknown")</f>
        <v>Grocery</v>
      </c>
      <c r="F144" t="str">
        <f>IFERROR(VLOOKUP(Orders!C144,Customers!$A$2:$E$301,5,FALSE),"Unknown")</f>
        <v>Corporate</v>
      </c>
      <c r="G144">
        <f>IFERROR(VLOOKUP(Orders!C144,Customers!$A$2:$C$301,3,FALSE),"")</f>
        <v>31</v>
      </c>
      <c r="H144" t="str">
        <f>VLOOKUP(D144,Sales_Reps!$A$2:$C$31,3,FALSE)</f>
        <v>South</v>
      </c>
      <c r="I144" s="44">
        <f t="shared" si="7"/>
        <v>45505</v>
      </c>
      <c r="L144" t="str">
        <f>Orders!K144</f>
        <v>Delhi</v>
      </c>
      <c r="M144">
        <f>Orders!G144</f>
        <v>2270</v>
      </c>
      <c r="N144">
        <f>IFERROR(VLOOKUP(Orders!D144,Products!$A$2:$D$61,4,FALSE),"")</f>
        <v>1203</v>
      </c>
      <c r="O144">
        <f t="shared" si="8"/>
        <v>0.47004405286343615</v>
      </c>
      <c r="Q144" t="str">
        <f>Orders!D144</f>
        <v>PROD-024</v>
      </c>
    </row>
    <row r="145" spans="1:17" x14ac:dyDescent="0.3">
      <c r="A145" t="str">
        <f>Orders!A145</f>
        <v>ORD-00144</v>
      </c>
      <c r="B145">
        <f>Orders!B145</f>
        <v>45309</v>
      </c>
      <c r="C145">
        <f>Orders!I145</f>
        <v>8266.56</v>
      </c>
      <c r="D145" t="str">
        <f>Orders!E145</f>
        <v>R001</v>
      </c>
      <c r="E145" t="str">
        <f>IFERROR(VLOOKUP(Orders!D145,Products!$A$2:$C$61,3,FALSE),"Unknown")</f>
        <v>Apparel</v>
      </c>
      <c r="F145" t="str">
        <f>IFERROR(VLOOKUP(Orders!C145,Customers!$A$2:$E$301,5,FALSE),"Unknown")</f>
        <v>SMB</v>
      </c>
      <c r="G145">
        <f>IFERROR(VLOOKUP(Orders!C145,Customers!$A$2:$C$301,3,FALSE),"")</f>
        <v>27</v>
      </c>
      <c r="H145" t="str">
        <f>VLOOKUP(D145,Sales_Reps!$A$2:$C$31,3,FALSE)</f>
        <v>North</v>
      </c>
      <c r="I145" s="44">
        <f t="shared" si="7"/>
        <v>45292</v>
      </c>
      <c r="L145" t="str">
        <f>Orders!K145</f>
        <v>Delhi</v>
      </c>
      <c r="M145">
        <f>Orders!G145</f>
        <v>3160</v>
      </c>
      <c r="N145">
        <f>IFERROR(VLOOKUP(Orders!D145,Products!$A$2:$D$61,4,FALSE),"")</f>
        <v>1886</v>
      </c>
      <c r="O145">
        <f t="shared" si="8"/>
        <v>0.4031645569620253</v>
      </c>
      <c r="Q145" t="str">
        <f>Orders!D145</f>
        <v>PROD-012</v>
      </c>
    </row>
    <row r="146" spans="1:17" x14ac:dyDescent="0.3">
      <c r="A146" t="str">
        <f>Orders!A146</f>
        <v>ORD-00145</v>
      </c>
      <c r="B146">
        <f>Orders!B146</f>
        <v>45448</v>
      </c>
      <c r="C146">
        <f>Orders!I146</f>
        <v>25691.68</v>
      </c>
      <c r="D146" t="str">
        <f>Orders!E146</f>
        <v>R028</v>
      </c>
      <c r="E146" t="str">
        <f>IFERROR(VLOOKUP(Orders!D146,Products!$A$2:$C$61,3,FALSE),"Unknown")</f>
        <v>Grocery</v>
      </c>
      <c r="F146" t="str">
        <f>IFERROR(VLOOKUP(Orders!C146,Customers!$A$2:$E$301,5,FALSE),"Unknown")</f>
        <v>SMB</v>
      </c>
      <c r="G146">
        <f>IFERROR(VLOOKUP(Orders!C146,Customers!$A$2:$C$301,3,FALSE),"")</f>
        <v>29</v>
      </c>
      <c r="H146" t="str">
        <f>VLOOKUP(D146,Sales_Reps!$A$2:$C$31,3,FALSE)</f>
        <v>West</v>
      </c>
      <c r="I146" s="44">
        <f t="shared" si="7"/>
        <v>45444</v>
      </c>
      <c r="L146" t="str">
        <f>Orders!K146</f>
        <v>Pune</v>
      </c>
      <c r="M146">
        <f>Orders!G146</f>
        <v>4060</v>
      </c>
      <c r="N146">
        <f>IFERROR(VLOOKUP(Orders!D146,Products!$A$2:$D$61,4,FALSE),"")</f>
        <v>2911</v>
      </c>
      <c r="O146">
        <f t="shared" si="8"/>
        <v>0.28300492610837441</v>
      </c>
      <c r="Q146" t="str">
        <f>Orders!D146</f>
        <v>PROD-025</v>
      </c>
    </row>
    <row r="147" spans="1:17" x14ac:dyDescent="0.3">
      <c r="A147" t="str">
        <f>Orders!A147</f>
        <v>ORD-00146</v>
      </c>
      <c r="B147">
        <f>Orders!B147</f>
        <v>45449</v>
      </c>
      <c r="C147">
        <f>Orders!I147</f>
        <v>3726.9</v>
      </c>
      <c r="D147" t="str">
        <f>Orders!E147</f>
        <v>R018</v>
      </c>
      <c r="E147" t="str">
        <f>IFERROR(VLOOKUP(Orders!D147,Products!$A$2:$C$61,3,FALSE),"Unknown")</f>
        <v>Apparel</v>
      </c>
      <c r="F147" t="str">
        <f>IFERROR(VLOOKUP(Orders!C147,Customers!$A$2:$E$301,5,FALSE),"Unknown")</f>
        <v>Unknown</v>
      </c>
      <c r="G147" t="str">
        <f>IFERROR(VLOOKUP(Orders!C147,Customers!$A$2:$C$301,3,FALSE),"")</f>
        <v/>
      </c>
      <c r="H147" t="str">
        <f>VLOOKUP(D147,Sales_Reps!$A$2:$C$31,3,FALSE)</f>
        <v>East</v>
      </c>
      <c r="I147" s="44">
        <f t="shared" si="7"/>
        <v>45444</v>
      </c>
      <c r="L147" t="str">
        <f>Orders!K147</f>
        <v>Pune</v>
      </c>
      <c r="M147">
        <f>Orders!G147</f>
        <v>820</v>
      </c>
      <c r="N147">
        <f>IFERROR(VLOOKUP(Orders!D147,Products!$A$2:$D$61,4,FALSE),"")</f>
        <v>391</v>
      </c>
      <c r="O147">
        <f t="shared" si="8"/>
        <v>0.52317073170731709</v>
      </c>
      <c r="Q147" t="str">
        <f>Orders!D147</f>
        <v>PROD-020</v>
      </c>
    </row>
    <row r="148" spans="1:17" x14ac:dyDescent="0.3">
      <c r="A148" t="str">
        <f>Orders!A148</f>
        <v>ORD-00147</v>
      </c>
      <c r="B148">
        <f>Orders!B148</f>
        <v>45555</v>
      </c>
      <c r="C148">
        <f>Orders!I148</f>
        <v>1637.25</v>
      </c>
      <c r="D148" t="str">
        <f>Orders!E148</f>
        <v>R007</v>
      </c>
      <c r="E148" t="str">
        <f>IFERROR(VLOOKUP(Orders!D148,Products!$A$2:$C$61,3,FALSE),"Unknown")</f>
        <v>Home</v>
      </c>
      <c r="F148" t="str">
        <f>IFERROR(VLOOKUP(Orders!C148,Customers!$A$2:$E$301,5,FALSE),"Unknown")</f>
        <v>SMB</v>
      </c>
      <c r="G148">
        <f>IFERROR(VLOOKUP(Orders!C148,Customers!$A$2:$C$301,3,FALSE),"")</f>
        <v>30</v>
      </c>
      <c r="H148" t="str">
        <f>VLOOKUP(D148,Sales_Reps!$A$2:$C$31,3,FALSE)</f>
        <v>North</v>
      </c>
      <c r="I148" s="44">
        <f t="shared" si="7"/>
        <v>45536</v>
      </c>
      <c r="L148" t="str">
        <f>Orders!K148</f>
        <v>Pune</v>
      </c>
      <c r="M148">
        <f>Orders!G148</f>
        <v>370</v>
      </c>
      <c r="N148">
        <f>IFERROR(VLOOKUP(Orders!D148,Products!$A$2:$D$61,4,FALSE),"")</f>
        <v>288</v>
      </c>
      <c r="O148">
        <f t="shared" si="8"/>
        <v>0.22162162162162163</v>
      </c>
      <c r="Q148" t="str">
        <f>Orders!D148</f>
        <v>PROD-032</v>
      </c>
    </row>
    <row r="149" spans="1:17" x14ac:dyDescent="0.3">
      <c r="A149" t="str">
        <f>Orders!A149</f>
        <v>ORD-00148</v>
      </c>
      <c r="B149">
        <f>Orders!B149</f>
        <v>45341</v>
      </c>
      <c r="C149">
        <f>Orders!I149</f>
        <v>33147</v>
      </c>
      <c r="D149" t="str">
        <f>Orders!E149</f>
        <v>R002</v>
      </c>
      <c r="E149" t="str">
        <f>IFERROR(VLOOKUP(Orders!D149,Products!$A$2:$C$61,3,FALSE),"Unknown")</f>
        <v>Home</v>
      </c>
      <c r="F149" t="str">
        <f>IFERROR(VLOOKUP(Orders!C149,Customers!$A$2:$E$301,5,FALSE),"Unknown")</f>
        <v>Retail</v>
      </c>
      <c r="G149">
        <f>IFERROR(VLOOKUP(Orders!C149,Customers!$A$2:$C$301,3,FALSE),"")</f>
        <v>65</v>
      </c>
      <c r="H149" t="str">
        <f>VLOOKUP(D149,Sales_Reps!$A$2:$C$31,3,FALSE)</f>
        <v>North</v>
      </c>
      <c r="I149" s="44">
        <f t="shared" si="7"/>
        <v>45323</v>
      </c>
      <c r="L149" t="str">
        <f>Orders!K149</f>
        <v>Pune</v>
      </c>
      <c r="M149">
        <f>Orders!G149</f>
        <v>5080</v>
      </c>
      <c r="N149">
        <f>IFERROR(VLOOKUP(Orders!D149,Products!$A$2:$D$61,4,FALSE),"")</f>
        <v>2459</v>
      </c>
      <c r="O149">
        <f t="shared" si="8"/>
        <v>0.51594488188976373</v>
      </c>
      <c r="Q149" t="str">
        <f>Orders!D149</f>
        <v>PROD-034</v>
      </c>
    </row>
    <row r="150" spans="1:17" x14ac:dyDescent="0.3">
      <c r="A150" t="str">
        <f>Orders!A150</f>
        <v>ORD-00149</v>
      </c>
      <c r="B150">
        <f>Orders!B150</f>
        <v>45422</v>
      </c>
      <c r="C150">
        <f>Orders!I150</f>
        <v>21367.5</v>
      </c>
      <c r="D150" t="str">
        <f>Orders!E150</f>
        <v>R012</v>
      </c>
      <c r="E150" t="str">
        <f>IFERROR(VLOOKUP(Orders!D150,Products!$A$2:$C$61,3,FALSE),"Unknown")</f>
        <v>Grocery</v>
      </c>
      <c r="F150" t="str">
        <f>IFERROR(VLOOKUP(Orders!C150,Customers!$A$2:$E$301,5,FALSE),"Unknown")</f>
        <v>SMB</v>
      </c>
      <c r="G150">
        <f>IFERROR(VLOOKUP(Orders!C150,Customers!$A$2:$C$301,3,FALSE),"")</f>
        <v>54</v>
      </c>
      <c r="H150" t="str">
        <f>VLOOKUP(D150,Sales_Reps!$A$2:$C$31,3,FALSE)</f>
        <v>South</v>
      </c>
      <c r="I150" s="44">
        <f t="shared" si="7"/>
        <v>45413</v>
      </c>
      <c r="L150" t="str">
        <f>Orders!K150</f>
        <v>Pune</v>
      </c>
      <c r="M150">
        <f>Orders!G150</f>
        <v>4070</v>
      </c>
      <c r="N150">
        <f>IFERROR(VLOOKUP(Orders!D150,Products!$A$2:$D$61,4,FALSE),"")</f>
        <v>2027</v>
      </c>
      <c r="O150">
        <f t="shared" si="8"/>
        <v>0.50196560196560192</v>
      </c>
      <c r="Q150" t="str">
        <f>Orders!D150</f>
        <v>PROD-026</v>
      </c>
    </row>
    <row r="151" spans="1:17" x14ac:dyDescent="0.3">
      <c r="A151" t="str">
        <f>Orders!A151</f>
        <v>ORD-00150</v>
      </c>
      <c r="B151">
        <f>Orders!B151</f>
        <v>45346</v>
      </c>
      <c r="C151">
        <f>Orders!I151</f>
        <v>1113</v>
      </c>
      <c r="D151" t="str">
        <f>Orders!E151</f>
        <v>R024</v>
      </c>
      <c r="E151" t="str">
        <f>IFERROR(VLOOKUP(Orders!D151,Products!$A$2:$C$61,3,FALSE),"Unknown")</f>
        <v>Electronics</v>
      </c>
      <c r="F151" t="str">
        <f>IFERROR(VLOOKUP(Orders!C151,Customers!$A$2:$E$301,5,FALSE),"Unknown")</f>
        <v>SMB</v>
      </c>
      <c r="G151">
        <f>IFERROR(VLOOKUP(Orders!C151,Customers!$A$2:$C$301,3,FALSE),"")</f>
        <v>30</v>
      </c>
      <c r="H151" t="str">
        <f>VLOOKUP(D151,Sales_Reps!$A$2:$C$31,3,FALSE)</f>
        <v>West</v>
      </c>
      <c r="I151" s="44">
        <f t="shared" si="7"/>
        <v>45323</v>
      </c>
      <c r="L151" t="str">
        <f>Orders!K151</f>
        <v>Pune</v>
      </c>
      <c r="M151">
        <f>Orders!G151</f>
        <v>300</v>
      </c>
      <c r="N151">
        <f>IFERROR(VLOOKUP(Orders!D151,Products!$A$2:$D$61,4,FALSE),"")</f>
        <v>128</v>
      </c>
      <c r="O151">
        <f t="shared" si="8"/>
        <v>0.57333333333333336</v>
      </c>
      <c r="Q151" t="str">
        <f>Orders!D151</f>
        <v>PROD-005</v>
      </c>
    </row>
    <row r="152" spans="1:17" x14ac:dyDescent="0.3">
      <c r="A152" t="str">
        <f>Orders!A152</f>
        <v>ORD-00151</v>
      </c>
      <c r="B152">
        <f>Orders!B152</f>
        <v>45318</v>
      </c>
      <c r="C152">
        <f>Orders!I152</f>
        <v>25418.400000000001</v>
      </c>
      <c r="D152" t="str">
        <f>Orders!E152</f>
        <v>R011</v>
      </c>
      <c r="E152" t="str">
        <f>IFERROR(VLOOKUP(Orders!D152,Products!$A$2:$C$61,3,FALSE),"Unknown")</f>
        <v>Beauty</v>
      </c>
      <c r="F152" t="str">
        <f>IFERROR(VLOOKUP(Orders!C152,Customers!$A$2:$E$301,5,FALSE),"Unknown")</f>
        <v>Retail</v>
      </c>
      <c r="G152">
        <f>IFERROR(VLOOKUP(Orders!C152,Customers!$A$2:$C$301,3,FALSE),"")</f>
        <v>41</v>
      </c>
      <c r="H152" t="str">
        <f>VLOOKUP(D152,Sales_Reps!$A$2:$C$31,3,FALSE)</f>
        <v>South</v>
      </c>
      <c r="I152" s="44">
        <f t="shared" si="7"/>
        <v>45292</v>
      </c>
      <c r="L152" t="str">
        <f>Orders!K152</f>
        <v>MUMBAI</v>
      </c>
      <c r="M152">
        <f>Orders!G152</f>
        <v>5100</v>
      </c>
      <c r="N152">
        <f>IFERROR(VLOOKUP(Orders!D152,Products!$A$2:$D$61,4,FALSE),"")</f>
        <v>2237</v>
      </c>
      <c r="O152">
        <f t="shared" si="8"/>
        <v>0.56137254901960787</v>
      </c>
      <c r="Q152" t="str">
        <f>Orders!D152</f>
        <v>PROD-048</v>
      </c>
    </row>
    <row r="153" spans="1:17" x14ac:dyDescent="0.3">
      <c r="A153" t="str">
        <f>Orders!A153</f>
        <v>ORD-00152</v>
      </c>
      <c r="B153">
        <f>Orders!B153</f>
        <v>45521</v>
      </c>
      <c r="C153">
        <f>Orders!I153</f>
        <v>10376.1</v>
      </c>
      <c r="D153" t="str">
        <f>Orders!E153</f>
        <v>R012</v>
      </c>
      <c r="E153" t="str">
        <f>IFERROR(VLOOKUP(Orders!D153,Products!$A$2:$C$61,3,FALSE),"Unknown")</f>
        <v>Home</v>
      </c>
      <c r="F153" t="str">
        <f>IFERROR(VLOOKUP(Orders!C153,Customers!$A$2:$E$301,5,FALSE),"Unknown")</f>
        <v>Retail</v>
      </c>
      <c r="G153">
        <f>IFERROR(VLOOKUP(Orders!C153,Customers!$A$2:$C$301,3,FALSE),"")</f>
        <v>37</v>
      </c>
      <c r="H153" t="str">
        <f>VLOOKUP(D153,Sales_Reps!$A$2:$C$31,3,FALSE)</f>
        <v>South</v>
      </c>
      <c r="I153" s="44">
        <f t="shared" si="7"/>
        <v>45505</v>
      </c>
      <c r="L153" t="str">
        <f>Orders!K153</f>
        <v>Chennai</v>
      </c>
      <c r="M153">
        <f>Orders!G153</f>
        <v>5490</v>
      </c>
      <c r="N153">
        <f>IFERROR(VLOOKUP(Orders!D153,Products!$A$2:$D$61,4,FALSE),"")</f>
        <v>2549</v>
      </c>
      <c r="O153">
        <f t="shared" si="8"/>
        <v>0.53570127504553733</v>
      </c>
      <c r="Q153" t="str">
        <f>Orders!D153</f>
        <v>PROD-038</v>
      </c>
    </row>
    <row r="154" spans="1:17" x14ac:dyDescent="0.3">
      <c r="A154" t="str">
        <f>Orders!A154</f>
        <v>ORD-00153</v>
      </c>
      <c r="B154">
        <f>Orders!B154</f>
        <v>45595</v>
      </c>
      <c r="C154">
        <f>Orders!I154</f>
        <v>6817.2</v>
      </c>
      <c r="D154" t="str">
        <f>Orders!E154</f>
        <v>R015</v>
      </c>
      <c r="E154" t="str">
        <f>IFERROR(VLOOKUP(Orders!D154,Products!$A$2:$C$61,3,FALSE),"Unknown")</f>
        <v>Apparel</v>
      </c>
      <c r="F154" t="str">
        <f>IFERROR(VLOOKUP(Orders!C154,Customers!$A$2:$E$301,5,FALSE),"Unknown")</f>
        <v>SMB</v>
      </c>
      <c r="G154">
        <f>IFERROR(VLOOKUP(Orders!C154,Customers!$A$2:$C$301,3,FALSE),"")</f>
        <v>34</v>
      </c>
      <c r="H154" t="str">
        <f>VLOOKUP(D154,Sales_Reps!$A$2:$C$31,3,FALSE)</f>
        <v>South</v>
      </c>
      <c r="I154" s="44">
        <f t="shared" si="7"/>
        <v>45566</v>
      </c>
      <c r="L154" t="str">
        <f>Orders!K154</f>
        <v>Delhi</v>
      </c>
      <c r="M154">
        <f>Orders!G154</f>
        <v>3450</v>
      </c>
      <c r="N154">
        <f>IFERROR(VLOOKUP(Orders!D154,Products!$A$2:$D$61,4,FALSE),"")</f>
        <v>1748</v>
      </c>
      <c r="O154">
        <f t="shared" si="8"/>
        <v>0.49333333333333335</v>
      </c>
      <c r="Q154" t="str">
        <f>Orders!D154</f>
        <v>PROD-011</v>
      </c>
    </row>
    <row r="155" spans="1:17" x14ac:dyDescent="0.3">
      <c r="A155" t="str">
        <f>Orders!A155</f>
        <v>ORD-00154</v>
      </c>
      <c r="B155">
        <f>Orders!B155</f>
        <v>45530</v>
      </c>
      <c r="C155">
        <f>Orders!I155</f>
        <v>17945.2</v>
      </c>
      <c r="D155" t="str">
        <f>Orders!E155</f>
        <v>R002</v>
      </c>
      <c r="E155" t="str">
        <f>IFERROR(VLOOKUP(Orders!D155,Products!$A$2:$C$61,3,FALSE),"Unknown")</f>
        <v>Grocery</v>
      </c>
      <c r="F155" t="str">
        <f>IFERROR(VLOOKUP(Orders!C155,Customers!$A$2:$E$301,5,FALSE),"Unknown")</f>
        <v>Corporate</v>
      </c>
      <c r="G155">
        <f>IFERROR(VLOOKUP(Orders!C155,Customers!$A$2:$C$301,3,FALSE),"")</f>
        <v>43</v>
      </c>
      <c r="H155" t="str">
        <f>VLOOKUP(D155,Sales_Reps!$A$2:$C$31,3,FALSE)</f>
        <v>North</v>
      </c>
      <c r="I155" s="44">
        <f t="shared" si="7"/>
        <v>45505</v>
      </c>
      <c r="L155" t="str">
        <f>Orders!K155</f>
        <v>Hyderabad</v>
      </c>
      <c r="M155">
        <f>Orders!G155</f>
        <v>2210</v>
      </c>
      <c r="N155">
        <f>IFERROR(VLOOKUP(Orders!D155,Products!$A$2:$D$61,4,FALSE),"")</f>
        <v>1010</v>
      </c>
      <c r="O155">
        <f t="shared" si="8"/>
        <v>0.54298642533936647</v>
      </c>
      <c r="Q155" t="str">
        <f>Orders!D155</f>
        <v>PROD-029</v>
      </c>
    </row>
    <row r="156" spans="1:17" x14ac:dyDescent="0.3">
      <c r="A156" t="str">
        <f>Orders!A156</f>
        <v>ORD-00155</v>
      </c>
      <c r="B156">
        <f>Orders!B156</f>
        <v>45644</v>
      </c>
      <c r="C156">
        <f>Orders!I156</f>
        <v>4797</v>
      </c>
      <c r="D156" t="str">
        <f>Orders!E156</f>
        <v>R013</v>
      </c>
      <c r="E156" t="str">
        <f>IFERROR(VLOOKUP(Orders!D156,Products!$A$2:$C$61,3,FALSE),"Unknown")</f>
        <v>Home</v>
      </c>
      <c r="F156" t="str">
        <f>IFERROR(VLOOKUP(Orders!C156,Customers!$A$2:$E$301,5,FALSE),"Unknown")</f>
        <v>SMB</v>
      </c>
      <c r="G156">
        <f>IFERROR(VLOOKUP(Orders!C156,Customers!$A$2:$C$301,3,FALSE),"")</f>
        <v>36</v>
      </c>
      <c r="H156" t="str">
        <f>VLOOKUP(D156,Sales_Reps!$A$2:$C$31,3,FALSE)</f>
        <v>South</v>
      </c>
      <c r="I156" s="44">
        <f t="shared" si="7"/>
        <v>45627</v>
      </c>
      <c r="L156" t="str">
        <f>Orders!K156</f>
        <v>Hyderabad</v>
      </c>
      <c r="M156">
        <f>Orders!G156</f>
        <v>3250</v>
      </c>
      <c r="N156">
        <f>IFERROR(VLOOKUP(Orders!D156,Products!$A$2:$D$61,4,FALSE),"")</f>
        <v>1556</v>
      </c>
      <c r="O156">
        <f t="shared" si="8"/>
        <v>0.52123076923076928</v>
      </c>
      <c r="Q156" t="str">
        <f>Orders!D156</f>
        <v>PROD-036</v>
      </c>
    </row>
    <row r="157" spans="1:17" x14ac:dyDescent="0.3">
      <c r="A157" t="str">
        <f>Orders!A157</f>
        <v>ORD-00156</v>
      </c>
      <c r="B157">
        <f>Orders!B157</f>
        <v>45298</v>
      </c>
      <c r="C157">
        <f>Orders!I157</f>
        <v>15657.8</v>
      </c>
      <c r="D157" t="str">
        <f>Orders!E157</f>
        <v>R001</v>
      </c>
      <c r="E157" t="str">
        <f>IFERROR(VLOOKUP(Orders!D157,Products!$A$2:$C$61,3,FALSE),"Unknown")</f>
        <v>Apparel</v>
      </c>
      <c r="F157" t="str">
        <f>IFERROR(VLOOKUP(Orders!C157,Customers!$A$2:$E$301,5,FALSE),"Unknown")</f>
        <v>Retail</v>
      </c>
      <c r="G157">
        <f>IFERROR(VLOOKUP(Orders!C157,Customers!$A$2:$C$301,3,FALSE),"")</f>
        <v>29</v>
      </c>
      <c r="H157" t="str">
        <f>VLOOKUP(D157,Sales_Reps!$A$2:$C$31,3,FALSE)</f>
        <v>North</v>
      </c>
      <c r="I157" s="44">
        <f t="shared" si="7"/>
        <v>45292</v>
      </c>
      <c r="L157" t="str">
        <f>Orders!K157</f>
        <v>Pune</v>
      </c>
      <c r="M157">
        <f>Orders!G157</f>
        <v>3160</v>
      </c>
      <c r="N157">
        <f>IFERROR(VLOOKUP(Orders!D157,Products!$A$2:$D$61,4,FALSE),"")</f>
        <v>1886</v>
      </c>
      <c r="O157">
        <f t="shared" si="8"/>
        <v>0.4031645569620253</v>
      </c>
      <c r="Q157" t="str">
        <f>Orders!D157</f>
        <v>PROD-012</v>
      </c>
    </row>
    <row r="158" spans="1:17" x14ac:dyDescent="0.3">
      <c r="A158" t="str">
        <f>Orders!A158</f>
        <v>ORD-00157</v>
      </c>
      <c r="B158">
        <f>Orders!B158</f>
        <v>45447</v>
      </c>
      <c r="C158">
        <f>Orders!I158</f>
        <v>10897.92</v>
      </c>
      <c r="D158" t="str">
        <f>Orders!E158</f>
        <v>R030</v>
      </c>
      <c r="E158" t="str">
        <f>IFERROR(VLOOKUP(Orders!D158,Products!$A$2:$C$61,3,FALSE),"Unknown")</f>
        <v>Electronics</v>
      </c>
      <c r="F158" t="str">
        <f>IFERROR(VLOOKUP(Orders!C158,Customers!$A$2:$E$301,5,FALSE),"Unknown")</f>
        <v>SMB</v>
      </c>
      <c r="G158">
        <f>IFERROR(VLOOKUP(Orders!C158,Customers!$A$2:$C$301,3,FALSE),"")</f>
        <v>53</v>
      </c>
      <c r="H158" t="str">
        <f>VLOOKUP(D158,Sales_Reps!$A$2:$C$31,3,FALSE)</f>
        <v>West</v>
      </c>
      <c r="I158" s="44">
        <f t="shared" si="7"/>
        <v>45444</v>
      </c>
      <c r="L158" t="str">
        <f>Orders!K158</f>
        <v>Pune</v>
      </c>
      <c r="M158">
        <f>Orders!G158</f>
        <v>3870</v>
      </c>
      <c r="N158">
        <f>IFERROR(VLOOKUP(Orders!D158,Products!$A$2:$D$61,4,FALSE),"")</f>
        <v>1559</v>
      </c>
      <c r="O158">
        <f t="shared" si="8"/>
        <v>0.59715762273901807</v>
      </c>
      <c r="Q158" t="str">
        <f>Orders!D158</f>
        <v>PROD-004</v>
      </c>
    </row>
    <row r="159" spans="1:17" x14ac:dyDescent="0.3">
      <c r="A159" t="str">
        <f>Orders!A159</f>
        <v>ORD-00158</v>
      </c>
      <c r="B159">
        <f>Orders!B159</f>
        <v>45601</v>
      </c>
      <c r="C159">
        <f>Orders!I159</f>
        <v>14590.8</v>
      </c>
      <c r="D159" t="str">
        <f>Orders!E159</f>
        <v>R022</v>
      </c>
      <c r="E159" t="str">
        <f>IFERROR(VLOOKUP(Orders!D159,Products!$A$2:$C$61,3,FALSE),"Unknown")</f>
        <v>Sports</v>
      </c>
      <c r="F159" t="str">
        <f>IFERROR(VLOOKUP(Orders!C159,Customers!$A$2:$E$301,5,FALSE),"Unknown")</f>
        <v>Corporate</v>
      </c>
      <c r="G159">
        <f>IFERROR(VLOOKUP(Orders!C159,Customers!$A$2:$C$301,3,FALSE),"")</f>
        <v>37</v>
      </c>
      <c r="H159" t="str">
        <f>VLOOKUP(D159,Sales_Reps!$A$2:$C$31,3,FALSE)</f>
        <v>East</v>
      </c>
      <c r="I159" s="44">
        <f t="shared" si="7"/>
        <v>45597</v>
      </c>
      <c r="L159" t="str">
        <f>Orders!K159</f>
        <v>Pune</v>
      </c>
      <c r="M159">
        <f>Orders!G159</f>
        <v>3780</v>
      </c>
      <c r="N159">
        <f>IFERROR(VLOOKUP(Orders!D159,Products!$A$2:$D$61,4,FALSE),"")</f>
        <v>1860</v>
      </c>
      <c r="O159">
        <f t="shared" si="8"/>
        <v>0.50793650793650791</v>
      </c>
      <c r="Q159" t="str">
        <f>Orders!D159</f>
        <v>PROD-059</v>
      </c>
    </row>
    <row r="160" spans="1:17" x14ac:dyDescent="0.3">
      <c r="A160" t="str">
        <f>Orders!A160</f>
        <v>ORD-00159</v>
      </c>
      <c r="B160">
        <f>Orders!B160</f>
        <v>45428</v>
      </c>
      <c r="C160">
        <f>Orders!I160</f>
        <v>9796.8799999999992</v>
      </c>
      <c r="D160" t="str">
        <f>Orders!E160</f>
        <v>R021</v>
      </c>
      <c r="E160" t="str">
        <f>IFERROR(VLOOKUP(Orders!D160,Products!$A$2:$C$61,3,FALSE),"Unknown")</f>
        <v>Beauty</v>
      </c>
      <c r="F160" t="str">
        <f>IFERROR(VLOOKUP(Orders!C160,Customers!$A$2:$E$301,5,FALSE),"Unknown")</f>
        <v>Retail</v>
      </c>
      <c r="G160">
        <f>IFERROR(VLOOKUP(Orders!C160,Customers!$A$2:$C$301,3,FALSE),"")</f>
        <v>55</v>
      </c>
      <c r="H160" t="str">
        <f>VLOOKUP(D160,Sales_Reps!$A$2:$C$31,3,FALSE)</f>
        <v>East</v>
      </c>
      <c r="I160" s="44">
        <f t="shared" si="7"/>
        <v>45413</v>
      </c>
      <c r="L160" t="str">
        <f>Orders!K160</f>
        <v>Bengaluru</v>
      </c>
      <c r="M160">
        <f>Orders!G160</f>
        <v>3020</v>
      </c>
      <c r="N160">
        <f>IFERROR(VLOOKUP(Orders!D160,Products!$A$2:$D$61,4,FALSE),"")</f>
        <v>1626</v>
      </c>
      <c r="O160">
        <f t="shared" si="8"/>
        <v>0.46158940397350995</v>
      </c>
      <c r="Q160" t="str">
        <f>Orders!D160</f>
        <v>PROD-045</v>
      </c>
    </row>
    <row r="161" spans="1:17" x14ac:dyDescent="0.3">
      <c r="A161" t="str">
        <f>Orders!A161</f>
        <v>ORD-00160</v>
      </c>
      <c r="B161">
        <f>Orders!B161</f>
        <v>45409</v>
      </c>
      <c r="C161">
        <f>Orders!I161</f>
        <v>3327.16</v>
      </c>
      <c r="D161" t="str">
        <f>Orders!E161</f>
        <v>R015</v>
      </c>
      <c r="E161" t="str">
        <f>IFERROR(VLOOKUP(Orders!D161,Products!$A$2:$C$61,3,FALSE),"Unknown")</f>
        <v>Home</v>
      </c>
      <c r="F161" t="str">
        <f>IFERROR(VLOOKUP(Orders!C161,Customers!$A$2:$E$301,5,FALSE),"Unknown")</f>
        <v>Retail</v>
      </c>
      <c r="G161">
        <f>IFERROR(VLOOKUP(Orders!C161,Customers!$A$2:$C$301,3,FALSE),"")</f>
        <v>61</v>
      </c>
      <c r="H161" t="str">
        <f>VLOOKUP(D161,Sales_Reps!$A$2:$C$31,3,FALSE)</f>
        <v>South</v>
      </c>
      <c r="I161" s="44">
        <f t="shared" si="7"/>
        <v>45383</v>
      </c>
      <c r="L161" t="str">
        <f>Orders!K161</f>
        <v>Mumbai</v>
      </c>
      <c r="M161">
        <f>Orders!G161</f>
        <v>3730</v>
      </c>
      <c r="N161">
        <f>IFERROR(VLOOKUP(Orders!D161,Products!$A$2:$D$61,4,FALSE),"")</f>
        <v>2135</v>
      </c>
      <c r="O161">
        <f t="shared" si="8"/>
        <v>0.42761394101876676</v>
      </c>
      <c r="Q161" t="str">
        <f>Orders!D161</f>
        <v>PROD-031</v>
      </c>
    </row>
    <row r="162" spans="1:17" x14ac:dyDescent="0.3">
      <c r="A162" t="str">
        <f>Orders!A162</f>
        <v>ORD-00161</v>
      </c>
      <c r="B162">
        <f>Orders!B162</f>
        <v>45394</v>
      </c>
      <c r="C162">
        <f>Orders!I162</f>
        <v>31114.880000000001</v>
      </c>
      <c r="D162" t="str">
        <f>Orders!E162</f>
        <v>R018</v>
      </c>
      <c r="E162" t="str">
        <f>IFERROR(VLOOKUP(Orders!D162,Products!$A$2:$C$61,3,FALSE),"Unknown")</f>
        <v>Beauty</v>
      </c>
      <c r="F162" t="str">
        <f>IFERROR(VLOOKUP(Orders!C162,Customers!$A$2:$E$301,5,FALSE),"Unknown")</f>
        <v>SMB</v>
      </c>
      <c r="G162">
        <f>IFERROR(VLOOKUP(Orders!C162,Customers!$A$2:$C$301,3,FALSE),"")</f>
        <v>65</v>
      </c>
      <c r="H162" t="str">
        <f>VLOOKUP(D162,Sales_Reps!$A$2:$C$31,3,FALSE)</f>
        <v>East</v>
      </c>
      <c r="I162" s="44">
        <f t="shared" si="7"/>
        <v>45383</v>
      </c>
      <c r="L162" t="str">
        <f>Orders!K162</f>
        <v>Hyderabad</v>
      </c>
      <c r="M162">
        <f>Orders!G162</f>
        <v>4880</v>
      </c>
      <c r="N162">
        <f>IFERROR(VLOOKUP(Orders!D162,Products!$A$2:$D$61,4,FALSE),"")</f>
        <v>2768</v>
      </c>
      <c r="O162">
        <f t="shared" si="8"/>
        <v>0.43278688524590164</v>
      </c>
      <c r="Q162" t="str">
        <f>Orders!D162</f>
        <v>PROD-046</v>
      </c>
    </row>
    <row r="163" spans="1:17" x14ac:dyDescent="0.3">
      <c r="A163" t="str">
        <f>Orders!A163</f>
        <v>ORD-00162</v>
      </c>
      <c r="B163">
        <f>Orders!B163</f>
        <v>45579</v>
      </c>
      <c r="C163">
        <f>Orders!I163</f>
        <v>7141.14</v>
      </c>
      <c r="D163" t="str">
        <f>Orders!E163</f>
        <v>R026</v>
      </c>
      <c r="E163" t="str">
        <f>IFERROR(VLOOKUP(Orders!D163,Products!$A$2:$C$61,3,FALSE),"Unknown")</f>
        <v>Grocery</v>
      </c>
      <c r="F163" t="str">
        <f>IFERROR(VLOOKUP(Orders!C163,Customers!$A$2:$E$301,5,FALSE),"Unknown")</f>
        <v>Retail</v>
      </c>
      <c r="G163">
        <f>IFERROR(VLOOKUP(Orders!C163,Customers!$A$2:$C$301,3,FALSE),"")</f>
        <v>63</v>
      </c>
      <c r="H163" t="str">
        <f>VLOOKUP(D163,Sales_Reps!$A$2:$C$31,3,FALSE)</f>
        <v>West</v>
      </c>
      <c r="I163" s="44">
        <f t="shared" si="7"/>
        <v>45566</v>
      </c>
      <c r="L163" t="str">
        <f>Orders!K163</f>
        <v>Pune</v>
      </c>
      <c r="M163">
        <f>Orders!G163</f>
        <v>970</v>
      </c>
      <c r="N163">
        <f>IFERROR(VLOOKUP(Orders!D163,Products!$A$2:$D$61,4,FALSE),"")</f>
        <v>434</v>
      </c>
      <c r="O163">
        <f t="shared" si="8"/>
        <v>0.5525773195876289</v>
      </c>
      <c r="Q163" t="str">
        <f>Orders!D163</f>
        <v>PROD-030</v>
      </c>
    </row>
    <row r="164" spans="1:17" x14ac:dyDescent="0.3">
      <c r="A164" t="str">
        <f>Orders!A164</f>
        <v>ORD-00163</v>
      </c>
      <c r="B164">
        <f>Orders!B164</f>
        <v>45442</v>
      </c>
      <c r="C164">
        <f>Orders!I164</f>
        <v>17534.72</v>
      </c>
      <c r="D164" t="str">
        <f>Orders!E164</f>
        <v>R017</v>
      </c>
      <c r="E164" t="str">
        <f>IFERROR(VLOOKUP(Orders!D164,Products!$A$2:$C$61,3,FALSE),"Unknown")</f>
        <v>Electronics</v>
      </c>
      <c r="F164" t="str">
        <f>IFERROR(VLOOKUP(Orders!C164,Customers!$A$2:$E$301,5,FALSE),"Unknown")</f>
        <v>SMB</v>
      </c>
      <c r="G164">
        <f>IFERROR(VLOOKUP(Orders!C164,Customers!$A$2:$C$301,3,FALSE),"")</f>
        <v>43</v>
      </c>
      <c r="H164" t="str">
        <f>VLOOKUP(D164,Sales_Reps!$A$2:$C$31,3,FALSE)</f>
        <v>East</v>
      </c>
      <c r="I164" s="44">
        <f t="shared" si="7"/>
        <v>45413</v>
      </c>
      <c r="L164" t="str">
        <f>Orders!K164</f>
        <v>Bengaluru</v>
      </c>
      <c r="M164">
        <f>Orders!G164</f>
        <v>2660</v>
      </c>
      <c r="N164">
        <f>IFERROR(VLOOKUP(Orders!D164,Products!$A$2:$D$61,4,FALSE),"")</f>
        <v>1259</v>
      </c>
      <c r="O164">
        <f t="shared" si="8"/>
        <v>0.52669172932330832</v>
      </c>
      <c r="Q164" t="str">
        <f>Orders!D164</f>
        <v>PROD-008</v>
      </c>
    </row>
    <row r="165" spans="1:17" x14ac:dyDescent="0.3">
      <c r="A165" t="str">
        <f>Orders!A165</f>
        <v>ORD-00164</v>
      </c>
      <c r="B165">
        <f>Orders!B165</f>
        <v>45414</v>
      </c>
      <c r="C165">
        <f>Orders!I165</f>
        <v>1343.16</v>
      </c>
      <c r="D165" t="str">
        <f>Orders!E165</f>
        <v>R015</v>
      </c>
      <c r="E165" t="str">
        <f>IFERROR(VLOOKUP(Orders!D165,Products!$A$2:$C$61,3,FALSE),"Unknown")</f>
        <v>Apparel</v>
      </c>
      <c r="F165" t="str">
        <f>IFERROR(VLOOKUP(Orders!C165,Customers!$A$2:$E$301,5,FALSE),"Unknown")</f>
        <v>SMB</v>
      </c>
      <c r="G165">
        <f>IFERROR(VLOOKUP(Orders!C165,Customers!$A$2:$C$301,3,FALSE),"")</f>
        <v>27</v>
      </c>
      <c r="H165" t="str">
        <f>VLOOKUP(D165,Sales_Reps!$A$2:$C$31,3,FALSE)</f>
        <v>South</v>
      </c>
      <c r="I165" s="44">
        <f t="shared" si="7"/>
        <v>45413</v>
      </c>
      <c r="L165" t="str">
        <f>Orders!K165</f>
        <v>Delhi</v>
      </c>
      <c r="M165">
        <f>Orders!G165</f>
        <v>820</v>
      </c>
      <c r="N165">
        <f>IFERROR(VLOOKUP(Orders!D165,Products!$A$2:$D$61,4,FALSE),"")</f>
        <v>391</v>
      </c>
      <c r="O165">
        <f t="shared" si="8"/>
        <v>0.52317073170731709</v>
      </c>
      <c r="Q165" t="str">
        <f>Orders!D165</f>
        <v>PROD-020</v>
      </c>
    </row>
    <row r="166" spans="1:17" x14ac:dyDescent="0.3">
      <c r="A166" t="str">
        <f>Orders!A166</f>
        <v>ORD-00165</v>
      </c>
      <c r="B166">
        <f>Orders!B166</f>
        <v>45349</v>
      </c>
      <c r="C166">
        <f>Orders!I166</f>
        <v>10842.23</v>
      </c>
      <c r="D166" t="str">
        <f>Orders!E166</f>
        <v>R009</v>
      </c>
      <c r="E166" t="str">
        <f>IFERROR(VLOOKUP(Orders!D166,Products!$A$2:$C$61,3,FALSE),"Unknown")</f>
        <v>Home</v>
      </c>
      <c r="F166" t="str">
        <f>IFERROR(VLOOKUP(Orders!C166,Customers!$A$2:$E$301,5,FALSE),"Unknown")</f>
        <v>Corporate</v>
      </c>
      <c r="G166">
        <f>IFERROR(VLOOKUP(Orders!C166,Customers!$A$2:$C$301,3,FALSE),"")</f>
        <v>35</v>
      </c>
      <c r="H166" t="str">
        <f>VLOOKUP(D166,Sales_Reps!$A$2:$C$31,3,FALSE)</f>
        <v>South</v>
      </c>
      <c r="I166" s="44">
        <f t="shared" si="7"/>
        <v>45323</v>
      </c>
      <c r="L166" t="str">
        <f>Orders!K166</f>
        <v>Chennai</v>
      </c>
      <c r="M166">
        <f>Orders!G166</f>
        <v>2030</v>
      </c>
      <c r="N166">
        <f>IFERROR(VLOOKUP(Orders!D166,Products!$A$2:$D$61,4,FALSE),"")</f>
        <v>1143</v>
      </c>
      <c r="O166">
        <f t="shared" si="8"/>
        <v>0.43694581280788175</v>
      </c>
      <c r="Q166" t="str">
        <f>Orders!D166</f>
        <v>PROD-033</v>
      </c>
    </row>
    <row r="167" spans="1:17" x14ac:dyDescent="0.3">
      <c r="A167" t="str">
        <f>Orders!A167</f>
        <v>ORD-00166</v>
      </c>
      <c r="B167">
        <f>Orders!B167</f>
        <v>45533</v>
      </c>
      <c r="C167">
        <f>Orders!I167</f>
        <v>2672.2</v>
      </c>
      <c r="D167" t="str">
        <f>Orders!E167</f>
        <v>R009</v>
      </c>
      <c r="E167" t="str">
        <f>IFERROR(VLOOKUP(Orders!D167,Products!$A$2:$C$61,3,FALSE),"Unknown")</f>
        <v>Apparel</v>
      </c>
      <c r="F167" t="str">
        <f>IFERROR(VLOOKUP(Orders!C167,Customers!$A$2:$E$301,5,FALSE),"Unknown")</f>
        <v>SMB</v>
      </c>
      <c r="G167">
        <f>IFERROR(VLOOKUP(Orders!C167,Customers!$A$2:$C$301,3,FALSE),"")</f>
        <v>59</v>
      </c>
      <c r="H167" t="str">
        <f>VLOOKUP(D167,Sales_Reps!$A$2:$C$31,3,FALSE)</f>
        <v>South</v>
      </c>
      <c r="I167" s="44">
        <f t="shared" si="7"/>
        <v>45505</v>
      </c>
      <c r="L167" t="str">
        <f>Orders!K167</f>
        <v>Delhi</v>
      </c>
      <c r="M167">
        <f>Orders!G167</f>
        <v>620</v>
      </c>
      <c r="N167">
        <f>IFERROR(VLOOKUP(Orders!D167,Products!$A$2:$D$61,4,FALSE),"")</f>
        <v>396</v>
      </c>
      <c r="O167">
        <f t="shared" si="8"/>
        <v>0.36129032258064514</v>
      </c>
      <c r="Q167" t="str">
        <f>Orders!D167</f>
        <v>PROD-016</v>
      </c>
    </row>
    <row r="168" spans="1:17" x14ac:dyDescent="0.3">
      <c r="A168" t="str">
        <f>Orders!A168</f>
        <v>ORD-00167</v>
      </c>
      <c r="B168">
        <f>Orders!B168</f>
        <v>45489</v>
      </c>
      <c r="C168">
        <f>Orders!I168</f>
        <v>15016.05</v>
      </c>
      <c r="D168" t="str">
        <f>Orders!E168</f>
        <v>R022</v>
      </c>
      <c r="E168" t="str">
        <f>IFERROR(VLOOKUP(Orders!D168,Products!$A$2:$C$61,3,FALSE),"Unknown")</f>
        <v>Grocery</v>
      </c>
      <c r="F168" t="str">
        <f>IFERROR(VLOOKUP(Orders!C168,Customers!$A$2:$E$301,5,FALSE),"Unknown")</f>
        <v>SMB</v>
      </c>
      <c r="G168">
        <f>IFERROR(VLOOKUP(Orders!C168,Customers!$A$2:$C$301,3,FALSE),"")</f>
        <v>34</v>
      </c>
      <c r="H168" t="str">
        <f>VLOOKUP(D168,Sales_Reps!$A$2:$C$31,3,FALSE)</f>
        <v>East</v>
      </c>
      <c r="I168" s="44">
        <f t="shared" si="7"/>
        <v>45474</v>
      </c>
      <c r="L168" t="str">
        <f>Orders!K168</f>
        <v>Delhi</v>
      </c>
      <c r="M168">
        <f>Orders!G168</f>
        <v>2270</v>
      </c>
      <c r="N168">
        <f>IFERROR(VLOOKUP(Orders!D168,Products!$A$2:$D$61,4,FALSE),"")</f>
        <v>1412</v>
      </c>
      <c r="O168">
        <f t="shared" si="8"/>
        <v>0.37797356828193834</v>
      </c>
      <c r="Q168" t="str">
        <f>Orders!D168</f>
        <v>PROD-022</v>
      </c>
    </row>
    <row r="169" spans="1:17" x14ac:dyDescent="0.3">
      <c r="A169" t="str">
        <f>Orders!A169</f>
        <v>ORD-00168</v>
      </c>
      <c r="B169">
        <f>Orders!B169</f>
        <v>45457</v>
      </c>
      <c r="C169">
        <f>Orders!I169</f>
        <v>405.61</v>
      </c>
      <c r="D169" t="str">
        <f>Orders!E169</f>
        <v>R016</v>
      </c>
      <c r="E169" t="str">
        <f>IFERROR(VLOOKUP(Orders!D169,Products!$A$2:$C$61,3,FALSE),"Unknown")</f>
        <v>Sports</v>
      </c>
      <c r="F169" t="str">
        <f>IFERROR(VLOOKUP(Orders!C169,Customers!$A$2:$E$301,5,FALSE),"Unknown")</f>
        <v>SMB</v>
      </c>
      <c r="G169">
        <f>IFERROR(VLOOKUP(Orders!C169,Customers!$A$2:$C$301,3,FALSE),"")</f>
        <v>40</v>
      </c>
      <c r="H169" t="str">
        <f>VLOOKUP(D169,Sales_Reps!$A$2:$C$31,3,FALSE)</f>
        <v>South</v>
      </c>
      <c r="I169" s="44">
        <f t="shared" si="7"/>
        <v>45444</v>
      </c>
      <c r="L169" t="str">
        <f>Orders!K169</f>
        <v>Hyderabad</v>
      </c>
      <c r="M169">
        <f>Orders!G169</f>
        <v>470</v>
      </c>
      <c r="N169">
        <f>IFERROR(VLOOKUP(Orders!D169,Products!$A$2:$D$61,4,FALSE),"")</f>
        <v>302</v>
      </c>
      <c r="O169">
        <f t="shared" si="8"/>
        <v>0.35744680851063831</v>
      </c>
      <c r="Q169" t="str">
        <f>Orders!D169</f>
        <v>PROD-053</v>
      </c>
    </row>
    <row r="170" spans="1:17" x14ac:dyDescent="0.3">
      <c r="A170" t="str">
        <f>Orders!A170</f>
        <v>ORD-00169</v>
      </c>
      <c r="B170">
        <f>Orders!B170</f>
        <v>45601</v>
      </c>
      <c r="C170">
        <f>Orders!I170</f>
        <v>26255.58</v>
      </c>
      <c r="D170" t="str">
        <f>Orders!E170</f>
        <v>R007</v>
      </c>
      <c r="E170" t="str">
        <f>IFERROR(VLOOKUP(Orders!D170,Products!$A$2:$C$61,3,FALSE),"Unknown")</f>
        <v>Electronics</v>
      </c>
      <c r="F170" t="str">
        <f>IFERROR(VLOOKUP(Orders!C170,Customers!$A$2:$E$301,5,FALSE),"Unknown")</f>
        <v>Retail</v>
      </c>
      <c r="G170">
        <f>IFERROR(VLOOKUP(Orders!C170,Customers!$A$2:$C$301,3,FALSE),"")</f>
        <v>63</v>
      </c>
      <c r="H170" t="str">
        <f>VLOOKUP(D170,Sales_Reps!$A$2:$C$31,3,FALSE)</f>
        <v>North</v>
      </c>
      <c r="I170" s="44">
        <f t="shared" si="7"/>
        <v>45597</v>
      </c>
      <c r="L170" t="str">
        <f>Orders!K170</f>
        <v>Pune</v>
      </c>
      <c r="M170">
        <f>Orders!G170</f>
        <v>5330</v>
      </c>
      <c r="N170">
        <f>IFERROR(VLOOKUP(Orders!D170,Products!$A$2:$D$61,4,FALSE),"")</f>
        <v>2405</v>
      </c>
      <c r="O170">
        <f t="shared" si="8"/>
        <v>0.54878048780487809</v>
      </c>
      <c r="Q170" t="str">
        <f>Orders!D170</f>
        <v>PROD-001</v>
      </c>
    </row>
    <row r="171" spans="1:17" x14ac:dyDescent="0.3">
      <c r="A171" t="str">
        <f>Orders!A171</f>
        <v>ORD-00170</v>
      </c>
      <c r="B171">
        <f>Orders!B171</f>
        <v>45294</v>
      </c>
      <c r="C171">
        <f>Orders!I171</f>
        <v>4529.6000000000004</v>
      </c>
      <c r="D171" t="str">
        <f>Orders!E171</f>
        <v>R002</v>
      </c>
      <c r="E171" t="str">
        <f>IFERROR(VLOOKUP(Orders!D171,Products!$A$2:$C$61,3,FALSE),"Unknown")</f>
        <v>Beauty</v>
      </c>
      <c r="F171" t="str">
        <f>IFERROR(VLOOKUP(Orders!C171,Customers!$A$2:$E$301,5,FALSE),"Unknown")</f>
        <v>SMB</v>
      </c>
      <c r="G171">
        <f>IFERROR(VLOOKUP(Orders!C171,Customers!$A$2:$C$301,3,FALSE),"")</f>
        <v>49</v>
      </c>
      <c r="H171" t="str">
        <f>VLOOKUP(D171,Sales_Reps!$A$2:$C$31,3,FALSE)</f>
        <v>North</v>
      </c>
      <c r="I171" s="44">
        <f t="shared" si="7"/>
        <v>45292</v>
      </c>
      <c r="L171" t="str">
        <f>Orders!K171</f>
        <v>Pune</v>
      </c>
      <c r="M171">
        <f>Orders!G171</f>
        <v>6080</v>
      </c>
      <c r="N171">
        <f>IFERROR(VLOOKUP(Orders!D171,Products!$A$2:$D$61,4,FALSE),"")</f>
        <v>2617</v>
      </c>
      <c r="O171">
        <f t="shared" si="8"/>
        <v>0.56957236842105263</v>
      </c>
      <c r="Q171" t="str">
        <f>Orders!D171</f>
        <v>PROD-050</v>
      </c>
    </row>
    <row r="172" spans="1:17" x14ac:dyDescent="0.3">
      <c r="A172" t="str">
        <f>Orders!A172</f>
        <v>ORD-00171</v>
      </c>
      <c r="B172">
        <f>Orders!B172</f>
        <v>45345</v>
      </c>
      <c r="C172">
        <f>Orders!I172</f>
        <v>13494.6</v>
      </c>
      <c r="D172" t="str">
        <f>Orders!E172</f>
        <v>R022</v>
      </c>
      <c r="E172" t="str">
        <f>IFERROR(VLOOKUP(Orders!D172,Products!$A$2:$C$61,3,FALSE),"Unknown")</f>
        <v>Grocery</v>
      </c>
      <c r="F172" t="str">
        <f>IFERROR(VLOOKUP(Orders!C172,Customers!$A$2:$E$301,5,FALSE),"Unknown")</f>
        <v>Retail</v>
      </c>
      <c r="G172">
        <f>IFERROR(VLOOKUP(Orders!C172,Customers!$A$2:$C$301,3,FALSE),"")</f>
        <v>54</v>
      </c>
      <c r="H172" t="str">
        <f>VLOOKUP(D172,Sales_Reps!$A$2:$C$31,3,FALSE)</f>
        <v>East</v>
      </c>
      <c r="I172" s="44">
        <f t="shared" si="7"/>
        <v>45323</v>
      </c>
      <c r="L172" t="str">
        <f>Orders!K172</f>
        <v>Delhi</v>
      </c>
      <c r="M172">
        <f>Orders!G172</f>
        <v>3780</v>
      </c>
      <c r="N172">
        <f>IFERROR(VLOOKUP(Orders!D172,Products!$A$2:$D$61,4,FALSE),"")</f>
        <v>2436</v>
      </c>
      <c r="O172">
        <f t="shared" si="8"/>
        <v>0.35555555555555557</v>
      </c>
      <c r="Q172" t="str">
        <f>Orders!D172</f>
        <v>PROD-027</v>
      </c>
    </row>
    <row r="173" spans="1:17" x14ac:dyDescent="0.3">
      <c r="A173" t="str">
        <f>Orders!A173</f>
        <v>ORD-00172</v>
      </c>
      <c r="B173">
        <f>Orders!B173</f>
        <v>45391</v>
      </c>
      <c r="C173">
        <f>Orders!I173</f>
        <v>2886.1</v>
      </c>
      <c r="D173" t="str">
        <f>Orders!E173</f>
        <v>R010</v>
      </c>
      <c r="E173" t="str">
        <f>IFERROR(VLOOKUP(Orders!D173,Products!$A$2:$C$61,3,FALSE),"Unknown")</f>
        <v>Apparel</v>
      </c>
      <c r="F173" t="str">
        <f>IFERROR(VLOOKUP(Orders!C173,Customers!$A$2:$E$301,5,FALSE),"Unknown")</f>
        <v>Corporate</v>
      </c>
      <c r="G173">
        <f>IFERROR(VLOOKUP(Orders!C173,Customers!$A$2:$C$301,3,FALSE),"")</f>
        <v>52</v>
      </c>
      <c r="H173" t="str">
        <f>VLOOKUP(D173,Sales_Reps!$A$2:$C$31,3,FALSE)</f>
        <v>South</v>
      </c>
      <c r="I173" s="44">
        <f t="shared" si="7"/>
        <v>45383</v>
      </c>
      <c r="L173" t="str">
        <f>Orders!K173</f>
        <v>Hyderabad</v>
      </c>
      <c r="M173">
        <f>Orders!G173</f>
        <v>620</v>
      </c>
      <c r="N173">
        <f>IFERROR(VLOOKUP(Orders!D173,Products!$A$2:$D$61,4,FALSE),"")</f>
        <v>396</v>
      </c>
      <c r="O173">
        <f t="shared" si="8"/>
        <v>0.36129032258064514</v>
      </c>
      <c r="Q173" t="str">
        <f>Orders!D173</f>
        <v>PROD-016</v>
      </c>
    </row>
    <row r="174" spans="1:17" x14ac:dyDescent="0.3">
      <c r="A174" t="str">
        <f>Orders!A174</f>
        <v>ORD-00173</v>
      </c>
      <c r="B174">
        <f>Orders!B174</f>
        <v>45419</v>
      </c>
      <c r="C174">
        <f>Orders!I174</f>
        <v>19939.439999999999</v>
      </c>
      <c r="D174" t="str">
        <f>Orders!E174</f>
        <v>R027</v>
      </c>
      <c r="E174" t="str">
        <f>IFERROR(VLOOKUP(Orders!D174,Products!$A$2:$C$61,3,FALSE),"Unknown")</f>
        <v>Apparel</v>
      </c>
      <c r="F174" t="str">
        <f>IFERROR(VLOOKUP(Orders!C174,Customers!$A$2:$E$301,5,FALSE),"Unknown")</f>
        <v>Corporate</v>
      </c>
      <c r="G174">
        <f>IFERROR(VLOOKUP(Orders!C174,Customers!$A$2:$C$301,3,FALSE),"")</f>
        <v>48</v>
      </c>
      <c r="H174" t="str">
        <f>VLOOKUP(D174,Sales_Reps!$A$2:$C$31,3,FALSE)</f>
        <v>West</v>
      </c>
      <c r="I174" s="44">
        <f t="shared" si="7"/>
        <v>45413</v>
      </c>
      <c r="L174" t="str">
        <f>Orders!K174</f>
        <v>Pune</v>
      </c>
      <c r="M174">
        <f>Orders!G174</f>
        <v>2510</v>
      </c>
      <c r="N174">
        <f>IFERROR(VLOOKUP(Orders!D174,Products!$A$2:$D$61,4,FALSE),"")</f>
        <v>1075</v>
      </c>
      <c r="O174">
        <f t="shared" si="8"/>
        <v>0.57171314741035861</v>
      </c>
      <c r="Q174" t="str">
        <f>Orders!D174</f>
        <v>PROD-017</v>
      </c>
    </row>
    <row r="175" spans="1:17" x14ac:dyDescent="0.3">
      <c r="A175" t="str">
        <f>Orders!A175</f>
        <v>ORD-00174</v>
      </c>
      <c r="B175">
        <f>Orders!B175</f>
        <v>45306</v>
      </c>
      <c r="C175">
        <f>Orders!I175</f>
        <v>2347.36</v>
      </c>
      <c r="D175" t="str">
        <f>Orders!E175</f>
        <v>R020</v>
      </c>
      <c r="E175" t="str">
        <f>IFERROR(VLOOKUP(Orders!D175,Products!$A$2:$C$61,3,FALSE),"Unknown")</f>
        <v>Apparel</v>
      </c>
      <c r="F175" t="str">
        <f>IFERROR(VLOOKUP(Orders!C175,Customers!$A$2:$E$301,5,FALSE),"Unknown")</f>
        <v>Retail</v>
      </c>
      <c r="G175">
        <f>IFERROR(VLOOKUP(Orders!C175,Customers!$A$2:$C$301,3,FALSE),"")</f>
        <v>49</v>
      </c>
      <c r="H175" t="str">
        <f>VLOOKUP(D175,Sales_Reps!$A$2:$C$31,3,FALSE)</f>
        <v>East</v>
      </c>
      <c r="I175" s="44">
        <f t="shared" si="7"/>
        <v>45292</v>
      </c>
      <c r="L175" t="str">
        <f>Orders!K175</f>
        <v>Pune</v>
      </c>
      <c r="M175">
        <f>Orders!G175</f>
        <v>2720</v>
      </c>
      <c r="N175">
        <f>IFERROR(VLOOKUP(Orders!D175,Products!$A$2:$D$61,4,FALSE),"")</f>
        <v>1962</v>
      </c>
      <c r="O175">
        <f t="shared" si="8"/>
        <v>0.2786764705882353</v>
      </c>
      <c r="Q175" t="str">
        <f>Orders!D175</f>
        <v>PROD-015</v>
      </c>
    </row>
    <row r="176" spans="1:17" x14ac:dyDescent="0.3">
      <c r="A176" t="str">
        <f>Orders!A176</f>
        <v>ORD-00175</v>
      </c>
      <c r="B176">
        <f>Orders!B176</f>
        <v>45546</v>
      </c>
      <c r="C176">
        <f>Orders!I176</f>
        <v>3231.72</v>
      </c>
      <c r="D176" t="str">
        <f>Orders!E176</f>
        <v>R018</v>
      </c>
      <c r="E176" t="str">
        <f>IFERROR(VLOOKUP(Orders!D176,Products!$A$2:$C$61,3,FALSE),"Unknown")</f>
        <v>Sports</v>
      </c>
      <c r="F176" t="str">
        <f>IFERROR(VLOOKUP(Orders!C176,Customers!$A$2:$E$301,5,FALSE),"Unknown")</f>
        <v>Corporate</v>
      </c>
      <c r="G176">
        <f>IFERROR(VLOOKUP(Orders!C176,Customers!$A$2:$C$301,3,FALSE),"")</f>
        <v>29</v>
      </c>
      <c r="H176" t="str">
        <f>VLOOKUP(D176,Sales_Reps!$A$2:$C$31,3,FALSE)</f>
        <v>East</v>
      </c>
      <c r="I176" s="44">
        <f t="shared" si="7"/>
        <v>45536</v>
      </c>
      <c r="L176" t="str">
        <f>Orders!K176</f>
        <v>Pune</v>
      </c>
      <c r="M176">
        <f>Orders!G176</f>
        <v>470</v>
      </c>
      <c r="N176">
        <f>IFERROR(VLOOKUP(Orders!D176,Products!$A$2:$D$61,4,FALSE),"")</f>
        <v>302</v>
      </c>
      <c r="O176">
        <f t="shared" si="8"/>
        <v>0.35744680851063831</v>
      </c>
      <c r="Q176" t="str">
        <f>Orders!D176</f>
        <v>PROD-053</v>
      </c>
    </row>
    <row r="177" spans="1:17" x14ac:dyDescent="0.3">
      <c r="A177" t="str">
        <f>Orders!A177</f>
        <v>ORD-00176</v>
      </c>
      <c r="B177">
        <f>Orders!B177</f>
        <v>45633</v>
      </c>
      <c r="C177">
        <f>Orders!I177</f>
        <v>25675</v>
      </c>
      <c r="D177" t="str">
        <f>Orders!E177</f>
        <v>R018</v>
      </c>
      <c r="E177" t="str">
        <f>IFERROR(VLOOKUP(Orders!D177,Products!$A$2:$C$61,3,FALSE),"Unknown")</f>
        <v>Home</v>
      </c>
      <c r="F177" t="str">
        <f>IFERROR(VLOOKUP(Orders!C177,Customers!$A$2:$E$301,5,FALSE),"Unknown")</f>
        <v>Retail</v>
      </c>
      <c r="G177">
        <f>IFERROR(VLOOKUP(Orders!C177,Customers!$A$2:$C$301,3,FALSE),"")</f>
        <v>46</v>
      </c>
      <c r="H177" t="str">
        <f>VLOOKUP(D177,Sales_Reps!$A$2:$C$31,3,FALSE)</f>
        <v>East</v>
      </c>
      <c r="I177" s="44">
        <f t="shared" si="7"/>
        <v>45627</v>
      </c>
      <c r="L177" t="str">
        <f>Orders!K177</f>
        <v>Hyderabad</v>
      </c>
      <c r="M177">
        <f>Orders!G177</f>
        <v>3250</v>
      </c>
      <c r="N177">
        <f>IFERROR(VLOOKUP(Orders!D177,Products!$A$2:$D$61,4,FALSE),"")</f>
        <v>1556</v>
      </c>
      <c r="O177">
        <f t="shared" si="8"/>
        <v>0.52123076923076928</v>
      </c>
      <c r="Q177" t="str">
        <f>Orders!D177</f>
        <v>PROD-036</v>
      </c>
    </row>
    <row r="178" spans="1:17" x14ac:dyDescent="0.3">
      <c r="A178" t="str">
        <f>Orders!A178</f>
        <v>ORD-00177</v>
      </c>
      <c r="B178">
        <f>Orders!B178</f>
        <v>45649</v>
      </c>
      <c r="C178">
        <f>Orders!I178</f>
        <v>25359.360000000001</v>
      </c>
      <c r="D178" t="str">
        <f>Orders!E178</f>
        <v>R028</v>
      </c>
      <c r="E178" t="str">
        <f>IFERROR(VLOOKUP(Orders!D178,Products!$A$2:$C$61,3,FALSE),"Unknown")</f>
        <v>Home</v>
      </c>
      <c r="F178" t="str">
        <f>IFERROR(VLOOKUP(Orders!C178,Customers!$A$2:$E$301,5,FALSE),"Unknown")</f>
        <v>Retail</v>
      </c>
      <c r="G178">
        <f>IFERROR(VLOOKUP(Orders!C178,Customers!$A$2:$C$301,3,FALSE),"")</f>
        <v>59</v>
      </c>
      <c r="H178" t="str">
        <f>VLOOKUP(D178,Sales_Reps!$A$2:$C$31,3,FALSE)</f>
        <v>West</v>
      </c>
      <c r="I178" s="44">
        <f t="shared" si="7"/>
        <v>45627</v>
      </c>
      <c r="L178" t="str">
        <f>Orders!K178</f>
        <v>Delhi</v>
      </c>
      <c r="M178">
        <f>Orders!G178</f>
        <v>5080</v>
      </c>
      <c r="N178">
        <f>IFERROR(VLOOKUP(Orders!D178,Products!$A$2:$D$61,4,FALSE),"")</f>
        <v>2459</v>
      </c>
      <c r="O178">
        <f t="shared" si="8"/>
        <v>0.51594488188976373</v>
      </c>
      <c r="Q178" t="str">
        <f>Orders!D178</f>
        <v>PROD-034</v>
      </c>
    </row>
    <row r="179" spans="1:17" x14ac:dyDescent="0.3">
      <c r="A179" t="str">
        <f>Orders!A179</f>
        <v>ORD-00178</v>
      </c>
      <c r="B179">
        <f>Orders!B179</f>
        <v>45312</v>
      </c>
      <c r="C179">
        <f>Orders!I179</f>
        <v>6661.62</v>
      </c>
      <c r="D179" t="str">
        <f>Orders!E179</f>
        <v>R012</v>
      </c>
      <c r="E179" t="str">
        <f>IFERROR(VLOOKUP(Orders!D179,Products!$A$2:$C$61,3,FALSE),"Unknown")</f>
        <v>Electronics</v>
      </c>
      <c r="F179" t="str">
        <f>IFERROR(VLOOKUP(Orders!C179,Customers!$A$2:$E$301,5,FALSE),"Unknown")</f>
        <v>Retail</v>
      </c>
      <c r="G179">
        <f>IFERROR(VLOOKUP(Orders!C179,Customers!$A$2:$C$301,3,FALSE),"")</f>
        <v>65</v>
      </c>
      <c r="H179" t="str">
        <f>VLOOKUP(D179,Sales_Reps!$A$2:$C$31,3,FALSE)</f>
        <v>South</v>
      </c>
      <c r="I179" s="44">
        <f t="shared" si="7"/>
        <v>45292</v>
      </c>
      <c r="L179" t="str">
        <f>Orders!K179</f>
        <v>Pune</v>
      </c>
      <c r="M179">
        <f>Orders!G179</f>
        <v>3570</v>
      </c>
      <c r="N179">
        <f>IFERROR(VLOOKUP(Orders!D179,Products!$A$2:$D$61,4,FALSE),"")</f>
        <v>1665</v>
      </c>
      <c r="O179">
        <f t="shared" si="8"/>
        <v>0.53361344537815125</v>
      </c>
      <c r="Q179" t="str">
        <f>Orders!D179</f>
        <v>PROD-003</v>
      </c>
    </row>
    <row r="180" spans="1:17" x14ac:dyDescent="0.3">
      <c r="A180" t="str">
        <f>Orders!A180</f>
        <v>ORD-00179</v>
      </c>
      <c r="B180">
        <f>Orders!B180</f>
        <v>45382</v>
      </c>
      <c r="C180">
        <f>Orders!I180</f>
        <v>11880.96</v>
      </c>
      <c r="D180" t="str">
        <f>Orders!E180</f>
        <v>R012</v>
      </c>
      <c r="E180" t="str">
        <f>IFERROR(VLOOKUP(Orders!D180,Products!$A$2:$C$61,3,FALSE),"Unknown")</f>
        <v>Apparel</v>
      </c>
      <c r="F180" t="str">
        <f>IFERROR(VLOOKUP(Orders!C180,Customers!$A$2:$E$301,5,FALSE),"Unknown")</f>
        <v>Retail</v>
      </c>
      <c r="G180">
        <f>IFERROR(VLOOKUP(Orders!C180,Customers!$A$2:$C$301,3,FALSE),"")</f>
        <v>57</v>
      </c>
      <c r="H180" t="str">
        <f>VLOOKUP(D180,Sales_Reps!$A$2:$C$31,3,FALSE)</f>
        <v>South</v>
      </c>
      <c r="I180" s="44">
        <f t="shared" si="7"/>
        <v>45352</v>
      </c>
      <c r="L180" t="str">
        <f>Orders!K180</f>
        <v>Pune</v>
      </c>
      <c r="M180">
        <f>Orders!G180</f>
        <v>3640</v>
      </c>
      <c r="N180">
        <f>IFERROR(VLOOKUP(Orders!D180,Products!$A$2:$D$61,4,FALSE),"")</f>
        <v>2611</v>
      </c>
      <c r="O180">
        <f t="shared" si="8"/>
        <v>0.28269230769230769</v>
      </c>
      <c r="Q180" t="str">
        <f>Orders!D180</f>
        <v>PROD-013</v>
      </c>
    </row>
    <row r="181" spans="1:17" x14ac:dyDescent="0.3">
      <c r="A181" t="str">
        <f>Orders!A181</f>
        <v>ORD-00180</v>
      </c>
      <c r="B181">
        <f>Orders!B181</f>
        <v>45524</v>
      </c>
      <c r="C181">
        <f>Orders!I181</f>
        <v>30411.040000000001</v>
      </c>
      <c r="D181" t="str">
        <f>Orders!E181</f>
        <v>R001</v>
      </c>
      <c r="E181" t="str">
        <f>IFERROR(VLOOKUP(Orders!D181,Products!$A$2:$C$61,3,FALSE),"Unknown")</f>
        <v>Grocery</v>
      </c>
      <c r="F181" t="str">
        <f>IFERROR(VLOOKUP(Orders!C181,Customers!$A$2:$E$301,5,FALSE),"Unknown")</f>
        <v>Retail</v>
      </c>
      <c r="G181">
        <f>IFERROR(VLOOKUP(Orders!C181,Customers!$A$2:$C$301,3,FALSE),"")</f>
        <v>63</v>
      </c>
      <c r="H181" t="str">
        <f>VLOOKUP(D181,Sales_Reps!$A$2:$C$31,3,FALSE)</f>
        <v>North</v>
      </c>
      <c r="I181" s="44">
        <f t="shared" si="7"/>
        <v>45505</v>
      </c>
      <c r="L181" t="str">
        <f>Orders!K181</f>
        <v>Pune</v>
      </c>
      <c r="M181">
        <f>Orders!G181</f>
        <v>4070</v>
      </c>
      <c r="N181">
        <f>IFERROR(VLOOKUP(Orders!D181,Products!$A$2:$D$61,4,FALSE),"")</f>
        <v>2027</v>
      </c>
      <c r="O181">
        <f t="shared" si="8"/>
        <v>0.50196560196560192</v>
      </c>
      <c r="Q181" t="str">
        <f>Orders!D181</f>
        <v>PROD-026</v>
      </c>
    </row>
    <row r="182" spans="1:17" x14ac:dyDescent="0.3">
      <c r="A182" t="str">
        <f>Orders!A182</f>
        <v>ORD-00181</v>
      </c>
      <c r="B182">
        <f>Orders!B182</f>
        <v>45392</v>
      </c>
      <c r="C182">
        <f>Orders!I182</f>
        <v>17719.2</v>
      </c>
      <c r="D182" t="str">
        <f>Orders!E182</f>
        <v>R012</v>
      </c>
      <c r="E182" t="str">
        <f>IFERROR(VLOOKUP(Orders!D182,Products!$A$2:$C$61,3,FALSE),"Unknown")</f>
        <v>Apparel</v>
      </c>
      <c r="F182" t="str">
        <f>IFERROR(VLOOKUP(Orders!C182,Customers!$A$2:$E$301,5,FALSE),"Unknown")</f>
        <v>Retail</v>
      </c>
      <c r="G182">
        <f>IFERROR(VLOOKUP(Orders!C182,Customers!$A$2:$C$301,3,FALSE),"")</f>
        <v>34</v>
      </c>
      <c r="H182" t="str">
        <f>VLOOKUP(D182,Sales_Reps!$A$2:$C$31,3,FALSE)</f>
        <v>South</v>
      </c>
      <c r="I182" s="44">
        <f t="shared" si="7"/>
        <v>45383</v>
      </c>
      <c r="L182" t="str">
        <f>Orders!K182</f>
        <v>Mumbai</v>
      </c>
      <c r="M182">
        <f>Orders!G182</f>
        <v>3450</v>
      </c>
      <c r="N182">
        <f>IFERROR(VLOOKUP(Orders!D182,Products!$A$2:$D$61,4,FALSE),"")</f>
        <v>1748</v>
      </c>
      <c r="O182">
        <f t="shared" si="8"/>
        <v>0.49333333333333335</v>
      </c>
      <c r="Q182" t="str">
        <f>Orders!D182</f>
        <v>PROD-011</v>
      </c>
    </row>
    <row r="183" spans="1:17" x14ac:dyDescent="0.3">
      <c r="A183" t="str">
        <f>Orders!A183</f>
        <v>ORD-00182</v>
      </c>
      <c r="B183">
        <f>Orders!B183</f>
        <v>45443</v>
      </c>
      <c r="C183">
        <f>Orders!I183</f>
        <v>26527.759999999998</v>
      </c>
      <c r="D183" t="str">
        <f>Orders!E183</f>
        <v>R029</v>
      </c>
      <c r="E183" t="str">
        <f>IFERROR(VLOOKUP(Orders!D183,Products!$A$2:$C$61,3,FALSE),"Unknown")</f>
        <v>Home</v>
      </c>
      <c r="F183" t="str">
        <f>IFERROR(VLOOKUP(Orders!C183,Customers!$A$2:$E$301,5,FALSE),"Unknown")</f>
        <v>Retail</v>
      </c>
      <c r="G183">
        <f>IFERROR(VLOOKUP(Orders!C183,Customers!$A$2:$C$301,3,FALSE),"")</f>
        <v>60</v>
      </c>
      <c r="H183" t="str">
        <f>VLOOKUP(D183,Sales_Reps!$A$2:$C$31,3,FALSE)</f>
        <v>West</v>
      </c>
      <c r="I183" s="44">
        <f t="shared" si="7"/>
        <v>45413</v>
      </c>
      <c r="L183" t="str">
        <f>Orders!K183</f>
        <v>Hyderabad</v>
      </c>
      <c r="M183">
        <f>Orders!G183</f>
        <v>5080</v>
      </c>
      <c r="N183">
        <f>IFERROR(VLOOKUP(Orders!D183,Products!$A$2:$D$61,4,FALSE),"")</f>
        <v>2459</v>
      </c>
      <c r="O183">
        <f t="shared" si="8"/>
        <v>0.51594488188976373</v>
      </c>
      <c r="Q183" t="str">
        <f>Orders!D183</f>
        <v>PROD-034</v>
      </c>
    </row>
    <row r="184" spans="1:17" x14ac:dyDescent="0.3">
      <c r="A184" t="str">
        <f>Orders!A184</f>
        <v>ORD-00183</v>
      </c>
      <c r="B184">
        <f>Orders!B184</f>
        <v>45333</v>
      </c>
      <c r="C184">
        <f>Orders!I184</f>
        <v>22052.400000000001</v>
      </c>
      <c r="D184" t="str">
        <f>Orders!E184</f>
        <v>R028</v>
      </c>
      <c r="E184" t="str">
        <f>IFERROR(VLOOKUP(Orders!D184,Products!$A$2:$C$61,3,FALSE),"Unknown")</f>
        <v>Grocery</v>
      </c>
      <c r="F184" t="str">
        <f>IFERROR(VLOOKUP(Orders!C184,Customers!$A$2:$E$301,5,FALSE),"Unknown")</f>
        <v>Retail</v>
      </c>
      <c r="G184">
        <f>IFERROR(VLOOKUP(Orders!C184,Customers!$A$2:$C$301,3,FALSE),"")</f>
        <v>28</v>
      </c>
      <c r="H184" t="str">
        <f>VLOOKUP(D184,Sales_Reps!$A$2:$C$31,3,FALSE)</f>
        <v>West</v>
      </c>
      <c r="I184" s="44">
        <f t="shared" si="7"/>
        <v>45323</v>
      </c>
      <c r="L184" t="str">
        <f>Orders!K184</f>
        <v>Hyderabad</v>
      </c>
      <c r="M184">
        <f>Orders!G184</f>
        <v>2760</v>
      </c>
      <c r="N184">
        <f>IFERROR(VLOOKUP(Orders!D184,Products!$A$2:$D$61,4,FALSE),"")</f>
        <v>1435</v>
      </c>
      <c r="O184">
        <f t="shared" si="8"/>
        <v>0.48007246376811596</v>
      </c>
      <c r="Q184" t="str">
        <f>Orders!D184</f>
        <v>PROD-021</v>
      </c>
    </row>
    <row r="185" spans="1:17" x14ac:dyDescent="0.3">
      <c r="A185" t="str">
        <f>Orders!A185</f>
        <v>ORD-00184</v>
      </c>
      <c r="B185">
        <f>Orders!B185</f>
        <v>45456</v>
      </c>
      <c r="C185">
        <f>Orders!I185</f>
        <v>8781.2999999999993</v>
      </c>
      <c r="D185" t="str">
        <f>Orders!E185</f>
        <v>R016</v>
      </c>
      <c r="E185" t="str">
        <f>IFERROR(VLOOKUP(Orders!D185,Products!$A$2:$C$61,3,FALSE),"Unknown")</f>
        <v>Beauty</v>
      </c>
      <c r="F185" t="str">
        <f>IFERROR(VLOOKUP(Orders!C185,Customers!$A$2:$E$301,5,FALSE),"Unknown")</f>
        <v>Retail</v>
      </c>
      <c r="G185">
        <f>IFERROR(VLOOKUP(Orders!C185,Customers!$A$2:$C$301,3,FALSE),"")</f>
        <v>61</v>
      </c>
      <c r="H185" t="str">
        <f>VLOOKUP(D185,Sales_Reps!$A$2:$C$31,3,FALSE)</f>
        <v>South</v>
      </c>
      <c r="I185" s="44">
        <f t="shared" si="7"/>
        <v>45444</v>
      </c>
      <c r="L185" t="str">
        <f>Orders!K185</f>
        <v>Mumbai</v>
      </c>
      <c r="M185">
        <f>Orders!G185</f>
        <v>1650</v>
      </c>
      <c r="N185">
        <f>IFERROR(VLOOKUP(Orders!D185,Products!$A$2:$D$61,4,FALSE),"")</f>
        <v>1222</v>
      </c>
      <c r="O185">
        <f t="shared" si="8"/>
        <v>0.2593939393939394</v>
      </c>
      <c r="Q185" t="str">
        <f>Orders!D185</f>
        <v>PROD-044</v>
      </c>
    </row>
    <row r="186" spans="1:17" x14ac:dyDescent="0.3">
      <c r="A186" t="str">
        <f>Orders!A186</f>
        <v>ORD-00185</v>
      </c>
      <c r="B186">
        <f>Orders!B186</f>
        <v>45295</v>
      </c>
      <c r="C186">
        <f>Orders!I186</f>
        <v>25251.75</v>
      </c>
      <c r="D186" t="str">
        <f>Orders!E186</f>
        <v>R007</v>
      </c>
      <c r="E186" t="str">
        <f>IFERROR(VLOOKUP(Orders!D186,Products!$A$2:$C$61,3,FALSE),"Unknown")</f>
        <v>Electronics</v>
      </c>
      <c r="F186" t="str">
        <f>IFERROR(VLOOKUP(Orders!C186,Customers!$A$2:$E$301,5,FALSE),"Unknown")</f>
        <v>SMB</v>
      </c>
      <c r="G186">
        <f>IFERROR(VLOOKUP(Orders!C186,Customers!$A$2:$C$301,3,FALSE),"")</f>
        <v>43</v>
      </c>
      <c r="H186" t="str">
        <f>VLOOKUP(D186,Sales_Reps!$A$2:$C$31,3,FALSE)</f>
        <v>North</v>
      </c>
      <c r="I186" s="44">
        <f t="shared" si="7"/>
        <v>45292</v>
      </c>
      <c r="L186" t="str">
        <f>Orders!K186</f>
        <v>Hyderabad</v>
      </c>
      <c r="M186">
        <f>Orders!G186</f>
        <v>3870</v>
      </c>
      <c r="N186">
        <f>IFERROR(VLOOKUP(Orders!D186,Products!$A$2:$D$61,4,FALSE),"")</f>
        <v>1559</v>
      </c>
      <c r="O186">
        <f t="shared" si="8"/>
        <v>0.59715762273901807</v>
      </c>
      <c r="Q186" t="str">
        <f>Orders!D186</f>
        <v>PROD-004</v>
      </c>
    </row>
    <row r="187" spans="1:17" x14ac:dyDescent="0.3">
      <c r="A187" t="str">
        <f>Orders!A187</f>
        <v>ORD-00186</v>
      </c>
      <c r="B187">
        <f>Orders!B187</f>
        <v>45532</v>
      </c>
      <c r="C187">
        <f>Orders!I187</f>
        <v>1772.34</v>
      </c>
      <c r="D187" t="str">
        <f>Orders!E187</f>
        <v>R022</v>
      </c>
      <c r="E187" t="str">
        <f>IFERROR(VLOOKUP(Orders!D187,Products!$A$2:$C$61,3,FALSE),"Unknown")</f>
        <v>Home</v>
      </c>
      <c r="F187" t="str">
        <f>IFERROR(VLOOKUP(Orders!C187,Customers!$A$2:$E$301,5,FALSE),"Unknown")</f>
        <v>SMB</v>
      </c>
      <c r="G187">
        <f>IFERROR(VLOOKUP(Orders!C187,Customers!$A$2:$C$301,3,FALSE),"")</f>
        <v>65</v>
      </c>
      <c r="H187" t="str">
        <f>VLOOKUP(D187,Sales_Reps!$A$2:$C$31,3,FALSE)</f>
        <v>East</v>
      </c>
      <c r="I187" s="44">
        <f t="shared" si="7"/>
        <v>45505</v>
      </c>
      <c r="L187" t="str">
        <f>Orders!K187</f>
        <v>Hyderabad</v>
      </c>
      <c r="M187">
        <f>Orders!G187</f>
        <v>1090</v>
      </c>
      <c r="N187">
        <f>IFERROR(VLOOKUP(Orders!D187,Products!$A$2:$D$61,4,FALSE),"")</f>
        <v>464</v>
      </c>
      <c r="O187">
        <f t="shared" si="8"/>
        <v>0.57431192660550456</v>
      </c>
      <c r="Q187" t="str">
        <f>Orders!D187</f>
        <v>PROD-035</v>
      </c>
    </row>
    <row r="188" spans="1:17" x14ac:dyDescent="0.3">
      <c r="A188" t="str">
        <f>Orders!A188</f>
        <v>ORD-00187</v>
      </c>
      <c r="B188">
        <f>Orders!B188</f>
        <v>45564</v>
      </c>
      <c r="C188">
        <f>Orders!I188</f>
        <v>2941.44</v>
      </c>
      <c r="D188" t="str">
        <f>Orders!E188</f>
        <v>R025</v>
      </c>
      <c r="E188" t="str">
        <f>IFERROR(VLOOKUP(Orders!D188,Products!$A$2:$C$61,3,FALSE),"Unknown")</f>
        <v>Beauty</v>
      </c>
      <c r="F188" t="str">
        <f>IFERROR(VLOOKUP(Orders!C188,Customers!$A$2:$E$301,5,FALSE),"Unknown")</f>
        <v>Corporate</v>
      </c>
      <c r="G188">
        <f>IFERROR(VLOOKUP(Orders!C188,Customers!$A$2:$C$301,3,FALSE),"")</f>
        <v>36</v>
      </c>
      <c r="H188" t="str">
        <f>VLOOKUP(D188,Sales_Reps!$A$2:$C$31,3,FALSE)</f>
        <v>West</v>
      </c>
      <c r="I188" s="44">
        <f t="shared" si="7"/>
        <v>45536</v>
      </c>
      <c r="L188" t="str">
        <f>Orders!K188</f>
        <v>Bengaluru</v>
      </c>
      <c r="M188">
        <f>Orders!G188</f>
        <v>960</v>
      </c>
      <c r="N188">
        <f>IFERROR(VLOOKUP(Orders!D188,Products!$A$2:$D$61,4,FALSE),"")</f>
        <v>675</v>
      </c>
      <c r="O188">
        <f t="shared" si="8"/>
        <v>0.296875</v>
      </c>
      <c r="Q188" t="str">
        <f>Orders!D188</f>
        <v>PROD-049</v>
      </c>
    </row>
    <row r="189" spans="1:17" x14ac:dyDescent="0.3">
      <c r="A189" t="str">
        <f>Orders!A189</f>
        <v>ORD-00188</v>
      </c>
      <c r="B189">
        <f>Orders!B189</f>
        <v>45539</v>
      </c>
      <c r="C189">
        <f>Orders!I189</f>
        <v>8251.0499999999993</v>
      </c>
      <c r="D189" t="str">
        <f>Orders!E189</f>
        <v>R021</v>
      </c>
      <c r="E189" t="str">
        <f>IFERROR(VLOOKUP(Orders!D189,Products!$A$2:$C$61,3,FALSE),"Unknown")</f>
        <v>Beauty</v>
      </c>
      <c r="F189" t="str">
        <f>IFERROR(VLOOKUP(Orders!C189,Customers!$A$2:$E$301,5,FALSE),"Unknown")</f>
        <v>Retail</v>
      </c>
      <c r="G189">
        <f>IFERROR(VLOOKUP(Orders!C189,Customers!$A$2:$C$301,3,FALSE),"")</f>
        <v>34</v>
      </c>
      <c r="H189" t="str">
        <f>VLOOKUP(D189,Sales_Reps!$A$2:$C$31,3,FALSE)</f>
        <v>East</v>
      </c>
      <c r="I189" s="44">
        <f t="shared" si="7"/>
        <v>45536</v>
      </c>
      <c r="L189" t="str">
        <f>Orders!K189</f>
        <v>Bengaluru</v>
      </c>
      <c r="M189">
        <f>Orders!G189</f>
        <v>3350</v>
      </c>
      <c r="N189">
        <f>IFERROR(VLOOKUP(Orders!D189,Products!$A$2:$D$61,4,FALSE),"")</f>
        <v>1728</v>
      </c>
      <c r="O189">
        <f t="shared" si="8"/>
        <v>0.48417910447761192</v>
      </c>
      <c r="Q189" t="str">
        <f>Orders!D189</f>
        <v>PROD-043</v>
      </c>
    </row>
    <row r="190" spans="1:17" x14ac:dyDescent="0.3">
      <c r="A190" t="str">
        <f>Orders!A190</f>
        <v>ORD-00189</v>
      </c>
      <c r="B190">
        <f>Orders!B190</f>
        <v>45605</v>
      </c>
      <c r="C190">
        <f>Orders!I190</f>
        <v>6446.8</v>
      </c>
      <c r="D190" t="str">
        <f>Orders!E190</f>
        <v>R005</v>
      </c>
      <c r="E190" t="str">
        <f>IFERROR(VLOOKUP(Orders!D190,Products!$A$2:$C$61,3,FALSE),"Unknown")</f>
        <v>Grocery</v>
      </c>
      <c r="F190" t="str">
        <f>IFERROR(VLOOKUP(Orders!C190,Customers!$A$2:$E$301,5,FALSE),"Unknown")</f>
        <v>Retail</v>
      </c>
      <c r="G190">
        <f>IFERROR(VLOOKUP(Orders!C190,Customers!$A$2:$C$301,3,FALSE),"")</f>
        <v>59</v>
      </c>
      <c r="H190" t="str">
        <f>VLOOKUP(D190,Sales_Reps!$A$2:$C$31,3,FALSE)</f>
        <v>North</v>
      </c>
      <c r="I190" s="44">
        <f t="shared" si="7"/>
        <v>45597</v>
      </c>
      <c r="L190" t="str">
        <f>Orders!K190</f>
        <v>Pune</v>
      </c>
      <c r="M190">
        <f>Orders!G190</f>
        <v>2270</v>
      </c>
      <c r="N190">
        <f>IFERROR(VLOOKUP(Orders!D190,Products!$A$2:$D$61,4,FALSE),"")</f>
        <v>1412</v>
      </c>
      <c r="O190">
        <f t="shared" si="8"/>
        <v>0.37797356828193834</v>
      </c>
      <c r="Q190" t="str">
        <f>Orders!D190</f>
        <v>PROD-022</v>
      </c>
    </row>
    <row r="191" spans="1:17" x14ac:dyDescent="0.3">
      <c r="A191" t="str">
        <f>Orders!A191</f>
        <v>ORD-00190</v>
      </c>
      <c r="B191">
        <f>Orders!B191</f>
        <v>45460</v>
      </c>
      <c r="C191">
        <f>Orders!I191</f>
        <v>29748.33</v>
      </c>
      <c r="D191" t="str">
        <f>Orders!E191</f>
        <v>R023</v>
      </c>
      <c r="E191" t="str">
        <f>IFERROR(VLOOKUP(Orders!D191,Products!$A$2:$C$61,3,FALSE),"Unknown")</f>
        <v>Home</v>
      </c>
      <c r="F191" t="str">
        <f>IFERROR(VLOOKUP(Orders!C191,Customers!$A$2:$E$301,5,FALSE),"Unknown")</f>
        <v>Retail</v>
      </c>
      <c r="G191">
        <f>IFERROR(VLOOKUP(Orders!C191,Customers!$A$2:$C$301,3,FALSE),"")</f>
        <v>55</v>
      </c>
      <c r="H191" t="str">
        <f>VLOOKUP(D191,Sales_Reps!$A$2:$C$31,3,FALSE)</f>
        <v>East</v>
      </c>
      <c r="I191" s="44">
        <f t="shared" si="7"/>
        <v>45444</v>
      </c>
      <c r="L191" t="str">
        <f>Orders!K191</f>
        <v>Bengaluru</v>
      </c>
      <c r="M191">
        <f>Orders!G191</f>
        <v>4610</v>
      </c>
      <c r="N191">
        <f>IFERROR(VLOOKUP(Orders!D191,Products!$A$2:$D$61,4,FALSE),"")</f>
        <v>1850</v>
      </c>
      <c r="O191">
        <f t="shared" si="8"/>
        <v>0.59869848156182215</v>
      </c>
      <c r="Q191" t="str">
        <f>Orders!D191</f>
        <v>PROD-039</v>
      </c>
    </row>
    <row r="192" spans="1:17" x14ac:dyDescent="0.3">
      <c r="A192" t="str">
        <f>Orders!A192</f>
        <v>ORD-00191</v>
      </c>
      <c r="B192">
        <f>Orders!B192</f>
        <v>45538</v>
      </c>
      <c r="C192">
        <f>Orders!I192</f>
        <v>8787.9599999999991</v>
      </c>
      <c r="D192" t="str">
        <f>Orders!E192</f>
        <v>R009</v>
      </c>
      <c r="E192" t="str">
        <f>IFERROR(VLOOKUP(Orders!D192,Products!$A$2:$C$61,3,FALSE),"Unknown")</f>
        <v>Apparel</v>
      </c>
      <c r="F192" t="str">
        <f>IFERROR(VLOOKUP(Orders!C192,Customers!$A$2:$E$301,5,FALSE),"Unknown")</f>
        <v>SMB</v>
      </c>
      <c r="G192">
        <f>IFERROR(VLOOKUP(Orders!C192,Customers!$A$2:$C$301,3,FALSE),"")</f>
        <v>26</v>
      </c>
      <c r="H192" t="str">
        <f>VLOOKUP(D192,Sales_Reps!$A$2:$C$31,3,FALSE)</f>
        <v>South</v>
      </c>
      <c r="I192" s="44">
        <f t="shared" si="7"/>
        <v>45536</v>
      </c>
      <c r="L192" t="str">
        <f>Orders!K192</f>
        <v>Bengaluru</v>
      </c>
      <c r="M192">
        <f>Orders!G192</f>
        <v>3160</v>
      </c>
      <c r="N192">
        <f>IFERROR(VLOOKUP(Orders!D192,Products!$A$2:$D$61,4,FALSE),"")</f>
        <v>1886</v>
      </c>
      <c r="O192">
        <f t="shared" si="8"/>
        <v>0.4031645569620253</v>
      </c>
      <c r="Q192" t="str">
        <f>Orders!D192</f>
        <v>PROD-012</v>
      </c>
    </row>
    <row r="193" spans="1:17" x14ac:dyDescent="0.3">
      <c r="A193" t="str">
        <f>Orders!A193</f>
        <v>ORD-00192</v>
      </c>
      <c r="B193">
        <f>Orders!B193</f>
        <v>45573</v>
      </c>
      <c r="C193">
        <f>Orders!I193</f>
        <v>15327.04</v>
      </c>
      <c r="D193" t="str">
        <f>Orders!E193</f>
        <v>R004</v>
      </c>
      <c r="E193" t="str">
        <f>IFERROR(VLOOKUP(Orders!D193,Products!$A$2:$C$61,3,FALSE),"Unknown")</f>
        <v>Grocery</v>
      </c>
      <c r="F193" t="str">
        <f>IFERROR(VLOOKUP(Orders!C193,Customers!$A$2:$E$301,5,FALSE),"Unknown")</f>
        <v>Retail</v>
      </c>
      <c r="G193">
        <f>IFERROR(VLOOKUP(Orders!C193,Customers!$A$2:$C$301,3,FALSE),"")</f>
        <v>61</v>
      </c>
      <c r="H193" t="str">
        <f>VLOOKUP(D193,Sales_Reps!$A$2:$C$31,3,FALSE)</f>
        <v>North</v>
      </c>
      <c r="I193" s="44">
        <f t="shared" si="7"/>
        <v>45566</v>
      </c>
      <c r="L193" t="str">
        <f>Orders!K193</f>
        <v>Hyderabad</v>
      </c>
      <c r="M193">
        <f>Orders!G193</f>
        <v>2270</v>
      </c>
      <c r="N193">
        <f>IFERROR(VLOOKUP(Orders!D193,Products!$A$2:$D$61,4,FALSE),"")</f>
        <v>1412</v>
      </c>
      <c r="O193">
        <f t="shared" si="8"/>
        <v>0.37797356828193834</v>
      </c>
      <c r="Q193" t="str">
        <f>Orders!D193</f>
        <v>PROD-022</v>
      </c>
    </row>
    <row r="194" spans="1:17" x14ac:dyDescent="0.3">
      <c r="A194" t="str">
        <f>Orders!A194</f>
        <v>ORD-00193</v>
      </c>
      <c r="B194">
        <f>Orders!B194</f>
        <v>45483</v>
      </c>
      <c r="C194">
        <f>Orders!I194</f>
        <v>20221.919999999998</v>
      </c>
      <c r="D194" t="str">
        <f>Orders!E194</f>
        <v>R028</v>
      </c>
      <c r="E194" t="str">
        <f>IFERROR(VLOOKUP(Orders!D194,Products!$A$2:$C$61,3,FALSE),"Unknown")</f>
        <v>Beauty</v>
      </c>
      <c r="F194" t="str">
        <f>IFERROR(VLOOKUP(Orders!C194,Customers!$A$2:$E$301,5,FALSE),"Unknown")</f>
        <v>Retail</v>
      </c>
      <c r="G194">
        <f>IFERROR(VLOOKUP(Orders!C194,Customers!$A$2:$C$301,3,FALSE),"")</f>
        <v>56</v>
      </c>
      <c r="H194" t="str">
        <f>VLOOKUP(D194,Sales_Reps!$A$2:$C$31,3,FALSE)</f>
        <v>West</v>
      </c>
      <c r="I194" s="44">
        <f t="shared" si="7"/>
        <v>45474</v>
      </c>
      <c r="L194" t="str">
        <f>Orders!K194</f>
        <v>Pune</v>
      </c>
      <c r="M194">
        <f>Orders!G194</f>
        <v>3020</v>
      </c>
      <c r="N194">
        <f>IFERROR(VLOOKUP(Orders!D194,Products!$A$2:$D$61,4,FALSE),"")</f>
        <v>1626</v>
      </c>
      <c r="O194">
        <f t="shared" si="8"/>
        <v>0.46158940397350995</v>
      </c>
      <c r="Q194" t="str">
        <f>Orders!D194</f>
        <v>PROD-045</v>
      </c>
    </row>
    <row r="195" spans="1:17" x14ac:dyDescent="0.3">
      <c r="A195" t="str">
        <f>Orders!A195</f>
        <v>ORD-00194</v>
      </c>
      <c r="B195">
        <f>Orders!B195</f>
        <v>45617</v>
      </c>
      <c r="C195">
        <f>Orders!I195</f>
        <v>44450.7</v>
      </c>
      <c r="D195" t="str">
        <f>Orders!E195</f>
        <v>R030</v>
      </c>
      <c r="E195" t="str">
        <f>IFERROR(VLOOKUP(Orders!D195,Products!$A$2:$C$61,3,FALSE),"Unknown")</f>
        <v>Sports</v>
      </c>
      <c r="F195" t="str">
        <f>IFERROR(VLOOKUP(Orders!C195,Customers!$A$2:$E$301,5,FALSE),"Unknown")</f>
        <v>SMB</v>
      </c>
      <c r="G195">
        <f>IFERROR(VLOOKUP(Orders!C195,Customers!$A$2:$C$301,3,FALSE),"")</f>
        <v>46</v>
      </c>
      <c r="H195" t="str">
        <f>VLOOKUP(D195,Sales_Reps!$A$2:$C$31,3,FALSE)</f>
        <v>West</v>
      </c>
      <c r="I195" s="44">
        <f t="shared" ref="I195:I258" si="9">DATE(YEAR(B195),MONTH(B195),1)</f>
        <v>45597</v>
      </c>
      <c r="L195" t="str">
        <f>Orders!K195</f>
        <v>Bengaluru</v>
      </c>
      <c r="M195">
        <f>Orders!G195</f>
        <v>6940</v>
      </c>
      <c r="N195">
        <f>IFERROR(VLOOKUP(Orders!D195,Products!$A$2:$D$61,4,FALSE),"")</f>
        <v>2827</v>
      </c>
      <c r="O195">
        <f t="shared" ref="O195:O258" si="10">IF(OR(N195="",M195&lt;=0),"",(M195-N195)/M195)</f>
        <v>0.5926512968299712</v>
      </c>
      <c r="Q195" t="str">
        <f>Orders!D195</f>
        <v>PROD-056</v>
      </c>
    </row>
    <row r="196" spans="1:17" x14ac:dyDescent="0.3">
      <c r="A196" t="str">
        <f>Orders!A196</f>
        <v>ORD-00195</v>
      </c>
      <c r="B196">
        <f>Orders!B196</f>
        <v>45546</v>
      </c>
      <c r="C196">
        <f>Orders!I196</f>
        <v>9732.7999999999993</v>
      </c>
      <c r="D196" t="str">
        <f>Orders!E196</f>
        <v>R012</v>
      </c>
      <c r="E196" t="str">
        <f>IFERROR(VLOOKUP(Orders!D196,Products!$A$2:$C$61,3,FALSE),"Unknown")</f>
        <v>Beauty</v>
      </c>
      <c r="F196" t="str">
        <f>IFERROR(VLOOKUP(Orders!C196,Customers!$A$2:$E$301,5,FALSE),"Unknown")</f>
        <v>Corporate</v>
      </c>
      <c r="G196">
        <f>IFERROR(VLOOKUP(Orders!C196,Customers!$A$2:$C$301,3,FALSE),"")</f>
        <v>29</v>
      </c>
      <c r="H196" t="str">
        <f>VLOOKUP(D196,Sales_Reps!$A$2:$C$31,3,FALSE)</f>
        <v>South</v>
      </c>
      <c r="I196" s="44">
        <f t="shared" si="9"/>
        <v>45536</v>
      </c>
      <c r="L196" t="str">
        <f>Orders!K196</f>
        <v>Pune</v>
      </c>
      <c r="M196">
        <f>Orders!G196</f>
        <v>1540</v>
      </c>
      <c r="N196">
        <f>IFERROR(VLOOKUP(Orders!D196,Products!$A$2:$D$61,4,FALSE),"")</f>
        <v>647</v>
      </c>
      <c r="O196">
        <f t="shared" si="10"/>
        <v>0.57987012987012987</v>
      </c>
      <c r="Q196" t="str">
        <f>Orders!D196</f>
        <v>PROD-041</v>
      </c>
    </row>
    <row r="197" spans="1:17" x14ac:dyDescent="0.3">
      <c r="A197" t="str">
        <f>Orders!A197</f>
        <v>ORD-00196</v>
      </c>
      <c r="B197">
        <f>Orders!B197</f>
        <v>45380</v>
      </c>
      <c r="C197">
        <f>Orders!I197</f>
        <v>10728.48</v>
      </c>
      <c r="D197" t="str">
        <f>Orders!E197</f>
        <v>R029</v>
      </c>
      <c r="E197" t="str">
        <f>IFERROR(VLOOKUP(Orders!D197,Products!$A$2:$C$61,3,FALSE),"Unknown")</f>
        <v>Apparel</v>
      </c>
      <c r="F197" t="str">
        <f>IFERROR(VLOOKUP(Orders!C197,Customers!$A$2:$E$301,5,FALSE),"Unknown")</f>
        <v>Retail</v>
      </c>
      <c r="G197">
        <f>IFERROR(VLOOKUP(Orders!C197,Customers!$A$2:$C$301,3,FALSE),"")</f>
        <v>49</v>
      </c>
      <c r="H197" t="str">
        <f>VLOOKUP(D197,Sales_Reps!$A$2:$C$31,3,FALSE)</f>
        <v>West</v>
      </c>
      <c r="I197" s="44">
        <f t="shared" si="9"/>
        <v>45352</v>
      </c>
      <c r="L197" t="str">
        <f>Orders!K197</f>
        <v>Pune</v>
      </c>
      <c r="M197">
        <f>Orders!G197</f>
        <v>2480</v>
      </c>
      <c r="N197">
        <f>IFERROR(VLOOKUP(Orders!D197,Products!$A$2:$D$61,4,FALSE),"")</f>
        <v>1173</v>
      </c>
      <c r="O197">
        <f t="shared" si="10"/>
        <v>0.52701612903225803</v>
      </c>
      <c r="Q197" t="str">
        <f>Orders!D197</f>
        <v>PROD-019</v>
      </c>
    </row>
    <row r="198" spans="1:17" x14ac:dyDescent="0.3">
      <c r="A198" t="str">
        <f>Orders!A198</f>
        <v>ORD-00197</v>
      </c>
      <c r="B198">
        <f>Orders!B198</f>
        <v>45320</v>
      </c>
      <c r="C198">
        <f>Orders!I198</f>
        <v>596.6</v>
      </c>
      <c r="D198" t="str">
        <f>Orders!E198</f>
        <v>R022</v>
      </c>
      <c r="E198" t="str">
        <f>IFERROR(VLOOKUP(Orders!D198,Products!$A$2:$C$61,3,FALSE),"Unknown")</f>
        <v>Sports</v>
      </c>
      <c r="F198" t="str">
        <f>IFERROR(VLOOKUP(Orders!C198,Customers!$A$2:$E$301,5,FALSE),"Unknown")</f>
        <v>Corporate</v>
      </c>
      <c r="G198">
        <f>IFERROR(VLOOKUP(Orders!C198,Customers!$A$2:$C$301,3,FALSE),"")</f>
        <v>35</v>
      </c>
      <c r="H198" t="str">
        <f>VLOOKUP(D198,Sales_Reps!$A$2:$C$31,3,FALSE)</f>
        <v>East</v>
      </c>
      <c r="I198" s="44">
        <f t="shared" si="9"/>
        <v>45292</v>
      </c>
      <c r="L198" t="str">
        <f>Orders!K198</f>
        <v>Mumbai</v>
      </c>
      <c r="M198">
        <f>Orders!G198</f>
        <v>190</v>
      </c>
      <c r="N198">
        <f>IFERROR(VLOOKUP(Orders!D198,Products!$A$2:$D$61,4,FALSE),"")</f>
        <v>147</v>
      </c>
      <c r="O198">
        <f t="shared" si="10"/>
        <v>0.22631578947368422</v>
      </c>
      <c r="Q198" t="str">
        <f>Orders!D198</f>
        <v>PROD-060</v>
      </c>
    </row>
    <row r="199" spans="1:17" x14ac:dyDescent="0.3">
      <c r="A199" t="str">
        <f>Orders!A199</f>
        <v>ORD-00198</v>
      </c>
      <c r="B199">
        <f>Orders!B199</f>
        <v>45355</v>
      </c>
      <c r="C199">
        <f>Orders!I199</f>
        <v>2422.42</v>
      </c>
      <c r="D199" t="str">
        <f>Orders!E199</f>
        <v>R014</v>
      </c>
      <c r="E199" t="str">
        <f>IFERROR(VLOOKUP(Orders!D199,Products!$A$2:$C$61,3,FALSE),"Unknown")</f>
        <v>Sports</v>
      </c>
      <c r="F199" t="str">
        <f>IFERROR(VLOOKUP(Orders!C199,Customers!$A$2:$E$301,5,FALSE),"Unknown")</f>
        <v>SMB</v>
      </c>
      <c r="G199">
        <f>IFERROR(VLOOKUP(Orders!C199,Customers!$A$2:$C$301,3,FALSE),"")</f>
        <v>55</v>
      </c>
      <c r="H199" t="str">
        <f>VLOOKUP(D199,Sales_Reps!$A$2:$C$31,3,FALSE)</f>
        <v>South</v>
      </c>
      <c r="I199" s="44">
        <f t="shared" si="9"/>
        <v>45352</v>
      </c>
      <c r="L199" t="str">
        <f>Orders!K199</f>
        <v>Delhi</v>
      </c>
      <c r="M199">
        <f>Orders!G199</f>
        <v>2860</v>
      </c>
      <c r="N199">
        <f>IFERROR(VLOOKUP(Orders!D199,Products!$A$2:$D$61,4,FALSE),"")</f>
        <v>2028</v>
      </c>
      <c r="O199">
        <f t="shared" si="10"/>
        <v>0.29090909090909089</v>
      </c>
      <c r="Q199" t="str">
        <f>Orders!D199</f>
        <v>PROD-055</v>
      </c>
    </row>
    <row r="200" spans="1:17" x14ac:dyDescent="0.3">
      <c r="A200" t="str">
        <f>Orders!A200</f>
        <v>ORD-00199</v>
      </c>
      <c r="B200">
        <f>Orders!B200</f>
        <v>45350</v>
      </c>
      <c r="C200">
        <f>Orders!I200</f>
        <v>9025.9599999999991</v>
      </c>
      <c r="D200" t="str">
        <f>Orders!E200</f>
        <v>R015</v>
      </c>
      <c r="E200" t="str">
        <f>IFERROR(VLOOKUP(Orders!D200,Products!$A$2:$C$61,3,FALSE),"Unknown")</f>
        <v>Apparel</v>
      </c>
      <c r="F200" t="str">
        <f>IFERROR(VLOOKUP(Orders!C200,Customers!$A$2:$E$301,5,FALSE),"Unknown")</f>
        <v>Corporate</v>
      </c>
      <c r="G200">
        <f>IFERROR(VLOOKUP(Orders!C200,Customers!$A$2:$C$301,3,FALSE),"")</f>
        <v>55</v>
      </c>
      <c r="H200" t="str">
        <f>VLOOKUP(D200,Sales_Reps!$A$2:$C$31,3,FALSE)</f>
        <v>South</v>
      </c>
      <c r="I200" s="44">
        <f t="shared" si="9"/>
        <v>45323</v>
      </c>
      <c r="L200" t="str">
        <f>Orders!K200</f>
        <v>Mumbai</v>
      </c>
      <c r="M200">
        <f>Orders!G200</f>
        <v>2510</v>
      </c>
      <c r="N200">
        <f>IFERROR(VLOOKUP(Orders!D200,Products!$A$2:$D$61,4,FALSE),"")</f>
        <v>1075</v>
      </c>
      <c r="O200">
        <f t="shared" si="10"/>
        <v>0.57171314741035861</v>
      </c>
      <c r="Q200" t="str">
        <f>Orders!D200</f>
        <v>PROD-017</v>
      </c>
    </row>
    <row r="201" spans="1:17" x14ac:dyDescent="0.3">
      <c r="A201" t="str">
        <f>Orders!A201</f>
        <v>ORD-00200</v>
      </c>
      <c r="B201">
        <f>Orders!B201</f>
        <v>45587</v>
      </c>
      <c r="C201">
        <f>Orders!I201</f>
        <v>6311.76</v>
      </c>
      <c r="D201" t="str">
        <f>Orders!E201</f>
        <v>R003</v>
      </c>
      <c r="E201" t="str">
        <f>IFERROR(VLOOKUP(Orders!D201,Products!$A$2:$C$61,3,FALSE),"Unknown")</f>
        <v>Electronics</v>
      </c>
      <c r="F201" t="str">
        <f>IFERROR(VLOOKUP(Orders!C201,Customers!$A$2:$E$301,5,FALSE),"Unknown")</f>
        <v>Retail</v>
      </c>
      <c r="G201">
        <f>IFERROR(VLOOKUP(Orders!C201,Customers!$A$2:$C$301,3,FALSE),"")</f>
        <v>23</v>
      </c>
      <c r="H201" t="str">
        <f>VLOOKUP(D201,Sales_Reps!$A$2:$C$31,3,FALSE)</f>
        <v>North</v>
      </c>
      <c r="I201" s="44">
        <f t="shared" si="9"/>
        <v>45566</v>
      </c>
      <c r="L201" t="str">
        <f>Orders!K201</f>
        <v>Bengaluru</v>
      </c>
      <c r="M201">
        <f>Orders!G201</f>
        <v>3570</v>
      </c>
      <c r="N201">
        <f>IFERROR(VLOOKUP(Orders!D201,Products!$A$2:$D$61,4,FALSE),"")</f>
        <v>1665</v>
      </c>
      <c r="O201">
        <f t="shared" si="10"/>
        <v>0.53361344537815125</v>
      </c>
      <c r="Q201" t="str">
        <f>Orders!D201</f>
        <v>PROD-003</v>
      </c>
    </row>
    <row r="202" spans="1:17" x14ac:dyDescent="0.3">
      <c r="A202" t="str">
        <f>Orders!A202</f>
        <v>ORD-00201</v>
      </c>
      <c r="B202">
        <f>Orders!B202</f>
        <v>45344</v>
      </c>
      <c r="C202">
        <f>Orders!I202</f>
        <v>25457.25</v>
      </c>
      <c r="D202" t="str">
        <f>Orders!E202</f>
        <v>R016</v>
      </c>
      <c r="E202" t="str">
        <f>IFERROR(VLOOKUP(Orders!D202,Products!$A$2:$C$61,3,FALSE),"Unknown")</f>
        <v>Home</v>
      </c>
      <c r="F202" t="str">
        <f>IFERROR(VLOOKUP(Orders!C202,Customers!$A$2:$E$301,5,FALSE),"Unknown")</f>
        <v>Retail</v>
      </c>
      <c r="G202">
        <f>IFERROR(VLOOKUP(Orders!C202,Customers!$A$2:$C$301,3,FALSE),"")</f>
        <v>59</v>
      </c>
      <c r="H202" t="str">
        <f>VLOOKUP(D202,Sales_Reps!$A$2:$C$31,3,FALSE)</f>
        <v>South</v>
      </c>
      <c r="I202" s="44">
        <f t="shared" si="9"/>
        <v>45323</v>
      </c>
      <c r="L202" t="str">
        <f>Orders!K202</f>
        <v>Delhi</v>
      </c>
      <c r="M202">
        <f>Orders!G202</f>
        <v>3730</v>
      </c>
      <c r="N202">
        <f>IFERROR(VLOOKUP(Orders!D202,Products!$A$2:$D$61,4,FALSE),"")</f>
        <v>2135</v>
      </c>
      <c r="O202">
        <f t="shared" si="10"/>
        <v>0.42761394101876676</v>
      </c>
      <c r="Q202" t="str">
        <f>Orders!D202</f>
        <v>PROD-031</v>
      </c>
    </row>
    <row r="203" spans="1:17" x14ac:dyDescent="0.3">
      <c r="A203" t="str">
        <f>Orders!A203</f>
        <v>ORD-00202</v>
      </c>
      <c r="B203">
        <f>Orders!B203</f>
        <v>45492</v>
      </c>
      <c r="C203">
        <f>Orders!I203</f>
        <v>2000.22</v>
      </c>
      <c r="D203" t="str">
        <f>Orders!E203</f>
        <v>R030</v>
      </c>
      <c r="E203" t="str">
        <f>IFERROR(VLOOKUP(Orders!D203,Products!$A$2:$C$61,3,FALSE),"Unknown")</f>
        <v>Home</v>
      </c>
      <c r="F203" t="str">
        <f>IFERROR(VLOOKUP(Orders!C203,Customers!$A$2:$E$301,5,FALSE),"Unknown")</f>
        <v>Retail</v>
      </c>
      <c r="G203">
        <f>IFERROR(VLOOKUP(Orders!C203,Customers!$A$2:$C$301,3,FALSE),"")</f>
        <v>44</v>
      </c>
      <c r="H203" t="str">
        <f>VLOOKUP(D203,Sales_Reps!$A$2:$C$31,3,FALSE)</f>
        <v>West</v>
      </c>
      <c r="I203" s="44">
        <f t="shared" si="9"/>
        <v>45474</v>
      </c>
      <c r="L203" t="str">
        <f>Orders!K203</f>
        <v>Mumbai</v>
      </c>
      <c r="M203">
        <f>Orders!G203</f>
        <v>370</v>
      </c>
      <c r="N203">
        <f>IFERROR(VLOOKUP(Orders!D203,Products!$A$2:$D$61,4,FALSE),"")</f>
        <v>288</v>
      </c>
      <c r="O203">
        <f t="shared" si="10"/>
        <v>0.22162162162162163</v>
      </c>
      <c r="Q203" t="str">
        <f>Orders!D203</f>
        <v>PROD-032</v>
      </c>
    </row>
    <row r="204" spans="1:17" x14ac:dyDescent="0.3">
      <c r="A204" t="str">
        <f>Orders!A204</f>
        <v>ORD-00203</v>
      </c>
      <c r="B204">
        <f>Orders!B204</f>
        <v>45490</v>
      </c>
      <c r="C204">
        <f>Orders!I204</f>
        <v>7479.92</v>
      </c>
      <c r="D204" t="str">
        <f>Orders!E204</f>
        <v>R014</v>
      </c>
      <c r="E204" t="str">
        <f>IFERROR(VLOOKUP(Orders!D204,Products!$A$2:$C$61,3,FALSE),"Unknown")</f>
        <v>Electronics</v>
      </c>
      <c r="F204" t="str">
        <f>IFERROR(VLOOKUP(Orders!C204,Customers!$A$2:$E$301,5,FALSE),"Unknown")</f>
        <v>Retail</v>
      </c>
      <c r="G204">
        <f>IFERROR(VLOOKUP(Orders!C204,Customers!$A$2:$C$301,3,FALSE),"")</f>
        <v>45</v>
      </c>
      <c r="H204" t="str">
        <f>VLOOKUP(D204,Sales_Reps!$A$2:$C$31,3,FALSE)</f>
        <v>South</v>
      </c>
      <c r="I204" s="44">
        <f t="shared" si="9"/>
        <v>45474</v>
      </c>
      <c r="L204" t="str">
        <f>Orders!K204</f>
        <v>Delhi</v>
      </c>
      <c r="M204">
        <f>Orders!G204</f>
        <v>2660</v>
      </c>
      <c r="N204">
        <f>IFERROR(VLOOKUP(Orders!D204,Products!$A$2:$D$61,4,FALSE),"")</f>
        <v>1259</v>
      </c>
      <c r="O204">
        <f t="shared" si="10"/>
        <v>0.52669172932330832</v>
      </c>
      <c r="Q204" t="str">
        <f>Orders!D204</f>
        <v>PROD-008</v>
      </c>
    </row>
    <row r="205" spans="1:17" x14ac:dyDescent="0.3">
      <c r="A205" t="str">
        <f>Orders!A205</f>
        <v>ORD-00204</v>
      </c>
      <c r="B205">
        <f>Orders!B205</f>
        <v>45538</v>
      </c>
      <c r="C205">
        <f>Orders!I205</f>
        <v>16410.96</v>
      </c>
      <c r="D205" t="str">
        <f>Orders!E205</f>
        <v>R015</v>
      </c>
      <c r="E205" t="str">
        <f>IFERROR(VLOOKUP(Orders!D205,Products!$A$2:$C$61,3,FALSE),"Unknown")</f>
        <v>Grocery</v>
      </c>
      <c r="F205" t="str">
        <f>IFERROR(VLOOKUP(Orders!C205,Customers!$A$2:$E$301,5,FALSE),"Unknown")</f>
        <v>Retail</v>
      </c>
      <c r="G205">
        <f>IFERROR(VLOOKUP(Orders!C205,Customers!$A$2:$C$301,3,FALSE),"")</f>
        <v>23</v>
      </c>
      <c r="H205" t="str">
        <f>VLOOKUP(D205,Sales_Reps!$A$2:$C$31,3,FALSE)</f>
        <v>South</v>
      </c>
      <c r="I205" s="44">
        <f t="shared" si="9"/>
        <v>45536</v>
      </c>
      <c r="L205" t="str">
        <f>Orders!K205</f>
        <v>Bengaluru</v>
      </c>
      <c r="M205">
        <f>Orders!G205</f>
        <v>2760</v>
      </c>
      <c r="N205">
        <f>IFERROR(VLOOKUP(Orders!D205,Products!$A$2:$D$61,4,FALSE),"")</f>
        <v>1435</v>
      </c>
      <c r="O205">
        <f t="shared" si="10"/>
        <v>0.48007246376811596</v>
      </c>
      <c r="Q205" t="str">
        <f>Orders!D205</f>
        <v>PROD-021</v>
      </c>
    </row>
    <row r="206" spans="1:17" x14ac:dyDescent="0.3">
      <c r="A206" t="str">
        <f>Orders!A206</f>
        <v>ORD-00205</v>
      </c>
      <c r="B206">
        <f>Orders!B206</f>
        <v>45591</v>
      </c>
      <c r="C206">
        <f>Orders!I206</f>
        <v>16502.099999999999</v>
      </c>
      <c r="D206" t="str">
        <f>Orders!E206</f>
        <v>R009</v>
      </c>
      <c r="E206" t="str">
        <f>IFERROR(VLOOKUP(Orders!D206,Products!$A$2:$C$61,3,FALSE),"Unknown")</f>
        <v>Beauty</v>
      </c>
      <c r="F206" t="str">
        <f>IFERROR(VLOOKUP(Orders!C206,Customers!$A$2:$E$301,5,FALSE),"Unknown")</f>
        <v>SMB</v>
      </c>
      <c r="G206">
        <f>IFERROR(VLOOKUP(Orders!C206,Customers!$A$2:$C$301,3,FALSE),"")</f>
        <v>48</v>
      </c>
      <c r="H206" t="str">
        <f>VLOOKUP(D206,Sales_Reps!$A$2:$C$31,3,FALSE)</f>
        <v>South</v>
      </c>
      <c r="I206" s="44">
        <f t="shared" si="9"/>
        <v>45566</v>
      </c>
      <c r="L206" t="str">
        <f>Orders!K206</f>
        <v>Delhi</v>
      </c>
      <c r="M206">
        <f>Orders!G206</f>
        <v>3350</v>
      </c>
      <c r="N206">
        <f>IFERROR(VLOOKUP(Orders!D206,Products!$A$2:$D$61,4,FALSE),"")</f>
        <v>1728</v>
      </c>
      <c r="O206">
        <f t="shared" si="10"/>
        <v>0.48417910447761192</v>
      </c>
      <c r="Q206" t="str">
        <f>Orders!D206</f>
        <v>PROD-043</v>
      </c>
    </row>
    <row r="207" spans="1:17" x14ac:dyDescent="0.3">
      <c r="A207" t="str">
        <f>Orders!A207</f>
        <v>ORD-00206</v>
      </c>
      <c r="B207">
        <f>Orders!B207</f>
        <v>45319</v>
      </c>
      <c r="C207">
        <f>Orders!I207</f>
        <v>1905.6</v>
      </c>
      <c r="D207" t="str">
        <f>Orders!E207</f>
        <v>R017</v>
      </c>
      <c r="E207" t="str">
        <f>IFERROR(VLOOKUP(Orders!D207,Products!$A$2:$C$61,3,FALSE),"Unknown")</f>
        <v>Electronics</v>
      </c>
      <c r="F207" t="str">
        <f>IFERROR(VLOOKUP(Orders!C207,Customers!$A$2:$E$301,5,FALSE),"Unknown")</f>
        <v>SMB</v>
      </c>
      <c r="G207">
        <f>IFERROR(VLOOKUP(Orders!C207,Customers!$A$2:$C$301,3,FALSE),"")</f>
        <v>30</v>
      </c>
      <c r="H207" t="str">
        <f>VLOOKUP(D207,Sales_Reps!$A$2:$C$31,3,FALSE)</f>
        <v>East</v>
      </c>
      <c r="I207" s="44">
        <f t="shared" si="9"/>
        <v>45292</v>
      </c>
      <c r="L207" t="str">
        <f>Orders!K207</f>
        <v>Pune</v>
      </c>
      <c r="M207">
        <f>Orders!G207</f>
        <v>300</v>
      </c>
      <c r="N207">
        <f>IFERROR(VLOOKUP(Orders!D207,Products!$A$2:$D$61,4,FALSE),"")</f>
        <v>128</v>
      </c>
      <c r="O207">
        <f t="shared" si="10"/>
        <v>0.57333333333333336</v>
      </c>
      <c r="Q207" t="str">
        <f>Orders!D207</f>
        <v>PROD-005</v>
      </c>
    </row>
    <row r="208" spans="1:17" x14ac:dyDescent="0.3">
      <c r="A208" t="str">
        <f>Orders!A208</f>
        <v>ORD-00207</v>
      </c>
      <c r="B208">
        <f>Orders!B208</f>
        <v>45527</v>
      </c>
      <c r="C208">
        <f>Orders!I208</f>
        <v>11274.4</v>
      </c>
      <c r="D208" t="str">
        <f>Orders!E208</f>
        <v>R002</v>
      </c>
      <c r="E208" t="str">
        <f>IFERROR(VLOOKUP(Orders!D208,Products!$A$2:$C$61,3,FALSE),"Unknown")</f>
        <v>Apparel</v>
      </c>
      <c r="F208" t="str">
        <f>IFERROR(VLOOKUP(Orders!C208,Customers!$A$2:$E$301,5,FALSE),"Unknown")</f>
        <v>Retail</v>
      </c>
      <c r="G208">
        <f>IFERROR(VLOOKUP(Orders!C208,Customers!$A$2:$C$301,3,FALSE),"")</f>
        <v>44</v>
      </c>
      <c r="H208" t="str">
        <f>VLOOKUP(D208,Sales_Reps!$A$2:$C$31,3,FALSE)</f>
        <v>North</v>
      </c>
      <c r="I208" s="44">
        <f t="shared" si="9"/>
        <v>45505</v>
      </c>
      <c r="L208" t="str">
        <f>Orders!K208</f>
        <v>Mumbai</v>
      </c>
      <c r="M208">
        <f>Orders!G208</f>
        <v>2720</v>
      </c>
      <c r="N208">
        <f>IFERROR(VLOOKUP(Orders!D208,Products!$A$2:$D$61,4,FALSE),"")</f>
        <v>1962</v>
      </c>
      <c r="O208">
        <f t="shared" si="10"/>
        <v>0.2786764705882353</v>
      </c>
      <c r="Q208" t="str">
        <f>Orders!D208</f>
        <v>PROD-015</v>
      </c>
    </row>
    <row r="209" spans="1:17" x14ac:dyDescent="0.3">
      <c r="A209" t="str">
        <f>Orders!A209</f>
        <v>ORD-00208</v>
      </c>
      <c r="B209">
        <f>Orders!B209</f>
        <v>45572</v>
      </c>
      <c r="C209">
        <f>Orders!I209</f>
        <v>2960.55</v>
      </c>
      <c r="D209" t="str">
        <f>Orders!E209</f>
        <v>R015</v>
      </c>
      <c r="E209" t="str">
        <f>IFERROR(VLOOKUP(Orders!D209,Products!$A$2:$C$61,3,FALSE),"Unknown")</f>
        <v>Electronics</v>
      </c>
      <c r="F209" t="str">
        <f>IFERROR(VLOOKUP(Orders!C209,Customers!$A$2:$E$301,5,FALSE),"Unknown")</f>
        <v>SMB</v>
      </c>
      <c r="G209">
        <f>IFERROR(VLOOKUP(Orders!C209,Customers!$A$2:$C$301,3,FALSE),"")</f>
        <v>48</v>
      </c>
      <c r="H209" t="str">
        <f>VLOOKUP(D209,Sales_Reps!$A$2:$C$31,3,FALSE)</f>
        <v>South</v>
      </c>
      <c r="I209" s="44">
        <f t="shared" si="9"/>
        <v>45566</v>
      </c>
      <c r="L209" t="str">
        <f>Orders!K209</f>
        <v>Hyderabad</v>
      </c>
      <c r="M209">
        <f>Orders!G209</f>
        <v>3870</v>
      </c>
      <c r="N209">
        <f>IFERROR(VLOOKUP(Orders!D209,Products!$A$2:$D$61,4,FALSE),"")</f>
        <v>1559</v>
      </c>
      <c r="O209">
        <f t="shared" si="10"/>
        <v>0.59715762273901807</v>
      </c>
      <c r="Q209" t="str">
        <f>Orders!D209</f>
        <v>PROD-004</v>
      </c>
    </row>
    <row r="210" spans="1:17" x14ac:dyDescent="0.3">
      <c r="A210" t="str">
        <f>Orders!A210</f>
        <v>ORD-00209</v>
      </c>
      <c r="B210">
        <f>Orders!B210</f>
        <v>45637</v>
      </c>
      <c r="C210">
        <f>Orders!I210</f>
        <v>11111.67</v>
      </c>
      <c r="D210" t="str">
        <f>Orders!E210</f>
        <v>R012</v>
      </c>
      <c r="E210" t="str">
        <f>IFERROR(VLOOKUP(Orders!D210,Products!$A$2:$C$61,3,FALSE),"Unknown")</f>
        <v>Home</v>
      </c>
      <c r="F210" t="str">
        <f>IFERROR(VLOOKUP(Orders!C210,Customers!$A$2:$E$301,5,FALSE),"Unknown")</f>
        <v>Retail</v>
      </c>
      <c r="G210">
        <f>IFERROR(VLOOKUP(Orders!C210,Customers!$A$2:$C$301,3,FALSE),"")</f>
        <v>38</v>
      </c>
      <c r="H210" t="str">
        <f>VLOOKUP(D210,Sales_Reps!$A$2:$C$31,3,FALSE)</f>
        <v>South</v>
      </c>
      <c r="I210" s="44">
        <f t="shared" si="9"/>
        <v>45627</v>
      </c>
      <c r="L210" t="str">
        <f>Orders!K210</f>
        <v>Hyderabad</v>
      </c>
      <c r="M210">
        <f>Orders!G210</f>
        <v>3730</v>
      </c>
      <c r="N210">
        <f>IFERROR(VLOOKUP(Orders!D210,Products!$A$2:$D$61,4,FALSE),"")</f>
        <v>2135</v>
      </c>
      <c r="O210">
        <f t="shared" si="10"/>
        <v>0.42761394101876676</v>
      </c>
      <c r="Q210" t="str">
        <f>Orders!D210</f>
        <v>PROD-031</v>
      </c>
    </row>
    <row r="211" spans="1:17" x14ac:dyDescent="0.3">
      <c r="A211" t="str">
        <f>Orders!A211</f>
        <v>ORD-00210</v>
      </c>
      <c r="B211">
        <f>Orders!B211</f>
        <v>45315</v>
      </c>
      <c r="C211">
        <f>Orders!I211</f>
        <v>16229.12</v>
      </c>
      <c r="D211" t="str">
        <f>Orders!E211</f>
        <v>R012</v>
      </c>
      <c r="E211" t="str">
        <f>IFERROR(VLOOKUP(Orders!D211,Products!$A$2:$C$61,3,FALSE),"Unknown")</f>
        <v>Apparel</v>
      </c>
      <c r="F211" t="str">
        <f>IFERROR(VLOOKUP(Orders!C211,Customers!$A$2:$E$301,5,FALSE),"Unknown")</f>
        <v>Corporate</v>
      </c>
      <c r="G211">
        <f>IFERROR(VLOOKUP(Orders!C211,Customers!$A$2:$C$301,3,FALSE),"")</f>
        <v>34</v>
      </c>
      <c r="H211" t="str">
        <f>VLOOKUP(D211,Sales_Reps!$A$2:$C$31,3,FALSE)</f>
        <v>South</v>
      </c>
      <c r="I211" s="44">
        <f t="shared" si="9"/>
        <v>45292</v>
      </c>
      <c r="L211" t="str">
        <f>Orders!K211</f>
        <v>Chennai</v>
      </c>
      <c r="M211">
        <f>Orders!G211</f>
        <v>2480</v>
      </c>
      <c r="N211">
        <f>IFERROR(VLOOKUP(Orders!D211,Products!$A$2:$D$61,4,FALSE),"")</f>
        <v>1173</v>
      </c>
      <c r="O211">
        <f t="shared" si="10"/>
        <v>0.52701612903225803</v>
      </c>
      <c r="Q211" t="str">
        <f>Orders!D211</f>
        <v>PROD-019</v>
      </c>
    </row>
    <row r="212" spans="1:17" x14ac:dyDescent="0.3">
      <c r="A212" t="str">
        <f>Orders!A212</f>
        <v>ORD-00211</v>
      </c>
      <c r="B212">
        <f>Orders!B212</f>
        <v>45374</v>
      </c>
      <c r="C212">
        <f>Orders!I212</f>
        <v>1877.76</v>
      </c>
      <c r="D212" t="str">
        <f>Orders!E212</f>
        <v>R019</v>
      </c>
      <c r="E212" t="str">
        <f>IFERROR(VLOOKUP(Orders!D212,Products!$A$2:$C$61,3,FALSE),"Unknown")</f>
        <v>Sports</v>
      </c>
      <c r="F212" t="str">
        <f>IFERROR(VLOOKUP(Orders!C212,Customers!$A$2:$E$301,5,FALSE),"Unknown")</f>
        <v>Retail</v>
      </c>
      <c r="G212">
        <f>IFERROR(VLOOKUP(Orders!C212,Customers!$A$2:$C$301,3,FALSE),"")</f>
        <v>44</v>
      </c>
      <c r="H212" t="str">
        <f>VLOOKUP(D212,Sales_Reps!$A$2:$C$31,3,FALSE)</f>
        <v>East</v>
      </c>
      <c r="I212" s="44">
        <f t="shared" si="9"/>
        <v>45352</v>
      </c>
      <c r="L212" t="str">
        <f>Orders!K212</f>
        <v>Hyderabad</v>
      </c>
      <c r="M212">
        <f>Orders!G212</f>
        <v>960</v>
      </c>
      <c r="N212">
        <f>IFERROR(VLOOKUP(Orders!D212,Products!$A$2:$D$61,4,FALSE),"")</f>
        <v>705</v>
      </c>
      <c r="O212">
        <f t="shared" si="10"/>
        <v>0.265625</v>
      </c>
      <c r="Q212" t="str">
        <f>Orders!D212</f>
        <v>PROD-057</v>
      </c>
    </row>
    <row r="213" spans="1:17" x14ac:dyDescent="0.3">
      <c r="A213" t="str">
        <f>Orders!A213</f>
        <v>ORD-00212</v>
      </c>
      <c r="B213">
        <f>Orders!B213</f>
        <v>45335</v>
      </c>
      <c r="C213">
        <f>Orders!I213</f>
        <v>34394.239999999998</v>
      </c>
      <c r="D213" t="str">
        <f>Orders!E213</f>
        <v>R018</v>
      </c>
      <c r="E213" t="str">
        <f>IFERROR(VLOOKUP(Orders!D213,Products!$A$2:$C$61,3,FALSE),"Unknown")</f>
        <v>Beauty</v>
      </c>
      <c r="F213" t="str">
        <f>IFERROR(VLOOKUP(Orders!C213,Customers!$A$2:$E$301,5,FALSE),"Unknown")</f>
        <v>Retail</v>
      </c>
      <c r="G213">
        <f>IFERROR(VLOOKUP(Orders!C213,Customers!$A$2:$C$301,3,FALSE),"")</f>
        <v>25</v>
      </c>
      <c r="H213" t="str">
        <f>VLOOKUP(D213,Sales_Reps!$A$2:$C$31,3,FALSE)</f>
        <v>East</v>
      </c>
      <c r="I213" s="44">
        <f t="shared" si="9"/>
        <v>45323</v>
      </c>
      <c r="L213" t="str">
        <f>Orders!K213</f>
        <v>Hyderabad</v>
      </c>
      <c r="M213">
        <f>Orders!G213</f>
        <v>4880</v>
      </c>
      <c r="N213">
        <f>IFERROR(VLOOKUP(Orders!D213,Products!$A$2:$D$61,4,FALSE),"")</f>
        <v>2768</v>
      </c>
      <c r="O213">
        <f t="shared" si="10"/>
        <v>0.43278688524590164</v>
      </c>
      <c r="Q213" t="str">
        <f>Orders!D213</f>
        <v>PROD-046</v>
      </c>
    </row>
    <row r="214" spans="1:17" x14ac:dyDescent="0.3">
      <c r="A214" t="str">
        <f>Orders!A214</f>
        <v>ORD-00213</v>
      </c>
      <c r="B214">
        <f>Orders!B214</f>
        <v>45656</v>
      </c>
      <c r="C214">
        <f>Orders!I214</f>
        <v>7160.36</v>
      </c>
      <c r="D214" t="str">
        <f>Orders!E214</f>
        <v>R030</v>
      </c>
      <c r="E214" t="str">
        <f>IFERROR(VLOOKUP(Orders!D214,Products!$A$2:$C$61,3,FALSE),"Unknown")</f>
        <v>Apparel</v>
      </c>
      <c r="F214" t="str">
        <f>IFERROR(VLOOKUP(Orders!C214,Customers!$A$2:$E$301,5,FALSE),"Unknown")</f>
        <v>SMB</v>
      </c>
      <c r="G214">
        <f>IFERROR(VLOOKUP(Orders!C214,Customers!$A$2:$C$301,3,FALSE),"")</f>
        <v>29</v>
      </c>
      <c r="H214" t="str">
        <f>VLOOKUP(D214,Sales_Reps!$A$2:$C$31,3,FALSE)</f>
        <v>West</v>
      </c>
      <c r="I214" s="44">
        <f t="shared" si="9"/>
        <v>45627</v>
      </c>
      <c r="L214" t="str">
        <f>Orders!K214</f>
        <v>Delhi</v>
      </c>
      <c r="M214">
        <f>Orders!G214</f>
        <v>3620</v>
      </c>
      <c r="N214">
        <f>IFERROR(VLOOKUP(Orders!D214,Products!$A$2:$D$61,4,FALSE),"")</f>
        <v>2509</v>
      </c>
      <c r="O214">
        <f t="shared" si="10"/>
        <v>0.3069060773480663</v>
      </c>
      <c r="Q214" t="str">
        <f>Orders!D214</f>
        <v>PROD-014</v>
      </c>
    </row>
    <row r="215" spans="1:17" x14ac:dyDescent="0.3">
      <c r="A215" t="str">
        <f>Orders!A215</f>
        <v>ORD-00214</v>
      </c>
      <c r="B215">
        <f>Orders!B215</f>
        <v>45573</v>
      </c>
      <c r="C215">
        <f>Orders!I215</f>
        <v>26011.439999999999</v>
      </c>
      <c r="D215" t="str">
        <f>Orders!E215</f>
        <v>R008</v>
      </c>
      <c r="E215" t="str">
        <f>IFERROR(VLOOKUP(Orders!D215,Products!$A$2:$C$61,3,FALSE),"Unknown")</f>
        <v>Electronics</v>
      </c>
      <c r="F215" t="str">
        <f>IFERROR(VLOOKUP(Orders!C215,Customers!$A$2:$E$301,5,FALSE),"Unknown")</f>
        <v>Retail</v>
      </c>
      <c r="G215">
        <f>IFERROR(VLOOKUP(Orders!C215,Customers!$A$2:$C$301,3,FALSE),"")</f>
        <v>35</v>
      </c>
      <c r="H215" t="str">
        <f>VLOOKUP(D215,Sales_Reps!$A$2:$C$31,3,FALSE)</f>
        <v>North</v>
      </c>
      <c r="I215" s="44">
        <f t="shared" si="9"/>
        <v>45566</v>
      </c>
      <c r="L215" t="str">
        <f>Orders!K215</f>
        <v>Delhi</v>
      </c>
      <c r="M215">
        <f>Orders!G215</f>
        <v>3970</v>
      </c>
      <c r="N215">
        <f>IFERROR(VLOOKUP(Orders!D215,Products!$A$2:$D$61,4,FALSE),"")</f>
        <v>2865</v>
      </c>
      <c r="O215">
        <f t="shared" si="10"/>
        <v>0.27833753148614609</v>
      </c>
      <c r="Q215" t="str">
        <f>Orders!D215</f>
        <v>PROD-006</v>
      </c>
    </row>
    <row r="216" spans="1:17" x14ac:dyDescent="0.3">
      <c r="A216" t="str">
        <f>Orders!A216</f>
        <v>ORD-00215</v>
      </c>
      <c r="B216">
        <f>Orders!B216</f>
        <v>45534</v>
      </c>
      <c r="C216">
        <f>Orders!I216</f>
        <v>14600.64</v>
      </c>
      <c r="D216" t="str">
        <f>Orders!E216</f>
        <v>R026</v>
      </c>
      <c r="E216" t="str">
        <f>IFERROR(VLOOKUP(Orders!D216,Products!$A$2:$C$61,3,FALSE),"Unknown")</f>
        <v>Grocery</v>
      </c>
      <c r="F216" t="str">
        <f>IFERROR(VLOOKUP(Orders!C216,Customers!$A$2:$E$301,5,FALSE),"Unknown")</f>
        <v>Retail</v>
      </c>
      <c r="G216">
        <f>IFERROR(VLOOKUP(Orders!C216,Customers!$A$2:$C$301,3,FALSE),"")</f>
        <v>32</v>
      </c>
      <c r="H216" t="str">
        <f>VLOOKUP(D216,Sales_Reps!$A$2:$C$31,3,FALSE)</f>
        <v>West</v>
      </c>
      <c r="I216" s="44">
        <f t="shared" si="9"/>
        <v>45505</v>
      </c>
      <c r="L216" t="str">
        <f>Orders!K216</f>
        <v>Hyderabad</v>
      </c>
      <c r="M216">
        <f>Orders!G216</f>
        <v>2270</v>
      </c>
      <c r="N216">
        <f>IFERROR(VLOOKUP(Orders!D216,Products!$A$2:$D$61,4,FALSE),"")</f>
        <v>1412</v>
      </c>
      <c r="O216">
        <f t="shared" si="10"/>
        <v>0.37797356828193834</v>
      </c>
      <c r="Q216" t="str">
        <f>Orders!D216</f>
        <v>PROD-022</v>
      </c>
    </row>
    <row r="217" spans="1:17" x14ac:dyDescent="0.3">
      <c r="A217" t="str">
        <f>Orders!A217</f>
        <v>ORD-00216</v>
      </c>
      <c r="B217">
        <f>Orders!B217</f>
        <v>45639</v>
      </c>
      <c r="C217">
        <f>Orders!I217</f>
        <v>2925.72</v>
      </c>
      <c r="D217" t="str">
        <f>Orders!E217</f>
        <v>R013</v>
      </c>
      <c r="E217" t="str">
        <f>IFERROR(VLOOKUP(Orders!D217,Products!$A$2:$C$61,3,FALSE),"Unknown")</f>
        <v>Grocery</v>
      </c>
      <c r="F217" t="str">
        <f>IFERROR(VLOOKUP(Orders!C217,Customers!$A$2:$E$301,5,FALSE),"Unknown")</f>
        <v>Corporate</v>
      </c>
      <c r="G217">
        <f>IFERROR(VLOOKUP(Orders!C217,Customers!$A$2:$C$301,3,FALSE),"")</f>
        <v>55</v>
      </c>
      <c r="H217" t="str">
        <f>VLOOKUP(D217,Sales_Reps!$A$2:$C$31,3,FALSE)</f>
        <v>South</v>
      </c>
      <c r="I217" s="44">
        <f t="shared" si="9"/>
        <v>45627</v>
      </c>
      <c r="L217" t="str">
        <f>Orders!K217</f>
        <v>Delhi</v>
      </c>
      <c r="M217">
        <f>Orders!G217</f>
        <v>3780</v>
      </c>
      <c r="N217">
        <f>IFERROR(VLOOKUP(Orders!D217,Products!$A$2:$D$61,4,FALSE),"")</f>
        <v>2436</v>
      </c>
      <c r="O217">
        <f t="shared" si="10"/>
        <v>0.35555555555555557</v>
      </c>
      <c r="Q217" t="str">
        <f>Orders!D217</f>
        <v>PROD-027</v>
      </c>
    </row>
    <row r="218" spans="1:17" x14ac:dyDescent="0.3">
      <c r="A218" t="str">
        <f>Orders!A218</f>
        <v>ORD-00217</v>
      </c>
      <c r="B218">
        <f>Orders!B218</f>
        <v>45653</v>
      </c>
      <c r="C218">
        <f>Orders!I218</f>
        <v>26300.34</v>
      </c>
      <c r="D218" t="str">
        <f>Orders!E218</f>
        <v>R022</v>
      </c>
      <c r="E218" t="str">
        <f>IFERROR(VLOOKUP(Orders!D218,Products!$A$2:$C$61,3,FALSE),"Unknown")</f>
        <v>Grocery</v>
      </c>
      <c r="F218" t="str">
        <f>IFERROR(VLOOKUP(Orders!C218,Customers!$A$2:$E$301,5,FALSE),"Unknown")</f>
        <v>Corporate</v>
      </c>
      <c r="G218">
        <f>IFERROR(VLOOKUP(Orders!C218,Customers!$A$2:$C$301,3,FALSE),"")</f>
        <v>60</v>
      </c>
      <c r="H218" t="str">
        <f>VLOOKUP(D218,Sales_Reps!$A$2:$C$31,3,FALSE)</f>
        <v>East</v>
      </c>
      <c r="I218" s="44">
        <f t="shared" si="9"/>
        <v>45627</v>
      </c>
      <c r="L218" t="str">
        <f>Orders!K218</f>
        <v>Mumbai</v>
      </c>
      <c r="M218">
        <f>Orders!G218</f>
        <v>4070</v>
      </c>
      <c r="N218">
        <f>IFERROR(VLOOKUP(Orders!D218,Products!$A$2:$D$61,4,FALSE),"")</f>
        <v>2027</v>
      </c>
      <c r="O218">
        <f t="shared" si="10"/>
        <v>0.50196560196560192</v>
      </c>
      <c r="Q218" t="str">
        <f>Orders!D218</f>
        <v>PROD-026</v>
      </c>
    </row>
    <row r="219" spans="1:17" x14ac:dyDescent="0.3">
      <c r="A219" t="str">
        <f>Orders!A219</f>
        <v>ORD-00218</v>
      </c>
      <c r="B219">
        <f>Orders!B219</f>
        <v>45424</v>
      </c>
      <c r="C219">
        <f>Orders!I219</f>
        <v>20803.86</v>
      </c>
      <c r="D219" t="str">
        <f>Orders!E219</f>
        <v>R006</v>
      </c>
      <c r="E219" t="str">
        <f>IFERROR(VLOOKUP(Orders!D219,Products!$A$2:$C$61,3,FALSE),"Unknown")</f>
        <v>Electronics</v>
      </c>
      <c r="F219" t="str">
        <f>IFERROR(VLOOKUP(Orders!C219,Customers!$A$2:$E$301,5,FALSE),"Unknown")</f>
        <v>Retail</v>
      </c>
      <c r="G219">
        <f>IFERROR(VLOOKUP(Orders!C219,Customers!$A$2:$C$301,3,FALSE),"")</f>
        <v>65</v>
      </c>
      <c r="H219" t="str">
        <f>VLOOKUP(D219,Sales_Reps!$A$2:$C$31,3,FALSE)</f>
        <v>North</v>
      </c>
      <c r="I219" s="44">
        <f t="shared" si="9"/>
        <v>45413</v>
      </c>
      <c r="L219" t="str">
        <f>Orders!K219</f>
        <v>Mumbai</v>
      </c>
      <c r="M219">
        <f>Orders!G219</f>
        <v>2660</v>
      </c>
      <c r="N219">
        <f>IFERROR(VLOOKUP(Orders!D219,Products!$A$2:$D$61,4,FALSE),"")</f>
        <v>1259</v>
      </c>
      <c r="O219">
        <f t="shared" si="10"/>
        <v>0.52669172932330832</v>
      </c>
      <c r="Q219" t="str">
        <f>Orders!D219</f>
        <v>PROD-008</v>
      </c>
    </row>
    <row r="220" spans="1:17" x14ac:dyDescent="0.3">
      <c r="A220" t="str">
        <f>Orders!A220</f>
        <v>ORD-00219</v>
      </c>
      <c r="B220">
        <f>Orders!B220</f>
        <v>45400</v>
      </c>
      <c r="C220">
        <f>Orders!I220</f>
        <v>14065.8</v>
      </c>
      <c r="D220" t="str">
        <f>Orders!E220</f>
        <v>R004</v>
      </c>
      <c r="E220" t="str">
        <f>IFERROR(VLOOKUP(Orders!D220,Products!$A$2:$C$61,3,FALSE),"Unknown")</f>
        <v>Electronics</v>
      </c>
      <c r="F220" t="str">
        <f>IFERROR(VLOOKUP(Orders!C220,Customers!$A$2:$E$301,5,FALSE),"Unknown")</f>
        <v>Retail</v>
      </c>
      <c r="G220">
        <f>IFERROR(VLOOKUP(Orders!C220,Customers!$A$2:$C$301,3,FALSE),"")</f>
        <v>37</v>
      </c>
      <c r="H220" t="str">
        <f>VLOOKUP(D220,Sales_Reps!$A$2:$C$31,3,FALSE)</f>
        <v>North</v>
      </c>
      <c r="I220" s="44">
        <f t="shared" si="9"/>
        <v>45383</v>
      </c>
      <c r="L220" t="str">
        <f>Orders!K220</f>
        <v>Mumbai</v>
      </c>
      <c r="M220">
        <f>Orders!G220</f>
        <v>3570</v>
      </c>
      <c r="N220">
        <f>IFERROR(VLOOKUP(Orders!D220,Products!$A$2:$D$61,4,FALSE),"")</f>
        <v>1665</v>
      </c>
      <c r="O220">
        <f t="shared" si="10"/>
        <v>0.53361344537815125</v>
      </c>
      <c r="Q220" t="str">
        <f>Orders!D220</f>
        <v>PROD-003</v>
      </c>
    </row>
    <row r="221" spans="1:17" x14ac:dyDescent="0.3">
      <c r="A221" t="str">
        <f>Orders!A221</f>
        <v>ORD-00220</v>
      </c>
      <c r="B221">
        <f>Orders!B221</f>
        <v>45531</v>
      </c>
      <c r="C221">
        <f>Orders!I221</f>
        <v>1562.88</v>
      </c>
      <c r="D221" t="str">
        <f>Orders!E221</f>
        <v>R001</v>
      </c>
      <c r="E221" t="str">
        <f>IFERROR(VLOOKUP(Orders!D221,Products!$A$2:$C$61,3,FALSE),"Unknown")</f>
        <v>Beauty</v>
      </c>
      <c r="F221" t="str">
        <f>IFERROR(VLOOKUP(Orders!C221,Customers!$A$2:$E$301,5,FALSE),"Unknown")</f>
        <v>Retail</v>
      </c>
      <c r="G221">
        <f>IFERROR(VLOOKUP(Orders!C221,Customers!$A$2:$C$301,3,FALSE),"")</f>
        <v>65</v>
      </c>
      <c r="H221" t="str">
        <f>VLOOKUP(D221,Sales_Reps!$A$2:$C$31,3,FALSE)</f>
        <v>North</v>
      </c>
      <c r="I221" s="44">
        <f t="shared" si="9"/>
        <v>45505</v>
      </c>
      <c r="L221" t="str">
        <f>Orders!K221</f>
        <v>Mumbai</v>
      </c>
      <c r="M221">
        <f>Orders!G221</f>
        <v>960</v>
      </c>
      <c r="N221">
        <f>IFERROR(VLOOKUP(Orders!D221,Products!$A$2:$D$61,4,FALSE),"")</f>
        <v>675</v>
      </c>
      <c r="O221">
        <f t="shared" si="10"/>
        <v>0.296875</v>
      </c>
      <c r="Q221" t="str">
        <f>Orders!D221</f>
        <v>PROD-049</v>
      </c>
    </row>
    <row r="222" spans="1:17" x14ac:dyDescent="0.3">
      <c r="A222" t="str">
        <f>Orders!A222</f>
        <v>ORD-00221</v>
      </c>
      <c r="B222">
        <f>Orders!B222</f>
        <v>45546</v>
      </c>
      <c r="C222">
        <f>Orders!I222</f>
        <v>6644.7</v>
      </c>
      <c r="D222" t="str">
        <f>Orders!E222</f>
        <v>R018</v>
      </c>
      <c r="E222" t="str">
        <f>IFERROR(VLOOKUP(Orders!D222,Products!$A$2:$C$61,3,FALSE),"Unknown")</f>
        <v>Beauty</v>
      </c>
      <c r="F222" t="str">
        <f>IFERROR(VLOOKUP(Orders!C222,Customers!$A$2:$E$301,5,FALSE),"Unknown")</f>
        <v>Retail</v>
      </c>
      <c r="G222">
        <f>IFERROR(VLOOKUP(Orders!C222,Customers!$A$2:$C$301,3,FALSE),"")</f>
        <v>62</v>
      </c>
      <c r="H222" t="str">
        <f>VLOOKUP(D222,Sales_Reps!$A$2:$C$31,3,FALSE)</f>
        <v>East</v>
      </c>
      <c r="I222" s="44">
        <f t="shared" si="9"/>
        <v>45536</v>
      </c>
      <c r="L222" t="str">
        <f>Orders!K222</f>
        <v>Pune</v>
      </c>
      <c r="M222">
        <f>Orders!G222</f>
        <v>3450</v>
      </c>
      <c r="N222">
        <f>IFERROR(VLOOKUP(Orders!D222,Products!$A$2:$D$61,4,FALSE),"")</f>
        <v>2420</v>
      </c>
      <c r="O222">
        <f t="shared" si="10"/>
        <v>0.29855072463768118</v>
      </c>
      <c r="Q222" t="str">
        <f>Orders!D222</f>
        <v>PROD-047</v>
      </c>
    </row>
    <row r="223" spans="1:17" x14ac:dyDescent="0.3">
      <c r="A223" t="str">
        <f>Orders!A223</f>
        <v>ORD-00222</v>
      </c>
      <c r="B223">
        <f>Orders!B223</f>
        <v>45608</v>
      </c>
      <c r="C223">
        <f>Orders!I223</f>
        <v>30232.799999999999</v>
      </c>
      <c r="D223" t="str">
        <f>Orders!E223</f>
        <v>R007</v>
      </c>
      <c r="E223" t="str">
        <f>IFERROR(VLOOKUP(Orders!D223,Products!$A$2:$C$61,3,FALSE),"Unknown")</f>
        <v>Beauty</v>
      </c>
      <c r="F223" t="str">
        <f>IFERROR(VLOOKUP(Orders!C223,Customers!$A$2:$E$301,5,FALSE),"Unknown")</f>
        <v>SMB</v>
      </c>
      <c r="G223">
        <f>IFERROR(VLOOKUP(Orders!C223,Customers!$A$2:$C$301,3,FALSE),"")</f>
        <v>43</v>
      </c>
      <c r="H223" t="str">
        <f>VLOOKUP(D223,Sales_Reps!$A$2:$C$31,3,FALSE)</f>
        <v>North</v>
      </c>
      <c r="I223" s="44">
        <f t="shared" si="9"/>
        <v>45597</v>
      </c>
      <c r="L223" t="str">
        <f>Orders!K223</f>
        <v>Hyderabad</v>
      </c>
      <c r="M223">
        <f>Orders!G223</f>
        <v>5100</v>
      </c>
      <c r="N223">
        <f>IFERROR(VLOOKUP(Orders!D223,Products!$A$2:$D$61,4,FALSE),"")</f>
        <v>2237</v>
      </c>
      <c r="O223">
        <f t="shared" si="10"/>
        <v>0.56137254901960787</v>
      </c>
      <c r="Q223" t="str">
        <f>Orders!D223</f>
        <v>PROD-048</v>
      </c>
    </row>
    <row r="224" spans="1:17" x14ac:dyDescent="0.3">
      <c r="A224" t="str">
        <f>Orders!A224</f>
        <v>ORD-00223</v>
      </c>
      <c r="B224">
        <f>Orders!B224</f>
        <v>45614</v>
      </c>
      <c r="C224">
        <f>Orders!I224</f>
        <v>2014.2</v>
      </c>
      <c r="D224" t="str">
        <f>Orders!E224</f>
        <v>R005</v>
      </c>
      <c r="E224" t="str">
        <f>IFERROR(VLOOKUP(Orders!D224,Products!$A$2:$C$61,3,FALSE),"Unknown")</f>
        <v>Electronics</v>
      </c>
      <c r="F224" t="str">
        <f>IFERROR(VLOOKUP(Orders!C224,Customers!$A$2:$E$301,5,FALSE),"Unknown")</f>
        <v>SMB</v>
      </c>
      <c r="G224">
        <f>IFERROR(VLOOKUP(Orders!C224,Customers!$A$2:$C$301,3,FALSE),"")</f>
        <v>24</v>
      </c>
      <c r="H224" t="str">
        <f>VLOOKUP(D224,Sales_Reps!$A$2:$C$31,3,FALSE)</f>
        <v>North</v>
      </c>
      <c r="I224" s="44">
        <f t="shared" si="9"/>
        <v>45597</v>
      </c>
      <c r="L224" t="str">
        <f>Orders!K224</f>
        <v>Pune</v>
      </c>
      <c r="M224">
        <f>Orders!G224</f>
        <v>300</v>
      </c>
      <c r="N224">
        <f>IFERROR(VLOOKUP(Orders!D224,Products!$A$2:$D$61,4,FALSE),"")</f>
        <v>128</v>
      </c>
      <c r="O224">
        <f t="shared" si="10"/>
        <v>0.57333333333333336</v>
      </c>
      <c r="Q224" t="str">
        <f>Orders!D224</f>
        <v>PROD-005</v>
      </c>
    </row>
    <row r="225" spans="1:17" x14ac:dyDescent="0.3">
      <c r="A225" t="str">
        <f>Orders!A225</f>
        <v>ORD-00224</v>
      </c>
      <c r="B225">
        <f>Orders!B225</f>
        <v>45405</v>
      </c>
      <c r="C225">
        <f>Orders!I225</f>
        <v>28386.959999999999</v>
      </c>
      <c r="D225" t="str">
        <f>Orders!E225</f>
        <v>R020</v>
      </c>
      <c r="E225" t="str">
        <f>IFERROR(VLOOKUP(Orders!D225,Products!$A$2:$C$61,3,FALSE),"Unknown")</f>
        <v>Beauty</v>
      </c>
      <c r="F225" t="str">
        <f>IFERROR(VLOOKUP(Orders!C225,Customers!$A$2:$E$301,5,FALSE),"Unknown")</f>
        <v>SMB</v>
      </c>
      <c r="G225">
        <f>IFERROR(VLOOKUP(Orders!C225,Customers!$A$2:$C$301,3,FALSE),"")</f>
        <v>61</v>
      </c>
      <c r="H225" t="str">
        <f>VLOOKUP(D225,Sales_Reps!$A$2:$C$31,3,FALSE)</f>
        <v>East</v>
      </c>
      <c r="I225" s="44">
        <f t="shared" si="9"/>
        <v>45383</v>
      </c>
      <c r="L225" t="str">
        <f>Orders!K225</f>
        <v>Mumbai</v>
      </c>
      <c r="M225">
        <f>Orders!G225</f>
        <v>4880</v>
      </c>
      <c r="N225">
        <f>IFERROR(VLOOKUP(Orders!D225,Products!$A$2:$D$61,4,FALSE),"")</f>
        <v>2768</v>
      </c>
      <c r="O225">
        <f t="shared" si="10"/>
        <v>0.43278688524590164</v>
      </c>
      <c r="Q225" t="str">
        <f>Orders!D225</f>
        <v>PROD-046</v>
      </c>
    </row>
    <row r="226" spans="1:17" x14ac:dyDescent="0.3">
      <c r="A226" t="str">
        <f>Orders!A226</f>
        <v>ORD-00225</v>
      </c>
      <c r="B226">
        <f>Orders!B226</f>
        <v>45504</v>
      </c>
      <c r="C226">
        <f>Orders!I226</f>
        <v>26091</v>
      </c>
      <c r="D226" t="str">
        <f>Orders!E226</f>
        <v>R023</v>
      </c>
      <c r="E226" t="str">
        <f>IFERROR(VLOOKUP(Orders!D226,Products!$A$2:$C$61,3,FALSE),"Unknown")</f>
        <v>Home</v>
      </c>
      <c r="F226" t="str">
        <f>IFERROR(VLOOKUP(Orders!C226,Customers!$A$2:$E$301,5,FALSE),"Unknown")</f>
        <v>Corporate</v>
      </c>
      <c r="G226">
        <f>IFERROR(VLOOKUP(Orders!C226,Customers!$A$2:$C$301,3,FALSE),"")</f>
        <v>41</v>
      </c>
      <c r="H226" t="str">
        <f>VLOOKUP(D226,Sales_Reps!$A$2:$C$31,3,FALSE)</f>
        <v>East</v>
      </c>
      <c r="I226" s="44">
        <f t="shared" si="9"/>
        <v>45474</v>
      </c>
      <c r="L226" t="str">
        <f>Orders!K226</f>
        <v>Bengaluru</v>
      </c>
      <c r="M226">
        <f>Orders!G226</f>
        <v>3250</v>
      </c>
      <c r="N226">
        <f>IFERROR(VLOOKUP(Orders!D226,Products!$A$2:$D$61,4,FALSE),"")</f>
        <v>1556</v>
      </c>
      <c r="O226">
        <f t="shared" si="10"/>
        <v>0.52123076923076928</v>
      </c>
      <c r="Q226" t="str">
        <f>Orders!D226</f>
        <v>PROD-036</v>
      </c>
    </row>
    <row r="227" spans="1:17" x14ac:dyDescent="0.3">
      <c r="A227" t="str">
        <f>Orders!A227</f>
        <v>ORD-00226</v>
      </c>
      <c r="B227">
        <f>Orders!B227</f>
        <v>45298</v>
      </c>
      <c r="C227">
        <f>Orders!I227</f>
        <v>9791.1</v>
      </c>
      <c r="D227" t="str">
        <f>Orders!E227</f>
        <v>R006</v>
      </c>
      <c r="E227" t="str">
        <f>IFERROR(VLOOKUP(Orders!D227,Products!$A$2:$C$61,3,FALSE),"Unknown")</f>
        <v>Beauty</v>
      </c>
      <c r="F227" t="str">
        <f>IFERROR(VLOOKUP(Orders!C227,Customers!$A$2:$E$301,5,FALSE),"Unknown")</f>
        <v>Retail</v>
      </c>
      <c r="G227">
        <f>IFERROR(VLOOKUP(Orders!C227,Customers!$A$2:$C$301,3,FALSE),"")</f>
        <v>65</v>
      </c>
      <c r="H227" t="str">
        <f>VLOOKUP(D227,Sales_Reps!$A$2:$C$31,3,FALSE)</f>
        <v>North</v>
      </c>
      <c r="I227" s="44">
        <f t="shared" si="9"/>
        <v>45292</v>
      </c>
      <c r="L227" t="str">
        <f>Orders!K227</f>
        <v>Pune</v>
      </c>
      <c r="M227">
        <f>Orders!G227</f>
        <v>3450</v>
      </c>
      <c r="N227">
        <f>IFERROR(VLOOKUP(Orders!D227,Products!$A$2:$D$61,4,FALSE),"")</f>
        <v>2420</v>
      </c>
      <c r="O227">
        <f t="shared" si="10"/>
        <v>0.29855072463768118</v>
      </c>
      <c r="Q227" t="str">
        <f>Orders!D227</f>
        <v>PROD-047</v>
      </c>
    </row>
    <row r="228" spans="1:17" x14ac:dyDescent="0.3">
      <c r="A228" t="str">
        <f>Orders!A228</f>
        <v>ORD-00227</v>
      </c>
      <c r="B228">
        <f>Orders!B228</f>
        <v>45346</v>
      </c>
      <c r="C228">
        <f>Orders!I228</f>
        <v>24928</v>
      </c>
      <c r="D228" t="str">
        <f>Orders!E228</f>
        <v>R021</v>
      </c>
      <c r="E228" t="str">
        <f>IFERROR(VLOOKUP(Orders!D228,Products!$A$2:$C$61,3,FALSE),"Unknown")</f>
        <v>Beauty</v>
      </c>
      <c r="F228" t="str">
        <f>IFERROR(VLOOKUP(Orders!C228,Customers!$A$2:$E$301,5,FALSE),"Unknown")</f>
        <v>Corporate</v>
      </c>
      <c r="G228">
        <f>IFERROR(VLOOKUP(Orders!C228,Customers!$A$2:$C$301,3,FALSE),"")</f>
        <v>47</v>
      </c>
      <c r="H228" t="str">
        <f>VLOOKUP(D228,Sales_Reps!$A$2:$C$31,3,FALSE)</f>
        <v>East</v>
      </c>
      <c r="I228" s="44">
        <f t="shared" si="9"/>
        <v>45323</v>
      </c>
      <c r="L228" t="str">
        <f>Orders!K228</f>
        <v>Delhi</v>
      </c>
      <c r="M228">
        <f>Orders!G228</f>
        <v>6080</v>
      </c>
      <c r="N228">
        <f>IFERROR(VLOOKUP(Orders!D228,Products!$A$2:$D$61,4,FALSE),"")</f>
        <v>2617</v>
      </c>
      <c r="O228">
        <f t="shared" si="10"/>
        <v>0.56957236842105263</v>
      </c>
      <c r="Q228" t="str">
        <f>Orders!D228</f>
        <v>PROD-050</v>
      </c>
    </row>
    <row r="229" spans="1:17" x14ac:dyDescent="0.3">
      <c r="A229" t="str">
        <f>Orders!A229</f>
        <v>ORD-00228</v>
      </c>
      <c r="B229">
        <f>Orders!B229</f>
        <v>45487</v>
      </c>
      <c r="C229">
        <f>Orders!I229</f>
        <v>38644.480000000003</v>
      </c>
      <c r="D229" t="str">
        <f>Orders!E229</f>
        <v>R022</v>
      </c>
      <c r="E229" t="str">
        <f>IFERROR(VLOOKUP(Orders!D229,Products!$A$2:$C$61,3,FALSE),"Unknown")</f>
        <v>Beauty</v>
      </c>
      <c r="F229" t="str">
        <f>IFERROR(VLOOKUP(Orders!C229,Customers!$A$2:$E$301,5,FALSE),"Unknown")</f>
        <v>SMB</v>
      </c>
      <c r="G229">
        <f>IFERROR(VLOOKUP(Orders!C229,Customers!$A$2:$C$301,3,FALSE),"")</f>
        <v>30</v>
      </c>
      <c r="H229" t="str">
        <f>VLOOKUP(D229,Sales_Reps!$A$2:$C$31,3,FALSE)</f>
        <v>East</v>
      </c>
      <c r="I229" s="44">
        <f t="shared" si="9"/>
        <v>45474</v>
      </c>
      <c r="L229" t="str">
        <f>Orders!K229</f>
        <v>Pune</v>
      </c>
      <c r="M229">
        <f>Orders!G229</f>
        <v>6080</v>
      </c>
      <c r="N229">
        <f>IFERROR(VLOOKUP(Orders!D229,Products!$A$2:$D$61,4,FALSE),"")</f>
        <v>2617</v>
      </c>
      <c r="O229">
        <f t="shared" si="10"/>
        <v>0.56957236842105263</v>
      </c>
      <c r="Q229" t="str">
        <f>Orders!D229</f>
        <v>PROD-050</v>
      </c>
    </row>
    <row r="230" spans="1:17" x14ac:dyDescent="0.3">
      <c r="A230" t="str">
        <f>Orders!A230</f>
        <v>ORD-00229</v>
      </c>
      <c r="B230">
        <f>Orders!B230</f>
        <v>45585</v>
      </c>
      <c r="C230">
        <f>Orders!I230</f>
        <v>11304.6</v>
      </c>
      <c r="D230" t="str">
        <f>Orders!E230</f>
        <v>R014</v>
      </c>
      <c r="E230" t="str">
        <f>IFERROR(VLOOKUP(Orders!D230,Products!$A$2:$C$61,3,FALSE),"Unknown")</f>
        <v>Grocery</v>
      </c>
      <c r="F230" t="str">
        <f>IFERROR(VLOOKUP(Orders!C230,Customers!$A$2:$E$301,5,FALSE),"Unknown")</f>
        <v>Retail</v>
      </c>
      <c r="G230">
        <f>IFERROR(VLOOKUP(Orders!C230,Customers!$A$2:$C$301,3,FALSE),"")</f>
        <v>38</v>
      </c>
      <c r="H230" t="str">
        <f>VLOOKUP(D230,Sales_Reps!$A$2:$C$31,3,FALSE)</f>
        <v>South</v>
      </c>
      <c r="I230" s="44">
        <f t="shared" si="9"/>
        <v>45566</v>
      </c>
      <c r="L230" t="str">
        <f>Orders!K230</f>
        <v>Hyderabad</v>
      </c>
      <c r="M230">
        <f>Orders!G230</f>
        <v>2270</v>
      </c>
      <c r="N230">
        <f>IFERROR(VLOOKUP(Orders!D230,Products!$A$2:$D$61,4,FALSE),"")</f>
        <v>1203</v>
      </c>
      <c r="O230">
        <f t="shared" si="10"/>
        <v>0.47004405286343615</v>
      </c>
      <c r="Q230" t="str">
        <f>Orders!D230</f>
        <v>PROD-024</v>
      </c>
    </row>
    <row r="231" spans="1:17" x14ac:dyDescent="0.3">
      <c r="A231" t="str">
        <f>Orders!A231</f>
        <v>ORD-00230</v>
      </c>
      <c r="B231">
        <f>Orders!B231</f>
        <v>45373</v>
      </c>
      <c r="C231">
        <f>Orders!I231</f>
        <v>36844</v>
      </c>
      <c r="D231" t="str">
        <f>Orders!E231</f>
        <v>R016</v>
      </c>
      <c r="E231" t="str">
        <f>IFERROR(VLOOKUP(Orders!D231,Products!$A$2:$C$61,3,FALSE),"Unknown")</f>
        <v>Beauty</v>
      </c>
      <c r="F231" t="str">
        <f>IFERROR(VLOOKUP(Orders!C231,Customers!$A$2:$E$301,5,FALSE),"Unknown")</f>
        <v>Retail</v>
      </c>
      <c r="G231">
        <f>IFERROR(VLOOKUP(Orders!C231,Customers!$A$2:$C$301,3,FALSE),"")</f>
        <v>42</v>
      </c>
      <c r="H231" t="str">
        <f>VLOOKUP(D231,Sales_Reps!$A$2:$C$31,3,FALSE)</f>
        <v>South</v>
      </c>
      <c r="I231" s="44">
        <f t="shared" si="9"/>
        <v>45352</v>
      </c>
      <c r="L231" t="str">
        <f>Orders!K231</f>
        <v>Mumbai</v>
      </c>
      <c r="M231">
        <f>Orders!G231</f>
        <v>4880</v>
      </c>
      <c r="N231">
        <f>IFERROR(VLOOKUP(Orders!D231,Products!$A$2:$D$61,4,FALSE),"")</f>
        <v>2768</v>
      </c>
      <c r="O231">
        <f t="shared" si="10"/>
        <v>0.43278688524590164</v>
      </c>
      <c r="Q231" t="str">
        <f>Orders!D231</f>
        <v>PROD-046</v>
      </c>
    </row>
    <row r="232" spans="1:17" x14ac:dyDescent="0.3">
      <c r="A232" t="str">
        <f>Orders!A232</f>
        <v>ORD-00231</v>
      </c>
      <c r="B232">
        <f>Orders!B232</f>
        <v>45293</v>
      </c>
      <c r="C232">
        <f>Orders!I232</f>
        <v>4650.5200000000004</v>
      </c>
      <c r="D232" t="str">
        <f>Orders!E232</f>
        <v>R002</v>
      </c>
      <c r="E232" t="str">
        <f>IFERROR(VLOOKUP(Orders!D232,Products!$A$2:$C$61,3,FALSE),"Unknown")</f>
        <v>Grocery</v>
      </c>
      <c r="F232" t="str">
        <f>IFERROR(VLOOKUP(Orders!C232,Customers!$A$2:$E$301,5,FALSE),"Unknown")</f>
        <v>Corporate</v>
      </c>
      <c r="G232">
        <f>IFERROR(VLOOKUP(Orders!C232,Customers!$A$2:$C$301,3,FALSE),"")</f>
        <v>55</v>
      </c>
      <c r="H232" t="str">
        <f>VLOOKUP(D232,Sales_Reps!$A$2:$C$31,3,FALSE)</f>
        <v>North</v>
      </c>
      <c r="I232" s="44">
        <f t="shared" si="9"/>
        <v>45292</v>
      </c>
      <c r="L232" t="str">
        <f>Orders!K232</f>
        <v>Chennai</v>
      </c>
      <c r="M232">
        <f>Orders!G232</f>
        <v>2380</v>
      </c>
      <c r="N232">
        <f>IFERROR(VLOOKUP(Orders!D232,Products!$A$2:$D$61,4,FALSE),"")</f>
        <v>1182</v>
      </c>
      <c r="O232">
        <f t="shared" si="10"/>
        <v>0.50336134453781511</v>
      </c>
      <c r="Q232" t="str">
        <f>Orders!D232</f>
        <v>PROD-023</v>
      </c>
    </row>
    <row r="233" spans="1:17" x14ac:dyDescent="0.3">
      <c r="A233" t="str">
        <f>Orders!A233</f>
        <v>ORD-00232</v>
      </c>
      <c r="B233">
        <f>Orders!B233</f>
        <v>45498</v>
      </c>
      <c r="C233">
        <f>Orders!I233</f>
        <v>708.01</v>
      </c>
      <c r="D233" t="str">
        <f>Orders!E233</f>
        <v>R025</v>
      </c>
      <c r="E233" t="str">
        <f>IFERROR(VLOOKUP(Orders!D233,Products!$A$2:$C$61,3,FALSE),"Unknown")</f>
        <v>Sports</v>
      </c>
      <c r="F233" t="str">
        <f>IFERROR(VLOOKUP(Orders!C233,Customers!$A$2:$E$301,5,FALSE),"Unknown")</f>
        <v>Retail</v>
      </c>
      <c r="G233">
        <f>IFERROR(VLOOKUP(Orders!C233,Customers!$A$2:$C$301,3,FALSE),"")</f>
        <v>38</v>
      </c>
      <c r="H233" t="str">
        <f>VLOOKUP(D233,Sales_Reps!$A$2:$C$31,3,FALSE)</f>
        <v>West</v>
      </c>
      <c r="I233" s="44">
        <f t="shared" si="9"/>
        <v>45474</v>
      </c>
      <c r="L233" t="str">
        <f>Orders!K233</f>
        <v>Chennai</v>
      </c>
      <c r="M233">
        <f>Orders!G233</f>
        <v>1010</v>
      </c>
      <c r="N233">
        <f>IFERROR(VLOOKUP(Orders!D233,Products!$A$2:$D$61,4,FALSE),"")</f>
        <v>516</v>
      </c>
      <c r="O233">
        <f t="shared" si="10"/>
        <v>0.4891089108910891</v>
      </c>
      <c r="Q233" t="str">
        <f>Orders!D233</f>
        <v>PROD-054</v>
      </c>
    </row>
    <row r="234" spans="1:17" x14ac:dyDescent="0.3">
      <c r="A234" t="str">
        <f>Orders!A234</f>
        <v>ORD-00233</v>
      </c>
      <c r="B234">
        <f>Orders!B234</f>
        <v>45643</v>
      </c>
      <c r="C234">
        <f>Orders!I234</f>
        <v>36046.36</v>
      </c>
      <c r="D234" t="str">
        <f>Orders!E234</f>
        <v>R029</v>
      </c>
      <c r="E234" t="str">
        <f>IFERROR(VLOOKUP(Orders!D234,Products!$A$2:$C$61,3,FALSE),"Unknown")</f>
        <v>Sports</v>
      </c>
      <c r="F234" t="str">
        <f>IFERROR(VLOOKUP(Orders!C234,Customers!$A$2:$E$301,5,FALSE),"Unknown")</f>
        <v>Retail</v>
      </c>
      <c r="G234">
        <f>IFERROR(VLOOKUP(Orders!C234,Customers!$A$2:$C$301,3,FALSE),"")</f>
        <v>46</v>
      </c>
      <c r="H234" t="str">
        <f>VLOOKUP(D234,Sales_Reps!$A$2:$C$31,3,FALSE)</f>
        <v>West</v>
      </c>
      <c r="I234" s="44">
        <f t="shared" si="9"/>
        <v>45627</v>
      </c>
      <c r="L234" t="str">
        <f>Orders!K234</f>
        <v>Hyderabad</v>
      </c>
      <c r="M234">
        <f>Orders!G234</f>
        <v>6940</v>
      </c>
      <c r="N234">
        <f>IFERROR(VLOOKUP(Orders!D234,Products!$A$2:$D$61,4,FALSE),"")</f>
        <v>2827</v>
      </c>
      <c r="O234">
        <f t="shared" si="10"/>
        <v>0.5926512968299712</v>
      </c>
      <c r="Q234" t="str">
        <f>Orders!D234</f>
        <v>PROD-056</v>
      </c>
    </row>
    <row r="235" spans="1:17" x14ac:dyDescent="0.3">
      <c r="A235" t="str">
        <f>Orders!A235</f>
        <v>ORD-00234</v>
      </c>
      <c r="B235">
        <f>Orders!B235</f>
        <v>45542</v>
      </c>
      <c r="C235">
        <f>Orders!I235</f>
        <v>10181.34</v>
      </c>
      <c r="D235" t="str">
        <f>Orders!E235</f>
        <v>R024</v>
      </c>
      <c r="E235" t="str">
        <f>IFERROR(VLOOKUP(Orders!D235,Products!$A$2:$C$61,3,FALSE),"Unknown")</f>
        <v>Beauty</v>
      </c>
      <c r="F235" t="str">
        <f>IFERROR(VLOOKUP(Orders!C235,Customers!$A$2:$E$301,5,FALSE),"Unknown")</f>
        <v>Retail</v>
      </c>
      <c r="G235">
        <f>IFERROR(VLOOKUP(Orders!C235,Customers!$A$2:$C$301,3,FALSE),"")</f>
        <v>65</v>
      </c>
      <c r="H235" t="str">
        <f>VLOOKUP(D235,Sales_Reps!$A$2:$C$31,3,FALSE)</f>
        <v>West</v>
      </c>
      <c r="I235" s="44">
        <f t="shared" si="9"/>
        <v>45536</v>
      </c>
      <c r="L235" t="str">
        <f>Orders!K235</f>
        <v>Mumbai</v>
      </c>
      <c r="M235">
        <f>Orders!G235</f>
        <v>2290</v>
      </c>
      <c r="N235">
        <f>IFERROR(VLOOKUP(Orders!D235,Products!$A$2:$D$61,4,FALSE),"")</f>
        <v>1219</v>
      </c>
      <c r="O235">
        <f t="shared" si="10"/>
        <v>0.46768558951965067</v>
      </c>
      <c r="Q235" t="str">
        <f>Orders!D235</f>
        <v>PROD-042</v>
      </c>
    </row>
    <row r="236" spans="1:17" x14ac:dyDescent="0.3">
      <c r="A236" t="str">
        <f>Orders!A236</f>
        <v>ORD-00235</v>
      </c>
      <c r="B236">
        <f>Orders!B236</f>
        <v>45508</v>
      </c>
      <c r="C236">
        <f>Orders!I236</f>
        <v>711.14</v>
      </c>
      <c r="D236" t="str">
        <f>Orders!E236</f>
        <v>R014</v>
      </c>
      <c r="E236" t="str">
        <f>IFERROR(VLOOKUP(Orders!D236,Products!$A$2:$C$61,3,FALSE),"Unknown")</f>
        <v>Home</v>
      </c>
      <c r="F236" t="str">
        <f>IFERROR(VLOOKUP(Orders!C236,Customers!$A$2:$E$301,5,FALSE),"Unknown")</f>
        <v>SMB</v>
      </c>
      <c r="G236">
        <f>IFERROR(VLOOKUP(Orders!C236,Customers!$A$2:$C$301,3,FALSE),"")</f>
        <v>27</v>
      </c>
      <c r="H236" t="str">
        <f>VLOOKUP(D236,Sales_Reps!$A$2:$C$31,3,FALSE)</f>
        <v>South</v>
      </c>
      <c r="I236" s="44">
        <f t="shared" si="9"/>
        <v>45505</v>
      </c>
      <c r="L236" t="str">
        <f>Orders!K236</f>
        <v>Delhi</v>
      </c>
      <c r="M236">
        <f>Orders!G236</f>
        <v>370</v>
      </c>
      <c r="N236">
        <f>IFERROR(VLOOKUP(Orders!D236,Products!$A$2:$D$61,4,FALSE),"")</f>
        <v>288</v>
      </c>
      <c r="O236">
        <f t="shared" si="10"/>
        <v>0.22162162162162163</v>
      </c>
      <c r="Q236" t="str">
        <f>Orders!D236</f>
        <v>PROD-032</v>
      </c>
    </row>
    <row r="237" spans="1:17" x14ac:dyDescent="0.3">
      <c r="A237" t="str">
        <f>Orders!A237</f>
        <v>ORD-00236</v>
      </c>
      <c r="B237">
        <f>Orders!B237</f>
        <v>45353</v>
      </c>
      <c r="C237">
        <f>Orders!I237</f>
        <v>1695.69</v>
      </c>
      <c r="D237" t="str">
        <f>Orders!E237</f>
        <v>R020</v>
      </c>
      <c r="E237" t="str">
        <f>IFERROR(VLOOKUP(Orders!D237,Products!$A$2:$C$61,3,FALSE),"Unknown")</f>
        <v>Grocery</v>
      </c>
      <c r="F237" t="str">
        <f>IFERROR(VLOOKUP(Orders!C237,Customers!$A$2:$E$301,5,FALSE),"Unknown")</f>
        <v>Corporate</v>
      </c>
      <c r="G237">
        <f>IFERROR(VLOOKUP(Orders!C237,Customers!$A$2:$C$301,3,FALSE),"")</f>
        <v>40</v>
      </c>
      <c r="H237" t="str">
        <f>VLOOKUP(D237,Sales_Reps!$A$2:$C$31,3,FALSE)</f>
        <v>East</v>
      </c>
      <c r="I237" s="44">
        <f t="shared" si="9"/>
        <v>45352</v>
      </c>
      <c r="L237" t="str">
        <f>Orders!K237</f>
        <v>Pune</v>
      </c>
      <c r="M237">
        <f>Orders!G237</f>
        <v>2270</v>
      </c>
      <c r="N237">
        <f>IFERROR(VLOOKUP(Orders!D237,Products!$A$2:$D$61,4,FALSE),"")</f>
        <v>1412</v>
      </c>
      <c r="O237">
        <f t="shared" si="10"/>
        <v>0.37797356828193834</v>
      </c>
      <c r="Q237" t="str">
        <f>Orders!D237</f>
        <v>PROD-022</v>
      </c>
    </row>
    <row r="238" spans="1:17" x14ac:dyDescent="0.3">
      <c r="A238" t="str">
        <f>Orders!A238</f>
        <v>ORD-00237</v>
      </c>
      <c r="B238">
        <f>Orders!B238</f>
        <v>45344</v>
      </c>
      <c r="C238">
        <f>Orders!I238</f>
        <v>17315.84</v>
      </c>
      <c r="D238" t="str">
        <f>Orders!E238</f>
        <v>R002</v>
      </c>
      <c r="E238" t="str">
        <f>IFERROR(VLOOKUP(Orders!D238,Products!$A$2:$C$61,3,FALSE),"Unknown")</f>
        <v>Beauty</v>
      </c>
      <c r="F238" t="str">
        <f>IFERROR(VLOOKUP(Orders!C238,Customers!$A$2:$E$301,5,FALSE),"Unknown")</f>
        <v>SMB</v>
      </c>
      <c r="G238">
        <f>IFERROR(VLOOKUP(Orders!C238,Customers!$A$2:$C$301,3,FALSE),"")</f>
        <v>59</v>
      </c>
      <c r="H238" t="str">
        <f>VLOOKUP(D238,Sales_Reps!$A$2:$C$31,3,FALSE)</f>
        <v>North</v>
      </c>
      <c r="I238" s="44">
        <f t="shared" si="9"/>
        <v>45323</v>
      </c>
      <c r="L238" t="str">
        <f>Orders!K238</f>
        <v>Chennai</v>
      </c>
      <c r="M238">
        <f>Orders!G238</f>
        <v>6080</v>
      </c>
      <c r="N238">
        <f>IFERROR(VLOOKUP(Orders!D238,Products!$A$2:$D$61,4,FALSE),"")</f>
        <v>2617</v>
      </c>
      <c r="O238">
        <f t="shared" si="10"/>
        <v>0.56957236842105263</v>
      </c>
      <c r="Q238" t="str">
        <f>Orders!D238</f>
        <v>PROD-050</v>
      </c>
    </row>
    <row r="239" spans="1:17" x14ac:dyDescent="0.3">
      <c r="A239" t="str">
        <f>Orders!A239</f>
        <v>ORD-00238</v>
      </c>
      <c r="B239">
        <f>Orders!B239</f>
        <v>45389</v>
      </c>
      <c r="C239">
        <f>Orders!I239</f>
        <v>8122.92</v>
      </c>
      <c r="D239" t="str">
        <f>Orders!E239</f>
        <v>R018</v>
      </c>
      <c r="E239" t="str">
        <f>IFERROR(VLOOKUP(Orders!D239,Products!$A$2:$C$61,3,FALSE),"Unknown")</f>
        <v>Electronics</v>
      </c>
      <c r="F239" t="str">
        <f>IFERROR(VLOOKUP(Orders!C239,Customers!$A$2:$E$301,5,FALSE),"Unknown")</f>
        <v>Retail</v>
      </c>
      <c r="G239">
        <f>IFERROR(VLOOKUP(Orders!C239,Customers!$A$2:$C$301,3,FALSE),"")</f>
        <v>34</v>
      </c>
      <c r="H239" t="str">
        <f>VLOOKUP(D239,Sales_Reps!$A$2:$C$31,3,FALSE)</f>
        <v>East</v>
      </c>
      <c r="I239" s="44">
        <f t="shared" si="9"/>
        <v>45383</v>
      </c>
      <c r="L239" t="str">
        <f>Orders!K239</f>
        <v>Bengaluru</v>
      </c>
      <c r="M239">
        <f>Orders!G239</f>
        <v>5330</v>
      </c>
      <c r="N239">
        <f>IFERROR(VLOOKUP(Orders!D239,Products!$A$2:$D$61,4,FALSE),"")</f>
        <v>2405</v>
      </c>
      <c r="O239">
        <f t="shared" si="10"/>
        <v>0.54878048780487809</v>
      </c>
      <c r="Q239" t="str">
        <f>Orders!D239</f>
        <v>PROD-001</v>
      </c>
    </row>
    <row r="240" spans="1:17" x14ac:dyDescent="0.3">
      <c r="A240" t="str">
        <f>Orders!A240</f>
        <v>ORD-00239</v>
      </c>
      <c r="B240">
        <f>Orders!B240</f>
        <v>45344</v>
      </c>
      <c r="C240">
        <f>Orders!I240</f>
        <v>7789.98</v>
      </c>
      <c r="D240" t="str">
        <f>Orders!E240</f>
        <v>R024</v>
      </c>
      <c r="E240" t="str">
        <f>IFERROR(VLOOKUP(Orders!D240,Products!$A$2:$C$61,3,FALSE),"Unknown")</f>
        <v>Grocery</v>
      </c>
      <c r="F240" t="str">
        <f>IFERROR(VLOOKUP(Orders!C240,Customers!$A$2:$E$301,5,FALSE),"Unknown")</f>
        <v>Retail</v>
      </c>
      <c r="G240">
        <f>IFERROR(VLOOKUP(Orders!C240,Customers!$A$2:$C$301,3,FALSE),"")</f>
        <v>26</v>
      </c>
      <c r="H240" t="str">
        <f>VLOOKUP(D240,Sales_Reps!$A$2:$C$31,3,FALSE)</f>
        <v>West</v>
      </c>
      <c r="I240" s="44">
        <f t="shared" si="9"/>
        <v>45323</v>
      </c>
      <c r="L240" t="str">
        <f>Orders!K240</f>
        <v>Chennai</v>
      </c>
      <c r="M240">
        <f>Orders!G240</f>
        <v>4070</v>
      </c>
      <c r="N240">
        <f>IFERROR(VLOOKUP(Orders!D240,Products!$A$2:$D$61,4,FALSE),"")</f>
        <v>2027</v>
      </c>
      <c r="O240">
        <f t="shared" si="10"/>
        <v>0.50196560196560192</v>
      </c>
      <c r="Q240" t="str">
        <f>Orders!D240</f>
        <v>PROD-026</v>
      </c>
    </row>
    <row r="241" spans="1:17" x14ac:dyDescent="0.3">
      <c r="A241" t="str">
        <f>Orders!A241</f>
        <v>ORD-00240</v>
      </c>
      <c r="B241">
        <f>Orders!B241</f>
        <v>45480</v>
      </c>
      <c r="C241">
        <f>Orders!I241</f>
        <v>1486.8</v>
      </c>
      <c r="D241" t="str">
        <f>Orders!E241</f>
        <v>R004</v>
      </c>
      <c r="E241" t="str">
        <f>IFERROR(VLOOKUP(Orders!D241,Products!$A$2:$C$61,3,FALSE),"Unknown")</f>
        <v>Electronics</v>
      </c>
      <c r="F241" t="str">
        <f>IFERROR(VLOOKUP(Orders!C241,Customers!$A$2:$E$301,5,FALSE),"Unknown")</f>
        <v>Corporate</v>
      </c>
      <c r="G241">
        <f>IFERROR(VLOOKUP(Orders!C241,Customers!$A$2:$C$301,3,FALSE),"")</f>
        <v>37</v>
      </c>
      <c r="H241" t="str">
        <f>VLOOKUP(D241,Sales_Reps!$A$2:$C$31,3,FALSE)</f>
        <v>North</v>
      </c>
      <c r="I241" s="44">
        <f t="shared" si="9"/>
        <v>45474</v>
      </c>
      <c r="L241" t="str">
        <f>Orders!K241</f>
        <v>Pune</v>
      </c>
      <c r="M241">
        <f>Orders!G241</f>
        <v>300</v>
      </c>
      <c r="N241">
        <f>IFERROR(VLOOKUP(Orders!D241,Products!$A$2:$D$61,4,FALSE),"")</f>
        <v>128</v>
      </c>
      <c r="O241">
        <f t="shared" si="10"/>
        <v>0.57333333333333336</v>
      </c>
      <c r="Q241" t="str">
        <f>Orders!D241</f>
        <v>PROD-005</v>
      </c>
    </row>
    <row r="242" spans="1:17" x14ac:dyDescent="0.3">
      <c r="A242" t="str">
        <f>Orders!A242</f>
        <v>ORD-00241</v>
      </c>
      <c r="B242">
        <f>Orders!B242</f>
        <v>45488</v>
      </c>
      <c r="C242">
        <f>Orders!I242</f>
        <v>4026</v>
      </c>
      <c r="D242" t="str">
        <f>Orders!E242</f>
        <v>R014</v>
      </c>
      <c r="E242" t="str">
        <f>IFERROR(VLOOKUP(Orders!D242,Products!$A$2:$C$61,3,FALSE),"Unknown")</f>
        <v>Beauty</v>
      </c>
      <c r="F242" t="str">
        <f>IFERROR(VLOOKUP(Orders!C242,Customers!$A$2:$E$301,5,FALSE),"Unknown")</f>
        <v>Retail</v>
      </c>
      <c r="G242">
        <f>IFERROR(VLOOKUP(Orders!C242,Customers!$A$2:$C$301,3,FALSE),"")</f>
        <v>56</v>
      </c>
      <c r="H242" t="str">
        <f>VLOOKUP(D242,Sales_Reps!$A$2:$C$31,3,FALSE)</f>
        <v>South</v>
      </c>
      <c r="I242" s="44">
        <f t="shared" si="9"/>
        <v>45474</v>
      </c>
      <c r="L242" t="str">
        <f>Orders!K242</f>
        <v>Pune</v>
      </c>
      <c r="M242">
        <f>Orders!G242</f>
        <v>4880</v>
      </c>
      <c r="N242">
        <f>IFERROR(VLOOKUP(Orders!D242,Products!$A$2:$D$61,4,FALSE),"")</f>
        <v>2768</v>
      </c>
      <c r="O242">
        <f t="shared" si="10"/>
        <v>0.43278688524590164</v>
      </c>
      <c r="Q242" t="str">
        <f>Orders!D242</f>
        <v>PROD-046</v>
      </c>
    </row>
    <row r="243" spans="1:17" x14ac:dyDescent="0.3">
      <c r="A243" t="str">
        <f>Orders!A243</f>
        <v>ORD-00242</v>
      </c>
      <c r="B243">
        <f>Orders!B243</f>
        <v>45326</v>
      </c>
      <c r="C243">
        <f>Orders!I243</f>
        <v>6855.42</v>
      </c>
      <c r="D243" t="str">
        <f>Orders!E243</f>
        <v>R027</v>
      </c>
      <c r="E243" t="str">
        <f>IFERROR(VLOOKUP(Orders!D243,Products!$A$2:$C$61,3,FALSE),"Unknown")</f>
        <v>Sports</v>
      </c>
      <c r="F243" t="str">
        <f>IFERROR(VLOOKUP(Orders!C243,Customers!$A$2:$E$301,5,FALSE),"Unknown")</f>
        <v>Corporate</v>
      </c>
      <c r="G243">
        <f>IFERROR(VLOOKUP(Orders!C243,Customers!$A$2:$C$301,3,FALSE),"")</f>
        <v>30</v>
      </c>
      <c r="H243" t="str">
        <f>VLOOKUP(D243,Sales_Reps!$A$2:$C$31,3,FALSE)</f>
        <v>West</v>
      </c>
      <c r="I243" s="44">
        <f t="shared" si="9"/>
        <v>45323</v>
      </c>
      <c r="L243" t="str">
        <f>Orders!K243</f>
        <v>Chennai</v>
      </c>
      <c r="M243">
        <f>Orders!G243</f>
        <v>2860</v>
      </c>
      <c r="N243">
        <f>IFERROR(VLOOKUP(Orders!D243,Products!$A$2:$D$61,4,FALSE),"")</f>
        <v>2028</v>
      </c>
      <c r="O243">
        <f t="shared" si="10"/>
        <v>0.29090909090909089</v>
      </c>
      <c r="Q243" t="str">
        <f>Orders!D243</f>
        <v>PROD-055</v>
      </c>
    </row>
    <row r="244" spans="1:17" x14ac:dyDescent="0.3">
      <c r="A244" t="str">
        <f>Orders!A244</f>
        <v>ORD-00243</v>
      </c>
      <c r="B244">
        <f>Orders!B244</f>
        <v>45627</v>
      </c>
      <c r="C244">
        <f>Orders!I244</f>
        <v>3654.42</v>
      </c>
      <c r="D244" t="str">
        <f>Orders!E244</f>
        <v>R002</v>
      </c>
      <c r="E244" t="str">
        <f>IFERROR(VLOOKUP(Orders!D244,Products!$A$2:$C$61,3,FALSE),"Unknown")</f>
        <v>Beauty</v>
      </c>
      <c r="F244" t="str">
        <f>IFERROR(VLOOKUP(Orders!C244,Customers!$A$2:$E$301,5,FALSE),"Unknown")</f>
        <v>SMB</v>
      </c>
      <c r="G244">
        <f>IFERROR(VLOOKUP(Orders!C244,Customers!$A$2:$C$301,3,FALSE),"")</f>
        <v>54</v>
      </c>
      <c r="H244" t="str">
        <f>VLOOKUP(D244,Sales_Reps!$A$2:$C$31,3,FALSE)</f>
        <v>North</v>
      </c>
      <c r="I244" s="44">
        <f t="shared" si="9"/>
        <v>45627</v>
      </c>
      <c r="L244" t="str">
        <f>Orders!K244</f>
        <v>Pune</v>
      </c>
      <c r="M244">
        <f>Orders!G244</f>
        <v>1540</v>
      </c>
      <c r="N244">
        <f>IFERROR(VLOOKUP(Orders!D244,Products!$A$2:$D$61,4,FALSE),"")</f>
        <v>647</v>
      </c>
      <c r="O244">
        <f t="shared" si="10"/>
        <v>0.57987012987012987</v>
      </c>
      <c r="Q244" t="str">
        <f>Orders!D244</f>
        <v>PROD-041</v>
      </c>
    </row>
    <row r="245" spans="1:17" x14ac:dyDescent="0.3">
      <c r="A245" t="str">
        <f>Orders!A245</f>
        <v>ORD-00244</v>
      </c>
      <c r="B245">
        <f>Orders!B245</f>
        <v>45576</v>
      </c>
      <c r="C245">
        <f>Orders!I245</f>
        <v>23443.200000000001</v>
      </c>
      <c r="D245" t="str">
        <f>Orders!E245</f>
        <v>R010</v>
      </c>
      <c r="E245" t="str">
        <f>IFERROR(VLOOKUP(Orders!D245,Products!$A$2:$C$61,3,FALSE),"Unknown")</f>
        <v>Electronics</v>
      </c>
      <c r="F245" t="str">
        <f>IFERROR(VLOOKUP(Orders!C245,Customers!$A$2:$E$301,5,FALSE),"Unknown")</f>
        <v>Retail</v>
      </c>
      <c r="G245">
        <f>IFERROR(VLOOKUP(Orders!C245,Customers!$A$2:$C$301,3,FALSE),"")</f>
        <v>22</v>
      </c>
      <c r="H245" t="str">
        <f>VLOOKUP(D245,Sales_Reps!$A$2:$C$31,3,FALSE)</f>
        <v>South</v>
      </c>
      <c r="I245" s="44">
        <f t="shared" si="9"/>
        <v>45566</v>
      </c>
      <c r="L245" t="str">
        <f>Orders!K245</f>
        <v>Hyderabad</v>
      </c>
      <c r="M245">
        <f>Orders!G245</f>
        <v>2640</v>
      </c>
      <c r="N245">
        <f>IFERROR(VLOOKUP(Orders!D245,Products!$A$2:$D$61,4,FALSE),"")</f>
        <v>1149</v>
      </c>
      <c r="O245">
        <f t="shared" si="10"/>
        <v>0.56477272727272732</v>
      </c>
      <c r="Q245" t="str">
        <f>Orders!D245</f>
        <v>PROD-010</v>
      </c>
    </row>
    <row r="246" spans="1:17" x14ac:dyDescent="0.3">
      <c r="A246" t="str">
        <f>Orders!A246</f>
        <v>ORD-00245</v>
      </c>
      <c r="B246">
        <f>Orders!B246</f>
        <v>45317</v>
      </c>
      <c r="C246">
        <f>Orders!I246</f>
        <v>2796.6</v>
      </c>
      <c r="D246" t="str">
        <f>Orders!E246</f>
        <v>R013</v>
      </c>
      <c r="E246" t="str">
        <f>IFERROR(VLOOKUP(Orders!D246,Products!$A$2:$C$61,3,FALSE),"Unknown")</f>
        <v>Apparel</v>
      </c>
      <c r="F246" t="str">
        <f>IFERROR(VLOOKUP(Orders!C246,Customers!$A$2:$E$301,5,FALSE),"Unknown")</f>
        <v>Corporate</v>
      </c>
      <c r="G246">
        <f>IFERROR(VLOOKUP(Orders!C246,Customers!$A$2:$C$301,3,FALSE),"")</f>
        <v>42</v>
      </c>
      <c r="H246" t="str">
        <f>VLOOKUP(D246,Sales_Reps!$A$2:$C$31,3,FALSE)</f>
        <v>South</v>
      </c>
      <c r="I246" s="44">
        <f t="shared" si="9"/>
        <v>45292</v>
      </c>
      <c r="L246" t="str">
        <f>Orders!K246</f>
        <v>Bengaluru</v>
      </c>
      <c r="M246">
        <f>Orders!G246</f>
        <v>3160</v>
      </c>
      <c r="N246">
        <f>IFERROR(VLOOKUP(Orders!D246,Products!$A$2:$D$61,4,FALSE),"")</f>
        <v>1886</v>
      </c>
      <c r="O246">
        <f t="shared" si="10"/>
        <v>0.4031645569620253</v>
      </c>
      <c r="Q246" t="str">
        <f>Orders!D246</f>
        <v>PROD-012</v>
      </c>
    </row>
    <row r="247" spans="1:17" x14ac:dyDescent="0.3">
      <c r="A247" t="str">
        <f>Orders!A247</f>
        <v>ORD-00246</v>
      </c>
      <c r="B247">
        <f>Orders!B247</f>
        <v>45650</v>
      </c>
      <c r="C247">
        <f>Orders!I247</f>
        <v>3425.76</v>
      </c>
      <c r="D247" t="str">
        <f>Orders!E247</f>
        <v>R007</v>
      </c>
      <c r="E247" t="str">
        <f>IFERROR(VLOOKUP(Orders!D247,Products!$A$2:$C$61,3,FALSE),"Unknown")</f>
        <v>Home</v>
      </c>
      <c r="F247" t="str">
        <f>IFERROR(VLOOKUP(Orders!C247,Customers!$A$2:$E$301,5,FALSE),"Unknown")</f>
        <v>SMB</v>
      </c>
      <c r="G247">
        <f>IFERROR(VLOOKUP(Orders!C247,Customers!$A$2:$C$301,3,FALSE),"")</f>
        <v>48</v>
      </c>
      <c r="H247" t="str">
        <f>VLOOKUP(D247,Sales_Reps!$A$2:$C$31,3,FALSE)</f>
        <v>North</v>
      </c>
      <c r="I247" s="44">
        <f t="shared" si="9"/>
        <v>45627</v>
      </c>
      <c r="L247" t="str">
        <f>Orders!K247</f>
        <v>Delhi</v>
      </c>
      <c r="M247">
        <f>Orders!G247</f>
        <v>1080</v>
      </c>
      <c r="N247">
        <f>IFERROR(VLOOKUP(Orders!D247,Products!$A$2:$D$61,4,FALSE),"")</f>
        <v>519</v>
      </c>
      <c r="O247">
        <f t="shared" si="10"/>
        <v>0.51944444444444449</v>
      </c>
      <c r="Q247" t="str">
        <f>Orders!D247</f>
        <v>PROD-040</v>
      </c>
    </row>
    <row r="248" spans="1:17" x14ac:dyDescent="0.3">
      <c r="A248" t="str">
        <f>Orders!A248</f>
        <v>ORD-00247</v>
      </c>
      <c r="B248">
        <f>Orders!B248</f>
        <v>45585</v>
      </c>
      <c r="C248">
        <f>Orders!I248</f>
        <v>2848.2</v>
      </c>
      <c r="D248" t="str">
        <f>Orders!E248</f>
        <v>R013</v>
      </c>
      <c r="E248" t="str">
        <f>IFERROR(VLOOKUP(Orders!D248,Products!$A$2:$C$61,3,FALSE),"Unknown")</f>
        <v>Sports</v>
      </c>
      <c r="F248" t="str">
        <f>IFERROR(VLOOKUP(Orders!C248,Customers!$A$2:$E$301,5,FALSE),"Unknown")</f>
        <v>Retail</v>
      </c>
      <c r="G248">
        <f>IFERROR(VLOOKUP(Orders!C248,Customers!$A$2:$C$301,3,FALSE),"")</f>
        <v>39</v>
      </c>
      <c r="H248" t="str">
        <f>VLOOKUP(D248,Sales_Reps!$A$2:$C$31,3,FALSE)</f>
        <v>South</v>
      </c>
      <c r="I248" s="44">
        <f t="shared" si="9"/>
        <v>45566</v>
      </c>
      <c r="L248" t="str">
        <f>Orders!K248</f>
        <v>Mumbai</v>
      </c>
      <c r="M248">
        <f>Orders!G248</f>
        <v>1010</v>
      </c>
      <c r="N248">
        <f>IFERROR(VLOOKUP(Orders!D248,Products!$A$2:$D$61,4,FALSE),"")</f>
        <v>516</v>
      </c>
      <c r="O248">
        <f t="shared" si="10"/>
        <v>0.4891089108910891</v>
      </c>
      <c r="Q248" t="str">
        <f>Orders!D248</f>
        <v>PROD-054</v>
      </c>
    </row>
    <row r="249" spans="1:17" x14ac:dyDescent="0.3">
      <c r="A249" t="str">
        <f>Orders!A249</f>
        <v>ORD-00248</v>
      </c>
      <c r="B249">
        <f>Orders!B249</f>
        <v>45545</v>
      </c>
      <c r="C249">
        <f>Orders!I249</f>
        <v>16998.8</v>
      </c>
      <c r="D249" t="str">
        <f>Orders!E249</f>
        <v>R027</v>
      </c>
      <c r="E249" t="str">
        <f>IFERROR(VLOOKUP(Orders!D249,Products!$A$2:$C$61,3,FALSE),"Unknown")</f>
        <v>Electronics</v>
      </c>
      <c r="F249" t="str">
        <f>IFERROR(VLOOKUP(Orders!C249,Customers!$A$2:$E$301,5,FALSE),"Unknown")</f>
        <v>Corporate</v>
      </c>
      <c r="G249">
        <f>IFERROR(VLOOKUP(Orders!C249,Customers!$A$2:$C$301,3,FALSE),"")</f>
        <v>26</v>
      </c>
      <c r="H249" t="str">
        <f>VLOOKUP(D249,Sales_Reps!$A$2:$C$31,3,FALSE)</f>
        <v>West</v>
      </c>
      <c r="I249" s="44">
        <f t="shared" si="9"/>
        <v>45536</v>
      </c>
      <c r="L249" t="str">
        <f>Orders!K249</f>
        <v>Bengaluru</v>
      </c>
      <c r="M249">
        <f>Orders!G249</f>
        <v>2600</v>
      </c>
      <c r="N249">
        <f>IFERROR(VLOOKUP(Orders!D249,Products!$A$2:$D$61,4,FALSE),"")</f>
        <v>1052</v>
      </c>
      <c r="O249">
        <f t="shared" si="10"/>
        <v>0.5953846153846154</v>
      </c>
      <c r="Q249" t="str">
        <f>Orders!D249</f>
        <v>PROD-002</v>
      </c>
    </row>
    <row r="250" spans="1:17" x14ac:dyDescent="0.3">
      <c r="A250" t="str">
        <f>Orders!A250</f>
        <v>ORD-00249</v>
      </c>
      <c r="B250">
        <f>Orders!B250</f>
        <v>45395</v>
      </c>
      <c r="C250">
        <f>Orders!I250</f>
        <v>9939.6</v>
      </c>
      <c r="D250" t="str">
        <f>Orders!E250</f>
        <v>R009</v>
      </c>
      <c r="E250" t="str">
        <f>IFERROR(VLOOKUP(Orders!D250,Products!$A$2:$C$61,3,FALSE),"Unknown")</f>
        <v>Apparel</v>
      </c>
      <c r="F250" t="str">
        <f>IFERROR(VLOOKUP(Orders!C250,Customers!$A$2:$E$301,5,FALSE),"Unknown")</f>
        <v>SMB</v>
      </c>
      <c r="G250">
        <f>IFERROR(VLOOKUP(Orders!C250,Customers!$A$2:$C$301,3,FALSE),"")</f>
        <v>55</v>
      </c>
      <c r="H250" t="str">
        <f>VLOOKUP(D250,Sales_Reps!$A$2:$C$31,3,FALSE)</f>
        <v>South</v>
      </c>
      <c r="I250" s="44">
        <f t="shared" si="9"/>
        <v>45383</v>
      </c>
      <c r="L250" t="str">
        <f>Orders!K250</f>
        <v>Delhi</v>
      </c>
      <c r="M250">
        <f>Orders!G250</f>
        <v>2510</v>
      </c>
      <c r="N250">
        <f>IFERROR(VLOOKUP(Orders!D250,Products!$A$2:$D$61,4,FALSE),"")</f>
        <v>1075</v>
      </c>
      <c r="O250">
        <f t="shared" si="10"/>
        <v>0.57171314741035861</v>
      </c>
      <c r="Q250" t="str">
        <f>Orders!D250</f>
        <v>PROD-017</v>
      </c>
    </row>
    <row r="251" spans="1:17" x14ac:dyDescent="0.3">
      <c r="A251" t="str">
        <f>Orders!A251</f>
        <v>ORD-00250</v>
      </c>
      <c r="B251">
        <f>Orders!B251</f>
        <v>45636</v>
      </c>
      <c r="C251">
        <f>Orders!I251</f>
        <v>34175.79</v>
      </c>
      <c r="D251" t="str">
        <f>Orders!E251</f>
        <v>R022</v>
      </c>
      <c r="E251" t="str">
        <f>IFERROR(VLOOKUP(Orders!D251,Products!$A$2:$C$61,3,FALSE),"Unknown")</f>
        <v>Grocery</v>
      </c>
      <c r="F251" t="str">
        <f>IFERROR(VLOOKUP(Orders!C251,Customers!$A$2:$E$301,5,FALSE),"Unknown")</f>
        <v>Retail</v>
      </c>
      <c r="G251">
        <f>IFERROR(VLOOKUP(Orders!C251,Customers!$A$2:$C$301,3,FALSE),"")</f>
        <v>61</v>
      </c>
      <c r="H251" t="str">
        <f>VLOOKUP(D251,Sales_Reps!$A$2:$C$31,3,FALSE)</f>
        <v>East</v>
      </c>
      <c r="I251" s="44">
        <f t="shared" si="9"/>
        <v>45627</v>
      </c>
      <c r="L251" t="str">
        <f>Orders!K251</f>
        <v>Chennai</v>
      </c>
      <c r="M251">
        <f>Orders!G251</f>
        <v>4070</v>
      </c>
      <c r="N251">
        <f>IFERROR(VLOOKUP(Orders!D251,Products!$A$2:$D$61,4,FALSE),"")</f>
        <v>2027</v>
      </c>
      <c r="O251">
        <f t="shared" si="10"/>
        <v>0.50196560196560192</v>
      </c>
      <c r="Q251" t="str">
        <f>Orders!D251</f>
        <v>PROD-026</v>
      </c>
    </row>
    <row r="252" spans="1:17" x14ac:dyDescent="0.3">
      <c r="A252" t="str">
        <f>Orders!A252</f>
        <v>ORD-00251</v>
      </c>
      <c r="B252">
        <f>Orders!B252</f>
        <v>45612</v>
      </c>
      <c r="C252">
        <f>Orders!I252</f>
        <v>4231.2</v>
      </c>
      <c r="D252" t="str">
        <f>Orders!E252</f>
        <v>R010</v>
      </c>
      <c r="E252" t="str">
        <f>IFERROR(VLOOKUP(Orders!D252,Products!$A$2:$C$61,3,FALSE),"Unknown")</f>
        <v>Apparel</v>
      </c>
      <c r="F252" t="str">
        <f>IFERROR(VLOOKUP(Orders!C252,Customers!$A$2:$E$301,5,FALSE),"Unknown")</f>
        <v>Retail</v>
      </c>
      <c r="G252">
        <f>IFERROR(VLOOKUP(Orders!C252,Customers!$A$2:$C$301,3,FALSE),"")</f>
        <v>34</v>
      </c>
      <c r="H252" t="str">
        <f>VLOOKUP(D252,Sales_Reps!$A$2:$C$31,3,FALSE)</f>
        <v>South</v>
      </c>
      <c r="I252" s="44">
        <f t="shared" si="9"/>
        <v>45597</v>
      </c>
      <c r="L252" t="str">
        <f>Orders!K252</f>
        <v>Bengaluru</v>
      </c>
      <c r="M252">
        <f>Orders!G252</f>
        <v>820</v>
      </c>
      <c r="N252">
        <f>IFERROR(VLOOKUP(Orders!D252,Products!$A$2:$D$61,4,FALSE),"")</f>
        <v>391</v>
      </c>
      <c r="O252">
        <f t="shared" si="10"/>
        <v>0.52317073170731709</v>
      </c>
      <c r="Q252" t="str">
        <f>Orders!D252</f>
        <v>PROD-020</v>
      </c>
    </row>
    <row r="253" spans="1:17" x14ac:dyDescent="0.3">
      <c r="A253" t="str">
        <f>Orders!A253</f>
        <v>ORD-00252</v>
      </c>
      <c r="B253">
        <f>Orders!B253</f>
        <v>45495</v>
      </c>
      <c r="C253">
        <f>Orders!I253</f>
        <v>1478.28</v>
      </c>
      <c r="D253" t="str">
        <f>Orders!E253</f>
        <v>R005</v>
      </c>
      <c r="E253" t="str">
        <f>IFERROR(VLOOKUP(Orders!D253,Products!$A$2:$C$61,3,FALSE),"Unknown")</f>
        <v>Grocery</v>
      </c>
      <c r="F253" t="str">
        <f>IFERROR(VLOOKUP(Orders!C253,Customers!$A$2:$E$301,5,FALSE),"Unknown")</f>
        <v>Retail</v>
      </c>
      <c r="G253">
        <f>IFERROR(VLOOKUP(Orders!C253,Customers!$A$2:$C$301,3,FALSE),"")</f>
        <v>52</v>
      </c>
      <c r="H253" t="str">
        <f>VLOOKUP(D253,Sales_Reps!$A$2:$C$31,3,FALSE)</f>
        <v>North</v>
      </c>
      <c r="I253" s="44">
        <f t="shared" si="9"/>
        <v>45474</v>
      </c>
      <c r="L253" t="str">
        <f>Orders!K253</f>
        <v>Mumbai</v>
      </c>
      <c r="M253">
        <f>Orders!G253</f>
        <v>970</v>
      </c>
      <c r="N253">
        <f>IFERROR(VLOOKUP(Orders!D253,Products!$A$2:$D$61,4,FALSE),"")</f>
        <v>434</v>
      </c>
      <c r="O253">
        <f t="shared" si="10"/>
        <v>0.5525773195876289</v>
      </c>
      <c r="Q253" t="str">
        <f>Orders!D253</f>
        <v>PROD-030</v>
      </c>
    </row>
    <row r="254" spans="1:17" x14ac:dyDescent="0.3">
      <c r="A254" t="str">
        <f>Orders!A254</f>
        <v>ORD-00253</v>
      </c>
      <c r="B254">
        <f>Orders!B254</f>
        <v>45337</v>
      </c>
      <c r="C254">
        <f>Orders!I254</f>
        <v>13186.8</v>
      </c>
      <c r="D254" t="str">
        <f>Orders!E254</f>
        <v>R012</v>
      </c>
      <c r="E254" t="str">
        <f>IFERROR(VLOOKUP(Orders!D254,Products!$A$2:$C$61,3,FALSE),"Unknown")</f>
        <v>Grocery</v>
      </c>
      <c r="F254" t="str">
        <f>IFERROR(VLOOKUP(Orders!C254,Customers!$A$2:$E$301,5,FALSE),"Unknown")</f>
        <v>Corporate</v>
      </c>
      <c r="G254">
        <f>IFERROR(VLOOKUP(Orders!C254,Customers!$A$2:$C$301,3,FALSE),"")</f>
        <v>40</v>
      </c>
      <c r="H254" t="str">
        <f>VLOOKUP(D254,Sales_Reps!$A$2:$C$31,3,FALSE)</f>
        <v>South</v>
      </c>
      <c r="I254" s="44">
        <f t="shared" si="9"/>
        <v>45323</v>
      </c>
      <c r="L254" t="str">
        <f>Orders!K254</f>
        <v>Pune</v>
      </c>
      <c r="M254">
        <f>Orders!G254</f>
        <v>4070</v>
      </c>
      <c r="N254">
        <f>IFERROR(VLOOKUP(Orders!D254,Products!$A$2:$D$61,4,FALSE),"")</f>
        <v>2027</v>
      </c>
      <c r="O254">
        <f t="shared" si="10"/>
        <v>0.50196560196560192</v>
      </c>
      <c r="Q254" t="str">
        <f>Orders!D254</f>
        <v>PROD-026</v>
      </c>
    </row>
    <row r="255" spans="1:17" x14ac:dyDescent="0.3">
      <c r="A255" t="str">
        <f>Orders!A255</f>
        <v>ORD-00254</v>
      </c>
      <c r="B255">
        <f>Orders!B255</f>
        <v>45333</v>
      </c>
      <c r="C255">
        <f>Orders!I255</f>
        <v>9894.6</v>
      </c>
      <c r="D255" t="str">
        <f>Orders!E255</f>
        <v>R017</v>
      </c>
      <c r="E255" t="str">
        <f>IFERROR(VLOOKUP(Orders!D255,Products!$A$2:$C$61,3,FALSE),"Unknown")</f>
        <v>Beauty</v>
      </c>
      <c r="F255" t="str">
        <f>IFERROR(VLOOKUP(Orders!C255,Customers!$A$2:$E$301,5,FALSE),"Unknown")</f>
        <v>SMB</v>
      </c>
      <c r="G255">
        <f>IFERROR(VLOOKUP(Orders!C255,Customers!$A$2:$C$301,3,FALSE),"")</f>
        <v>42</v>
      </c>
      <c r="H255" t="str">
        <f>VLOOKUP(D255,Sales_Reps!$A$2:$C$31,3,FALSE)</f>
        <v>East</v>
      </c>
      <c r="I255" s="44">
        <f t="shared" si="9"/>
        <v>45323</v>
      </c>
      <c r="L255" t="str">
        <f>Orders!K255</f>
        <v>Bengaluru</v>
      </c>
      <c r="M255">
        <f>Orders!G255</f>
        <v>3450</v>
      </c>
      <c r="N255">
        <f>IFERROR(VLOOKUP(Orders!D255,Products!$A$2:$D$61,4,FALSE),"")</f>
        <v>2420</v>
      </c>
      <c r="O255">
        <f t="shared" si="10"/>
        <v>0.29855072463768118</v>
      </c>
      <c r="Q255" t="str">
        <f>Orders!D255</f>
        <v>PROD-047</v>
      </c>
    </row>
    <row r="256" spans="1:17" x14ac:dyDescent="0.3">
      <c r="A256" t="str">
        <f>Orders!A256</f>
        <v>ORD-00255</v>
      </c>
      <c r="B256">
        <f>Orders!B256</f>
        <v>45511</v>
      </c>
      <c r="C256">
        <f>Orders!I256</f>
        <v>16348.5</v>
      </c>
      <c r="D256" t="str">
        <f>Orders!E256</f>
        <v>R010</v>
      </c>
      <c r="E256" t="str">
        <f>IFERROR(VLOOKUP(Orders!D256,Products!$A$2:$C$61,3,FALSE),"Unknown")</f>
        <v>Grocery</v>
      </c>
      <c r="F256" t="str">
        <f>IFERROR(VLOOKUP(Orders!C256,Customers!$A$2:$E$301,5,FALSE),"Unknown")</f>
        <v>Retail</v>
      </c>
      <c r="G256">
        <f>IFERROR(VLOOKUP(Orders!C256,Customers!$A$2:$C$301,3,FALSE),"")</f>
        <v>49</v>
      </c>
      <c r="H256" t="str">
        <f>VLOOKUP(D256,Sales_Reps!$A$2:$C$31,3,FALSE)</f>
        <v>South</v>
      </c>
      <c r="I256" s="44">
        <f t="shared" si="9"/>
        <v>45505</v>
      </c>
      <c r="L256" t="str">
        <f>Orders!K256</f>
        <v>Mumbai</v>
      </c>
      <c r="M256">
        <f>Orders!G256</f>
        <v>3780</v>
      </c>
      <c r="N256">
        <f>IFERROR(VLOOKUP(Orders!D256,Products!$A$2:$D$61,4,FALSE),"")</f>
        <v>2436</v>
      </c>
      <c r="O256">
        <f t="shared" si="10"/>
        <v>0.35555555555555557</v>
      </c>
      <c r="Q256" t="str">
        <f>Orders!D256</f>
        <v>PROD-027</v>
      </c>
    </row>
    <row r="257" spans="1:17" x14ac:dyDescent="0.3">
      <c r="A257" t="str">
        <f>Orders!A257</f>
        <v>ORD-00256</v>
      </c>
      <c r="B257">
        <f>Orders!B257</f>
        <v>45595</v>
      </c>
      <c r="C257">
        <f>Orders!I257</f>
        <v>679.68</v>
      </c>
      <c r="D257" t="str">
        <f>Orders!E257</f>
        <v>R004</v>
      </c>
      <c r="E257" t="str">
        <f>IFERROR(VLOOKUP(Orders!D257,Products!$A$2:$C$61,3,FALSE),"Unknown")</f>
        <v>Sports</v>
      </c>
      <c r="F257" t="str">
        <f>IFERROR(VLOOKUP(Orders!C257,Customers!$A$2:$E$301,5,FALSE),"Unknown")</f>
        <v>Retail</v>
      </c>
      <c r="G257">
        <f>IFERROR(VLOOKUP(Orders!C257,Customers!$A$2:$C$301,3,FALSE),"")</f>
        <v>44</v>
      </c>
      <c r="H257" t="str">
        <f>VLOOKUP(D257,Sales_Reps!$A$2:$C$31,3,FALSE)</f>
        <v>North</v>
      </c>
      <c r="I257" s="44">
        <f t="shared" si="9"/>
        <v>45566</v>
      </c>
      <c r="L257" t="str">
        <f>Orders!K257</f>
        <v>Mumbai</v>
      </c>
      <c r="M257">
        <f>Orders!G257</f>
        <v>960</v>
      </c>
      <c r="N257">
        <f>IFERROR(VLOOKUP(Orders!D257,Products!$A$2:$D$61,4,FALSE),"")</f>
        <v>705</v>
      </c>
      <c r="O257">
        <f t="shared" si="10"/>
        <v>0.265625</v>
      </c>
      <c r="Q257" t="str">
        <f>Orders!D257</f>
        <v>PROD-057</v>
      </c>
    </row>
    <row r="258" spans="1:17" x14ac:dyDescent="0.3">
      <c r="A258" t="str">
        <f>Orders!A258</f>
        <v>ORD-00257</v>
      </c>
      <c r="B258">
        <f>Orders!B258</f>
        <v>45321</v>
      </c>
      <c r="C258">
        <f>Orders!I258</f>
        <v>31880.1</v>
      </c>
      <c r="D258" t="str">
        <f>Orders!E258</f>
        <v>R022</v>
      </c>
      <c r="E258" t="str">
        <f>IFERROR(VLOOKUP(Orders!D258,Products!$A$2:$C$61,3,FALSE),"Unknown")</f>
        <v>Electronics</v>
      </c>
      <c r="F258" t="str">
        <f>IFERROR(VLOOKUP(Orders!C258,Customers!$A$2:$E$301,5,FALSE),"Unknown")</f>
        <v>Retail</v>
      </c>
      <c r="G258">
        <f>IFERROR(VLOOKUP(Orders!C258,Customers!$A$2:$C$301,3,FALSE),"")</f>
        <v>53</v>
      </c>
      <c r="H258" t="str">
        <f>VLOOKUP(D258,Sales_Reps!$A$2:$C$31,3,FALSE)</f>
        <v>East</v>
      </c>
      <c r="I258" s="44">
        <f t="shared" si="9"/>
        <v>45292</v>
      </c>
      <c r="L258" t="str">
        <f>Orders!K258</f>
        <v>Mumbai</v>
      </c>
      <c r="M258">
        <f>Orders!G258</f>
        <v>3570</v>
      </c>
      <c r="N258">
        <f>IFERROR(VLOOKUP(Orders!D258,Products!$A$2:$D$61,4,FALSE),"")</f>
        <v>1665</v>
      </c>
      <c r="O258">
        <f t="shared" si="10"/>
        <v>0.53361344537815125</v>
      </c>
      <c r="Q258" t="str">
        <f>Orders!D258</f>
        <v>PROD-003</v>
      </c>
    </row>
    <row r="259" spans="1:17" x14ac:dyDescent="0.3">
      <c r="A259" t="str">
        <f>Orders!A259</f>
        <v>ORD-00258</v>
      </c>
      <c r="B259">
        <f>Orders!B259</f>
        <v>45511</v>
      </c>
      <c r="C259">
        <f>Orders!I259</f>
        <v>21941.22</v>
      </c>
      <c r="D259" t="str">
        <f>Orders!E259</f>
        <v>R024</v>
      </c>
      <c r="E259" t="str">
        <f>IFERROR(VLOOKUP(Orders!D259,Products!$A$2:$C$61,3,FALSE),"Unknown")</f>
        <v>Electronics</v>
      </c>
      <c r="F259" t="str">
        <f>IFERROR(VLOOKUP(Orders!C259,Customers!$A$2:$E$301,5,FALSE),"Unknown")</f>
        <v>SMB</v>
      </c>
      <c r="G259">
        <f>IFERROR(VLOOKUP(Orders!C259,Customers!$A$2:$C$301,3,FALSE),"")</f>
        <v>65</v>
      </c>
      <c r="H259" t="str">
        <f>VLOOKUP(D259,Sales_Reps!$A$2:$C$31,3,FALSE)</f>
        <v>West</v>
      </c>
      <c r="I259" s="44">
        <f t="shared" ref="I259:I322" si="11">DATE(YEAR(B259),MONTH(B259),1)</f>
        <v>45505</v>
      </c>
      <c r="L259" t="str">
        <f>Orders!K259</f>
        <v>Mumbai</v>
      </c>
      <c r="M259">
        <f>Orders!G259</f>
        <v>3570</v>
      </c>
      <c r="N259">
        <f>IFERROR(VLOOKUP(Orders!D259,Products!$A$2:$D$61,4,FALSE),"")</f>
        <v>1665</v>
      </c>
      <c r="O259">
        <f t="shared" ref="O259:O322" si="12">IF(OR(N259="",M259&lt;=0),"",(M259-N259)/M259)</f>
        <v>0.53361344537815125</v>
      </c>
      <c r="Q259" t="str">
        <f>Orders!D259</f>
        <v>PROD-003</v>
      </c>
    </row>
    <row r="260" spans="1:17" x14ac:dyDescent="0.3">
      <c r="A260" t="str">
        <f>Orders!A260</f>
        <v>ORD-00259</v>
      </c>
      <c r="B260">
        <f>Orders!B260</f>
        <v>45575</v>
      </c>
      <c r="C260">
        <f>Orders!I260</f>
        <v>5196.96</v>
      </c>
      <c r="D260" t="str">
        <f>Orders!E260</f>
        <v>R014</v>
      </c>
      <c r="E260" t="str">
        <f>IFERROR(VLOOKUP(Orders!D260,Products!$A$2:$C$61,3,FALSE),"Unknown")</f>
        <v>Home</v>
      </c>
      <c r="F260" t="str">
        <f>IFERROR(VLOOKUP(Orders!C260,Customers!$A$2:$E$301,5,FALSE),"Unknown")</f>
        <v>SMB</v>
      </c>
      <c r="G260">
        <f>IFERROR(VLOOKUP(Orders!C260,Customers!$A$2:$C$301,3,FALSE),"")</f>
        <v>26</v>
      </c>
      <c r="H260" t="str">
        <f>VLOOKUP(D260,Sales_Reps!$A$2:$C$31,3,FALSE)</f>
        <v>South</v>
      </c>
      <c r="I260" s="44">
        <f t="shared" si="11"/>
        <v>45566</v>
      </c>
      <c r="L260" t="str">
        <f>Orders!K260</f>
        <v>Bengaluru</v>
      </c>
      <c r="M260">
        <f>Orders!G260</f>
        <v>1080</v>
      </c>
      <c r="N260">
        <f>IFERROR(VLOOKUP(Orders!D260,Products!$A$2:$D$61,4,FALSE),"")</f>
        <v>519</v>
      </c>
      <c r="O260">
        <f t="shared" si="12"/>
        <v>0.51944444444444449</v>
      </c>
      <c r="Q260" t="str">
        <f>Orders!D260</f>
        <v>PROD-040</v>
      </c>
    </row>
    <row r="261" spans="1:17" x14ac:dyDescent="0.3">
      <c r="A261" t="str">
        <f>Orders!A261</f>
        <v>ORD-00260</v>
      </c>
      <c r="B261">
        <f>Orders!B261</f>
        <v>45649</v>
      </c>
      <c r="C261">
        <f>Orders!I261</f>
        <v>22356</v>
      </c>
      <c r="D261" t="str">
        <f>Orders!E261</f>
        <v>R010</v>
      </c>
      <c r="E261" t="str">
        <f>IFERROR(VLOOKUP(Orders!D261,Products!$A$2:$C$61,3,FALSE),"Unknown")</f>
        <v>Apparel</v>
      </c>
      <c r="F261" t="str">
        <f>IFERROR(VLOOKUP(Orders!C261,Customers!$A$2:$E$301,5,FALSE),"Unknown")</f>
        <v>SMB</v>
      </c>
      <c r="G261">
        <f>IFERROR(VLOOKUP(Orders!C261,Customers!$A$2:$C$301,3,FALSE),"")</f>
        <v>40</v>
      </c>
      <c r="H261" t="str">
        <f>VLOOKUP(D261,Sales_Reps!$A$2:$C$31,3,FALSE)</f>
        <v>South</v>
      </c>
      <c r="I261" s="44">
        <f t="shared" si="11"/>
        <v>45627</v>
      </c>
      <c r="L261" t="str">
        <f>Orders!K261</f>
        <v>Hyderabad</v>
      </c>
      <c r="M261">
        <f>Orders!G261</f>
        <v>3450</v>
      </c>
      <c r="N261">
        <f>IFERROR(VLOOKUP(Orders!D261,Products!$A$2:$D$61,4,FALSE),"")</f>
        <v>1748</v>
      </c>
      <c r="O261">
        <f t="shared" si="12"/>
        <v>0.49333333333333335</v>
      </c>
      <c r="Q261" t="str">
        <f>Orders!D261</f>
        <v>PROD-011</v>
      </c>
    </row>
    <row r="262" spans="1:17" x14ac:dyDescent="0.3">
      <c r="A262" t="str">
        <f>Orders!A262</f>
        <v>ORD-00261</v>
      </c>
      <c r="B262">
        <f>Orders!B262</f>
        <v>45371</v>
      </c>
      <c r="C262">
        <f>Orders!I262</f>
        <v>8639.68</v>
      </c>
      <c r="D262" t="str">
        <f>Orders!E262</f>
        <v>R023</v>
      </c>
      <c r="E262" t="str">
        <f>IFERROR(VLOOKUP(Orders!D262,Products!$A$2:$C$61,3,FALSE),"Unknown")</f>
        <v>Electronics</v>
      </c>
      <c r="F262" t="str">
        <f>IFERROR(VLOOKUP(Orders!C262,Customers!$A$2:$E$301,5,FALSE),"Unknown")</f>
        <v>Corporate</v>
      </c>
      <c r="G262">
        <f>IFERROR(VLOOKUP(Orders!C262,Customers!$A$2:$C$301,3,FALSE),"")</f>
        <v>22</v>
      </c>
      <c r="H262" t="str">
        <f>VLOOKUP(D262,Sales_Reps!$A$2:$C$31,3,FALSE)</f>
        <v>East</v>
      </c>
      <c r="I262" s="44">
        <f t="shared" si="11"/>
        <v>45352</v>
      </c>
      <c r="L262" t="str">
        <f>Orders!K262</f>
        <v>Chennai</v>
      </c>
      <c r="M262">
        <f>Orders!G262</f>
        <v>2660</v>
      </c>
      <c r="N262">
        <f>IFERROR(VLOOKUP(Orders!D262,Products!$A$2:$D$61,4,FALSE),"")</f>
        <v>1259</v>
      </c>
      <c r="O262">
        <f t="shared" si="12"/>
        <v>0.52669172932330832</v>
      </c>
      <c r="Q262" t="str">
        <f>Orders!D262</f>
        <v>PROD-008</v>
      </c>
    </row>
    <row r="263" spans="1:17" x14ac:dyDescent="0.3">
      <c r="A263" t="str">
        <f>Orders!A263</f>
        <v>ORD-00262</v>
      </c>
      <c r="B263">
        <f>Orders!B263</f>
        <v>45522</v>
      </c>
      <c r="C263">
        <f>Orders!I263</f>
        <v>9062.4</v>
      </c>
      <c r="D263" t="str">
        <f>Orders!E263</f>
        <v>R009</v>
      </c>
      <c r="E263" t="str">
        <f>IFERROR(VLOOKUP(Orders!D263,Products!$A$2:$C$61,3,FALSE),"Unknown")</f>
        <v>Sports</v>
      </c>
      <c r="F263" t="str">
        <f>IFERROR(VLOOKUP(Orders!C263,Customers!$A$2:$E$301,5,FALSE),"Unknown")</f>
        <v>Corporate</v>
      </c>
      <c r="G263">
        <f>IFERROR(VLOOKUP(Orders!C263,Customers!$A$2:$C$301,3,FALSE),"")</f>
        <v>46</v>
      </c>
      <c r="H263" t="str">
        <f>VLOOKUP(D263,Sales_Reps!$A$2:$C$31,3,FALSE)</f>
        <v>South</v>
      </c>
      <c r="I263" s="44">
        <f t="shared" si="11"/>
        <v>45505</v>
      </c>
      <c r="L263" t="str">
        <f>Orders!K263</f>
        <v>Hyderabad</v>
      </c>
      <c r="M263">
        <f>Orders!G263</f>
        <v>2400</v>
      </c>
      <c r="N263">
        <f>IFERROR(VLOOKUP(Orders!D263,Products!$A$2:$D$61,4,FALSE),"")</f>
        <v>974</v>
      </c>
      <c r="O263">
        <f t="shared" si="12"/>
        <v>0.59416666666666662</v>
      </c>
      <c r="Q263" t="str">
        <f>Orders!D263</f>
        <v>PROD-058</v>
      </c>
    </row>
    <row r="264" spans="1:17" x14ac:dyDescent="0.3">
      <c r="A264" t="str">
        <f>Orders!A264</f>
        <v>ORD-00263</v>
      </c>
      <c r="B264">
        <f>Orders!B264</f>
        <v>45513</v>
      </c>
      <c r="C264">
        <f>Orders!I264</f>
        <v>19578</v>
      </c>
      <c r="D264" t="str">
        <f>Orders!E264</f>
        <v>R003</v>
      </c>
      <c r="E264" t="str">
        <f>IFERROR(VLOOKUP(Orders!D264,Products!$A$2:$C$61,3,FALSE),"Unknown")</f>
        <v>Electronics</v>
      </c>
      <c r="F264" t="str">
        <f>IFERROR(VLOOKUP(Orders!C264,Customers!$A$2:$E$301,5,FALSE),"Unknown")</f>
        <v>Corporate</v>
      </c>
      <c r="G264">
        <f>IFERROR(VLOOKUP(Orders!C264,Customers!$A$2:$C$301,3,FALSE),"")</f>
        <v>31</v>
      </c>
      <c r="H264" t="str">
        <f>VLOOKUP(D264,Sales_Reps!$A$2:$C$31,3,FALSE)</f>
        <v>North</v>
      </c>
      <c r="I264" s="44">
        <f t="shared" si="11"/>
        <v>45505</v>
      </c>
      <c r="L264" t="str">
        <f>Orders!K264</f>
        <v>Pune</v>
      </c>
      <c r="M264">
        <f>Orders!G264</f>
        <v>2600</v>
      </c>
      <c r="N264">
        <f>IFERROR(VLOOKUP(Orders!D264,Products!$A$2:$D$61,4,FALSE),"")</f>
        <v>1052</v>
      </c>
      <c r="O264">
        <f t="shared" si="12"/>
        <v>0.5953846153846154</v>
      </c>
      <c r="Q264" t="str">
        <f>Orders!D264</f>
        <v>PROD-002</v>
      </c>
    </row>
    <row r="265" spans="1:17" x14ac:dyDescent="0.3">
      <c r="A265" t="str">
        <f>Orders!A265</f>
        <v>ORD-00264</v>
      </c>
      <c r="B265">
        <f>Orders!B265</f>
        <v>45513</v>
      </c>
      <c r="C265">
        <f>Orders!I265</f>
        <v>11339.58</v>
      </c>
      <c r="D265" t="str">
        <f>Orders!E265</f>
        <v>R004</v>
      </c>
      <c r="E265" t="str">
        <f>IFERROR(VLOOKUP(Orders!D265,Products!$A$2:$C$61,3,FALSE),"Unknown")</f>
        <v>Grocery</v>
      </c>
      <c r="F265" t="str">
        <f>IFERROR(VLOOKUP(Orders!C265,Customers!$A$2:$E$301,5,FALSE),"Unknown")</f>
        <v>Retail</v>
      </c>
      <c r="G265">
        <f>IFERROR(VLOOKUP(Orders!C265,Customers!$A$2:$C$301,3,FALSE),"")</f>
        <v>40</v>
      </c>
      <c r="H265" t="str">
        <f>VLOOKUP(D265,Sales_Reps!$A$2:$C$31,3,FALSE)</f>
        <v>North</v>
      </c>
      <c r="I265" s="44">
        <f t="shared" si="11"/>
        <v>45505</v>
      </c>
      <c r="L265" t="str">
        <f>Orders!K265</f>
        <v>Delhi</v>
      </c>
      <c r="M265">
        <f>Orders!G265</f>
        <v>4060</v>
      </c>
      <c r="N265">
        <f>IFERROR(VLOOKUP(Orders!D265,Products!$A$2:$D$61,4,FALSE),"")</f>
        <v>2911</v>
      </c>
      <c r="O265">
        <f t="shared" si="12"/>
        <v>0.28300492610837441</v>
      </c>
      <c r="Q265" t="str">
        <f>Orders!D265</f>
        <v>PROD-025</v>
      </c>
    </row>
    <row r="266" spans="1:17" x14ac:dyDescent="0.3">
      <c r="A266" t="str">
        <f>Orders!A266</f>
        <v>ORD-00265</v>
      </c>
      <c r="B266">
        <f>Orders!B266</f>
        <v>45465</v>
      </c>
      <c r="C266">
        <f>Orders!I266</f>
        <v>30173.040000000001</v>
      </c>
      <c r="D266" t="str">
        <f>Orders!E266</f>
        <v>R023</v>
      </c>
      <c r="E266" t="str">
        <f>IFERROR(VLOOKUP(Orders!D266,Products!$A$2:$C$61,3,FALSE),"Unknown")</f>
        <v>Home</v>
      </c>
      <c r="F266" t="str">
        <f>IFERROR(VLOOKUP(Orders!C266,Customers!$A$2:$E$301,5,FALSE),"Unknown")</f>
        <v>Corporate</v>
      </c>
      <c r="G266">
        <f>IFERROR(VLOOKUP(Orders!C266,Customers!$A$2:$C$301,3,FALSE),"")</f>
        <v>22</v>
      </c>
      <c r="H266" t="str">
        <f>VLOOKUP(D266,Sales_Reps!$A$2:$C$31,3,FALSE)</f>
        <v>East</v>
      </c>
      <c r="I266" s="44">
        <f t="shared" si="11"/>
        <v>45444</v>
      </c>
      <c r="L266" t="str">
        <f>Orders!K266</f>
        <v>Hyderabad</v>
      </c>
      <c r="M266">
        <f>Orders!G266</f>
        <v>5490</v>
      </c>
      <c r="N266">
        <f>IFERROR(VLOOKUP(Orders!D266,Products!$A$2:$D$61,4,FALSE),"")</f>
        <v>2549</v>
      </c>
      <c r="O266">
        <f t="shared" si="12"/>
        <v>0.53570127504553733</v>
      </c>
      <c r="Q266" t="str">
        <f>Orders!D266</f>
        <v>PROD-038</v>
      </c>
    </row>
    <row r="267" spans="1:17" x14ac:dyDescent="0.3">
      <c r="A267" t="str">
        <f>Orders!A267</f>
        <v>ORD-00266</v>
      </c>
      <c r="B267">
        <f>Orders!B267</f>
        <v>45407</v>
      </c>
      <c r="C267">
        <f>Orders!I267</f>
        <v>1884.78</v>
      </c>
      <c r="D267" t="str">
        <f>Orders!E267</f>
        <v>R018</v>
      </c>
      <c r="E267" t="str">
        <f>IFERROR(VLOOKUP(Orders!D267,Products!$A$2:$C$61,3,FALSE),"Unknown")</f>
        <v>Home</v>
      </c>
      <c r="F267" t="str">
        <f>IFERROR(VLOOKUP(Orders!C267,Customers!$A$2:$E$301,5,FALSE),"Unknown")</f>
        <v>Retail</v>
      </c>
      <c r="G267">
        <f>IFERROR(VLOOKUP(Orders!C267,Customers!$A$2:$C$301,3,FALSE),"")</f>
        <v>49</v>
      </c>
      <c r="H267" t="str">
        <f>VLOOKUP(D267,Sales_Reps!$A$2:$C$31,3,FALSE)</f>
        <v>East</v>
      </c>
      <c r="I267" s="44">
        <f t="shared" si="11"/>
        <v>45383</v>
      </c>
      <c r="L267" t="str">
        <f>Orders!K267</f>
        <v>Pune</v>
      </c>
      <c r="M267">
        <f>Orders!G267</f>
        <v>370</v>
      </c>
      <c r="N267">
        <f>IFERROR(VLOOKUP(Orders!D267,Products!$A$2:$D$61,4,FALSE),"")</f>
        <v>288</v>
      </c>
      <c r="O267">
        <f t="shared" si="12"/>
        <v>0.22162162162162163</v>
      </c>
      <c r="Q267" t="str">
        <f>Orders!D267</f>
        <v>PROD-032</v>
      </c>
    </row>
    <row r="268" spans="1:17" x14ac:dyDescent="0.3">
      <c r="A268" t="str">
        <f>Orders!A268</f>
        <v>ORD-00267</v>
      </c>
      <c r="B268">
        <f>Orders!B268</f>
        <v>45405</v>
      </c>
      <c r="C268">
        <f>Orders!I268</f>
        <v>2693.9</v>
      </c>
      <c r="D268" t="str">
        <f>Orders!E268</f>
        <v>R023</v>
      </c>
      <c r="E268" t="str">
        <f>IFERROR(VLOOKUP(Orders!D268,Products!$A$2:$C$61,3,FALSE),"Unknown")</f>
        <v>Apparel</v>
      </c>
      <c r="F268" t="str">
        <f>IFERROR(VLOOKUP(Orders!C268,Customers!$A$2:$E$301,5,FALSE),"Unknown")</f>
        <v>SMB</v>
      </c>
      <c r="G268">
        <f>IFERROR(VLOOKUP(Orders!C268,Customers!$A$2:$C$301,3,FALSE),"")</f>
        <v>38</v>
      </c>
      <c r="H268" t="str">
        <f>VLOOKUP(D268,Sales_Reps!$A$2:$C$31,3,FALSE)</f>
        <v>East</v>
      </c>
      <c r="I268" s="44">
        <f t="shared" si="11"/>
        <v>45383</v>
      </c>
      <c r="L268" t="str">
        <f>Orders!K268</f>
        <v>Delhi</v>
      </c>
      <c r="M268">
        <f>Orders!G268</f>
        <v>620</v>
      </c>
      <c r="N268">
        <f>IFERROR(VLOOKUP(Orders!D268,Products!$A$2:$D$61,4,FALSE),"")</f>
        <v>396</v>
      </c>
      <c r="O268">
        <f t="shared" si="12"/>
        <v>0.36129032258064514</v>
      </c>
      <c r="Q268" t="str">
        <f>Orders!D268</f>
        <v>PROD-016</v>
      </c>
    </row>
    <row r="269" spans="1:17" x14ac:dyDescent="0.3">
      <c r="A269" t="str">
        <f>Orders!A269</f>
        <v>ORD-00268</v>
      </c>
      <c r="B269">
        <f>Orders!B269</f>
        <v>45332</v>
      </c>
      <c r="C269">
        <f>Orders!I269</f>
        <v>24423.75</v>
      </c>
      <c r="D269" t="str">
        <f>Orders!E269</f>
        <v>R029</v>
      </c>
      <c r="E269" t="str">
        <f>IFERROR(VLOOKUP(Orders!D269,Products!$A$2:$C$61,3,FALSE),"Unknown")</f>
        <v>Home</v>
      </c>
      <c r="F269" t="str">
        <f>IFERROR(VLOOKUP(Orders!C269,Customers!$A$2:$E$301,5,FALSE),"Unknown")</f>
        <v>Retail</v>
      </c>
      <c r="G269">
        <f>IFERROR(VLOOKUP(Orders!C269,Customers!$A$2:$C$301,3,FALSE),"")</f>
        <v>26</v>
      </c>
      <c r="H269" t="str">
        <f>VLOOKUP(D269,Sales_Reps!$A$2:$C$31,3,FALSE)</f>
        <v>West</v>
      </c>
      <c r="I269" s="44">
        <f t="shared" si="11"/>
        <v>45323</v>
      </c>
      <c r="L269" t="str">
        <f>Orders!K269</f>
        <v>Chennai</v>
      </c>
      <c r="M269">
        <f>Orders!G269</f>
        <v>3250</v>
      </c>
      <c r="N269">
        <f>IFERROR(VLOOKUP(Orders!D269,Products!$A$2:$D$61,4,FALSE),"")</f>
        <v>1556</v>
      </c>
      <c r="O269">
        <f t="shared" si="12"/>
        <v>0.52123076923076928</v>
      </c>
      <c r="Q269" t="str">
        <f>Orders!D269</f>
        <v>PROD-036</v>
      </c>
    </row>
    <row r="270" spans="1:17" x14ac:dyDescent="0.3">
      <c r="A270" t="str">
        <f>Orders!A270</f>
        <v>ORD-00269</v>
      </c>
      <c r="B270">
        <f>Orders!B270</f>
        <v>45299</v>
      </c>
      <c r="C270">
        <f>Orders!I270</f>
        <v>6073.92</v>
      </c>
      <c r="D270" t="str">
        <f>Orders!E270</f>
        <v>R011</v>
      </c>
      <c r="E270" t="str">
        <f>IFERROR(VLOOKUP(Orders!D270,Products!$A$2:$C$61,3,FALSE),"Unknown")</f>
        <v>Beauty</v>
      </c>
      <c r="F270" t="str">
        <f>IFERROR(VLOOKUP(Orders!C270,Customers!$A$2:$E$301,5,FALSE),"Unknown")</f>
        <v>SMB</v>
      </c>
      <c r="G270">
        <f>IFERROR(VLOOKUP(Orders!C270,Customers!$A$2:$C$301,3,FALSE),"")</f>
        <v>54</v>
      </c>
      <c r="H270" t="str">
        <f>VLOOKUP(D270,Sales_Reps!$A$2:$C$31,3,FALSE)</f>
        <v>South</v>
      </c>
      <c r="I270" s="44">
        <f t="shared" si="11"/>
        <v>45292</v>
      </c>
      <c r="L270" t="str">
        <f>Orders!K270</f>
        <v>Mumbai</v>
      </c>
      <c r="M270">
        <f>Orders!G270</f>
        <v>6080</v>
      </c>
      <c r="N270">
        <f>IFERROR(VLOOKUP(Orders!D270,Products!$A$2:$D$61,4,FALSE),"")</f>
        <v>2617</v>
      </c>
      <c r="O270">
        <f t="shared" si="12"/>
        <v>0.56957236842105263</v>
      </c>
      <c r="Q270" t="str">
        <f>Orders!D270</f>
        <v>PROD-050</v>
      </c>
    </row>
    <row r="271" spans="1:17" x14ac:dyDescent="0.3">
      <c r="A271" t="str">
        <f>Orders!A271</f>
        <v>ORD-00270</v>
      </c>
      <c r="B271">
        <f>Orders!B271</f>
        <v>45386</v>
      </c>
      <c r="C271">
        <f>Orders!I271</f>
        <v>25188.799999999999</v>
      </c>
      <c r="D271" t="str">
        <f>Orders!E271</f>
        <v>R014</v>
      </c>
      <c r="E271" t="str">
        <f>IFERROR(VLOOKUP(Orders!D271,Products!$A$2:$C$61,3,FALSE),"Unknown")</f>
        <v>Apparel</v>
      </c>
      <c r="F271" t="str">
        <f>IFERROR(VLOOKUP(Orders!C271,Customers!$A$2:$E$301,5,FALSE),"Unknown")</f>
        <v>Corporate</v>
      </c>
      <c r="G271">
        <f>IFERROR(VLOOKUP(Orders!C271,Customers!$A$2:$C$301,3,FALSE),"")</f>
        <v>30</v>
      </c>
      <c r="H271" t="str">
        <f>VLOOKUP(D271,Sales_Reps!$A$2:$C$31,3,FALSE)</f>
        <v>South</v>
      </c>
      <c r="I271" s="44">
        <f t="shared" si="11"/>
        <v>45383</v>
      </c>
      <c r="L271" t="str">
        <f>Orders!K271</f>
        <v>Chennai</v>
      </c>
      <c r="M271">
        <f>Orders!G271</f>
        <v>3640</v>
      </c>
      <c r="N271">
        <f>IFERROR(VLOOKUP(Orders!D271,Products!$A$2:$D$61,4,FALSE),"")</f>
        <v>2611</v>
      </c>
      <c r="O271">
        <f t="shared" si="12"/>
        <v>0.28269230769230769</v>
      </c>
      <c r="Q271" t="str">
        <f>Orders!D271</f>
        <v>PROD-013</v>
      </c>
    </row>
    <row r="272" spans="1:17" x14ac:dyDescent="0.3">
      <c r="A272" t="str">
        <f>Orders!A272</f>
        <v>ORD-00271</v>
      </c>
      <c r="B272">
        <f>Orders!B272</f>
        <v>45472</v>
      </c>
      <c r="C272">
        <f>Orders!I272</f>
        <v>19993.32</v>
      </c>
      <c r="D272" t="str">
        <f>Orders!E272</f>
        <v>R005</v>
      </c>
      <c r="E272" t="str">
        <f>IFERROR(VLOOKUP(Orders!D272,Products!$A$2:$C$61,3,FALSE),"Unknown")</f>
        <v>Apparel</v>
      </c>
      <c r="F272" t="str">
        <f>IFERROR(VLOOKUP(Orders!C272,Customers!$A$2:$E$301,5,FALSE),"Unknown")</f>
        <v>Retail</v>
      </c>
      <c r="G272">
        <f>IFERROR(VLOOKUP(Orders!C272,Customers!$A$2:$C$301,3,FALSE),"")</f>
        <v>49</v>
      </c>
      <c r="H272" t="str">
        <f>VLOOKUP(D272,Sales_Reps!$A$2:$C$31,3,FALSE)</f>
        <v>North</v>
      </c>
      <c r="I272" s="44">
        <f t="shared" si="11"/>
        <v>45444</v>
      </c>
      <c r="L272" t="str">
        <f>Orders!K272</f>
        <v>Delhi</v>
      </c>
      <c r="M272">
        <f>Orders!G272</f>
        <v>3160</v>
      </c>
      <c r="N272">
        <f>IFERROR(VLOOKUP(Orders!D272,Products!$A$2:$D$61,4,FALSE),"")</f>
        <v>1886</v>
      </c>
      <c r="O272">
        <f t="shared" si="12"/>
        <v>0.4031645569620253</v>
      </c>
      <c r="Q272" t="str">
        <f>Orders!D272</f>
        <v>PROD-012</v>
      </c>
    </row>
    <row r="273" spans="1:17" x14ac:dyDescent="0.3">
      <c r="A273" t="str">
        <f>Orders!A273</f>
        <v>ORD-00272</v>
      </c>
      <c r="B273">
        <f>Orders!B273</f>
        <v>45428</v>
      </c>
      <c r="C273">
        <f>Orders!I273</f>
        <v>6339.06</v>
      </c>
      <c r="D273" t="str">
        <f>Orders!E273</f>
        <v>R007</v>
      </c>
      <c r="E273" t="str">
        <f>IFERROR(VLOOKUP(Orders!D273,Products!$A$2:$C$61,3,FALSE),"Unknown")</f>
        <v>Electronics</v>
      </c>
      <c r="F273" t="str">
        <f>IFERROR(VLOOKUP(Orders!C273,Customers!$A$2:$E$301,5,FALSE),"Unknown")</f>
        <v>SMB</v>
      </c>
      <c r="G273">
        <f>IFERROR(VLOOKUP(Orders!C273,Customers!$A$2:$C$301,3,FALSE),"")</f>
        <v>43</v>
      </c>
      <c r="H273" t="str">
        <f>VLOOKUP(D273,Sales_Reps!$A$2:$C$31,3,FALSE)</f>
        <v>North</v>
      </c>
      <c r="I273" s="44">
        <f t="shared" si="11"/>
        <v>45413</v>
      </c>
      <c r="L273" t="str">
        <f>Orders!K273</f>
        <v>Hyderabad</v>
      </c>
      <c r="M273">
        <f>Orders!G273</f>
        <v>3870</v>
      </c>
      <c r="N273">
        <f>IFERROR(VLOOKUP(Orders!D273,Products!$A$2:$D$61,4,FALSE),"")</f>
        <v>1559</v>
      </c>
      <c r="O273">
        <f t="shared" si="12"/>
        <v>0.59715762273901807</v>
      </c>
      <c r="Q273" t="str">
        <f>Orders!D273</f>
        <v>PROD-004</v>
      </c>
    </row>
    <row r="274" spans="1:17" x14ac:dyDescent="0.3">
      <c r="A274" t="str">
        <f>Orders!A274</f>
        <v>ORD-00273</v>
      </c>
      <c r="B274">
        <f>Orders!B274</f>
        <v>45430</v>
      </c>
      <c r="C274">
        <f>Orders!I274</f>
        <v>1797.84</v>
      </c>
      <c r="D274" t="str">
        <f>Orders!E274</f>
        <v>R030</v>
      </c>
      <c r="E274" t="str">
        <f>IFERROR(VLOOKUP(Orders!D274,Products!$A$2:$C$61,3,FALSE),"Unknown")</f>
        <v>Home</v>
      </c>
      <c r="F274" t="str">
        <f>IFERROR(VLOOKUP(Orders!C274,Customers!$A$2:$E$301,5,FALSE),"Unknown")</f>
        <v>Retail</v>
      </c>
      <c r="G274">
        <f>IFERROR(VLOOKUP(Orders!C274,Customers!$A$2:$C$301,3,FALSE),"")</f>
        <v>43</v>
      </c>
      <c r="H274" t="str">
        <f>VLOOKUP(D274,Sales_Reps!$A$2:$C$31,3,FALSE)</f>
        <v>West</v>
      </c>
      <c r="I274" s="44">
        <f t="shared" si="11"/>
        <v>45413</v>
      </c>
      <c r="L274" t="str">
        <f>Orders!K274</f>
        <v>Delhi</v>
      </c>
      <c r="M274">
        <f>Orders!G274</f>
        <v>660</v>
      </c>
      <c r="N274">
        <f>IFERROR(VLOOKUP(Orders!D274,Products!$A$2:$D$61,4,FALSE),"")</f>
        <v>329</v>
      </c>
      <c r="O274">
        <f t="shared" si="12"/>
        <v>0.50151515151515147</v>
      </c>
      <c r="Q274" t="str">
        <f>Orders!D274</f>
        <v>PROD-037</v>
      </c>
    </row>
    <row r="275" spans="1:17" x14ac:dyDescent="0.3">
      <c r="A275" t="str">
        <f>Orders!A275</f>
        <v>ORD-00274</v>
      </c>
      <c r="B275">
        <f>Orders!B275</f>
        <v>45418</v>
      </c>
      <c r="C275">
        <f>Orders!I275</f>
        <v>11692.8</v>
      </c>
      <c r="D275" t="str">
        <f>Orders!E275</f>
        <v>R013</v>
      </c>
      <c r="E275" t="str">
        <f>IFERROR(VLOOKUP(Orders!D275,Products!$A$2:$C$61,3,FALSE),"Unknown")</f>
        <v>Grocery</v>
      </c>
      <c r="F275" t="str">
        <f>IFERROR(VLOOKUP(Orders!C275,Customers!$A$2:$E$301,5,FALSE),"Unknown")</f>
        <v>Corporate</v>
      </c>
      <c r="G275">
        <f>IFERROR(VLOOKUP(Orders!C275,Customers!$A$2:$C$301,3,FALSE),"")</f>
        <v>24</v>
      </c>
      <c r="H275" t="str">
        <f>VLOOKUP(D275,Sales_Reps!$A$2:$C$31,3,FALSE)</f>
        <v>South</v>
      </c>
      <c r="I275" s="44">
        <f t="shared" si="11"/>
        <v>45413</v>
      </c>
      <c r="L275" t="str">
        <f>Orders!K275</f>
        <v>Chennai</v>
      </c>
      <c r="M275">
        <f>Orders!G275</f>
        <v>4060</v>
      </c>
      <c r="N275">
        <f>IFERROR(VLOOKUP(Orders!D275,Products!$A$2:$D$61,4,FALSE),"")</f>
        <v>2911</v>
      </c>
      <c r="O275">
        <f t="shared" si="12"/>
        <v>0.28300492610837441</v>
      </c>
      <c r="Q275" t="str">
        <f>Orders!D275</f>
        <v>PROD-025</v>
      </c>
    </row>
    <row r="276" spans="1:17" x14ac:dyDescent="0.3">
      <c r="A276" t="str">
        <f>Orders!A276</f>
        <v>ORD-00275</v>
      </c>
      <c r="B276">
        <f>Orders!B276</f>
        <v>45360</v>
      </c>
      <c r="C276">
        <f>Orders!I276</f>
        <v>9377.68</v>
      </c>
      <c r="D276" t="str">
        <f>Orders!E276</f>
        <v>R016</v>
      </c>
      <c r="E276" t="str">
        <f>IFERROR(VLOOKUP(Orders!D276,Products!$A$2:$C$61,3,FALSE),"Unknown")</f>
        <v>Home</v>
      </c>
      <c r="F276" t="str">
        <f>IFERROR(VLOOKUP(Orders!C276,Customers!$A$2:$E$301,5,FALSE),"Unknown")</f>
        <v>SMB</v>
      </c>
      <c r="G276">
        <f>IFERROR(VLOOKUP(Orders!C276,Customers!$A$2:$C$301,3,FALSE),"")</f>
        <v>38</v>
      </c>
      <c r="H276" t="str">
        <f>VLOOKUP(D276,Sales_Reps!$A$2:$C$31,3,FALSE)</f>
        <v>South</v>
      </c>
      <c r="I276" s="44">
        <f t="shared" si="11"/>
        <v>45352</v>
      </c>
      <c r="L276" t="str">
        <f>Orders!K276</f>
        <v>Delhi</v>
      </c>
      <c r="M276">
        <f>Orders!G276</f>
        <v>5080</v>
      </c>
      <c r="N276">
        <f>IFERROR(VLOOKUP(Orders!D276,Products!$A$2:$D$61,4,FALSE),"")</f>
        <v>2459</v>
      </c>
      <c r="O276">
        <f t="shared" si="12"/>
        <v>0.51594488188976373</v>
      </c>
      <c r="Q276" t="str">
        <f>Orders!D276</f>
        <v>PROD-034</v>
      </c>
    </row>
    <row r="277" spans="1:17" x14ac:dyDescent="0.3">
      <c r="A277" t="str">
        <f>Orders!A277</f>
        <v>ORD-00276</v>
      </c>
      <c r="B277">
        <f>Orders!B277</f>
        <v>45296</v>
      </c>
      <c r="C277">
        <f>Orders!I277</f>
        <v>9692.5499999999993</v>
      </c>
      <c r="D277" t="str">
        <f>Orders!E277</f>
        <v>R005</v>
      </c>
      <c r="E277" t="str">
        <f>IFERROR(VLOOKUP(Orders!D277,Products!$A$2:$C$61,3,FALSE),"Unknown")</f>
        <v>Electronics</v>
      </c>
      <c r="F277" t="str">
        <f>IFERROR(VLOOKUP(Orders!C277,Customers!$A$2:$E$301,5,FALSE),"Unknown")</f>
        <v>Retail</v>
      </c>
      <c r="G277">
        <f>IFERROR(VLOOKUP(Orders!C277,Customers!$A$2:$C$301,3,FALSE),"")</f>
        <v>46</v>
      </c>
      <c r="H277" t="str">
        <f>VLOOKUP(D277,Sales_Reps!$A$2:$C$31,3,FALSE)</f>
        <v>North</v>
      </c>
      <c r="I277" s="44">
        <f t="shared" si="11"/>
        <v>45292</v>
      </c>
      <c r="L277" t="str">
        <f>Orders!K277</f>
        <v>Hyderabad</v>
      </c>
      <c r="M277">
        <f>Orders!G277</f>
        <v>3570</v>
      </c>
      <c r="N277">
        <f>IFERROR(VLOOKUP(Orders!D277,Products!$A$2:$D$61,4,FALSE),"")</f>
        <v>1665</v>
      </c>
      <c r="O277">
        <f t="shared" si="12"/>
        <v>0.53361344537815125</v>
      </c>
      <c r="Q277" t="str">
        <f>Orders!D277</f>
        <v>PROD-003</v>
      </c>
    </row>
    <row r="278" spans="1:17" x14ac:dyDescent="0.3">
      <c r="A278" t="str">
        <f>Orders!A278</f>
        <v>ORD-00277</v>
      </c>
      <c r="B278">
        <f>Orders!B278</f>
        <v>45460</v>
      </c>
      <c r="C278">
        <f>Orders!I278</f>
        <v>874.2</v>
      </c>
      <c r="D278" t="str">
        <f>Orders!E278</f>
        <v>R020</v>
      </c>
      <c r="E278" t="str">
        <f>IFERROR(VLOOKUP(Orders!D278,Products!$A$2:$C$61,3,FALSE),"Unknown")</f>
        <v>Apparel</v>
      </c>
      <c r="F278" t="str">
        <f>IFERROR(VLOOKUP(Orders!C278,Customers!$A$2:$E$301,5,FALSE),"Unknown")</f>
        <v>SMB</v>
      </c>
      <c r="G278">
        <f>IFERROR(VLOOKUP(Orders!C278,Customers!$A$2:$C$301,3,FALSE),"")</f>
        <v>27</v>
      </c>
      <c r="H278" t="str">
        <f>VLOOKUP(D278,Sales_Reps!$A$2:$C$31,3,FALSE)</f>
        <v>East</v>
      </c>
      <c r="I278" s="44">
        <f t="shared" si="11"/>
        <v>45444</v>
      </c>
      <c r="L278" t="str">
        <f>Orders!K278</f>
        <v>Mumbai</v>
      </c>
      <c r="M278">
        <f>Orders!G278</f>
        <v>620</v>
      </c>
      <c r="N278">
        <f>IFERROR(VLOOKUP(Orders!D278,Products!$A$2:$D$61,4,FALSE),"")</f>
        <v>396</v>
      </c>
      <c r="O278">
        <f t="shared" si="12"/>
        <v>0.36129032258064514</v>
      </c>
      <c r="Q278" t="str">
        <f>Orders!D278</f>
        <v>PROD-016</v>
      </c>
    </row>
    <row r="279" spans="1:17" x14ac:dyDescent="0.3">
      <c r="A279" t="str">
        <f>Orders!A279</f>
        <v>ORD-00278</v>
      </c>
      <c r="B279">
        <f>Orders!B279</f>
        <v>45638</v>
      </c>
      <c r="C279">
        <f>Orders!I279</f>
        <v>10039.5</v>
      </c>
      <c r="D279" t="str">
        <f>Orders!E279</f>
        <v>R013</v>
      </c>
      <c r="E279" t="str">
        <f>IFERROR(VLOOKUP(Orders!D279,Products!$A$2:$C$61,3,FALSE),"Unknown")</f>
        <v>Apparel</v>
      </c>
      <c r="F279" t="str">
        <f>IFERROR(VLOOKUP(Orders!C279,Customers!$A$2:$E$301,5,FALSE),"Unknown")</f>
        <v>Retail</v>
      </c>
      <c r="G279">
        <f>IFERROR(VLOOKUP(Orders!C279,Customers!$A$2:$C$301,3,FALSE),"")</f>
        <v>59</v>
      </c>
      <c r="H279" t="str">
        <f>VLOOKUP(D279,Sales_Reps!$A$2:$C$31,3,FALSE)</f>
        <v>South</v>
      </c>
      <c r="I279" s="44">
        <f t="shared" si="11"/>
        <v>45627</v>
      </c>
      <c r="L279" t="str">
        <f>Orders!K279</f>
        <v>Bengaluru</v>
      </c>
      <c r="M279">
        <f>Orders!G279</f>
        <v>3450</v>
      </c>
      <c r="N279">
        <f>IFERROR(VLOOKUP(Orders!D279,Products!$A$2:$D$61,4,FALSE),"")</f>
        <v>1748</v>
      </c>
      <c r="O279">
        <f t="shared" si="12"/>
        <v>0.49333333333333335</v>
      </c>
      <c r="Q279" t="str">
        <f>Orders!D279</f>
        <v>PROD-011</v>
      </c>
    </row>
    <row r="280" spans="1:17" x14ac:dyDescent="0.3">
      <c r="A280" t="str">
        <f>Orders!A280</f>
        <v>ORD-00279</v>
      </c>
      <c r="B280">
        <f>Orders!B280</f>
        <v>45408</v>
      </c>
      <c r="C280">
        <f>Orders!I280</f>
        <v>34164.9</v>
      </c>
      <c r="D280" t="str">
        <f>Orders!E280</f>
        <v>R006</v>
      </c>
      <c r="E280" t="str">
        <f>IFERROR(VLOOKUP(Orders!D280,Products!$A$2:$C$61,3,FALSE),"Unknown")</f>
        <v>Beauty</v>
      </c>
      <c r="F280" t="str">
        <f>IFERROR(VLOOKUP(Orders!C280,Customers!$A$2:$E$301,5,FALSE),"Unknown")</f>
        <v>SMB</v>
      </c>
      <c r="G280">
        <f>IFERROR(VLOOKUP(Orders!C280,Customers!$A$2:$C$301,3,FALSE),"")</f>
        <v>55</v>
      </c>
      <c r="H280" t="str">
        <f>VLOOKUP(D280,Sales_Reps!$A$2:$C$31,3,FALSE)</f>
        <v>North</v>
      </c>
      <c r="I280" s="44">
        <f t="shared" si="11"/>
        <v>45383</v>
      </c>
      <c r="L280" t="str">
        <f>Orders!K280</f>
        <v>Delhi</v>
      </c>
      <c r="M280">
        <f>Orders!G280</f>
        <v>5100</v>
      </c>
      <c r="N280">
        <f>IFERROR(VLOOKUP(Orders!D280,Products!$A$2:$D$61,4,FALSE),"")</f>
        <v>2237</v>
      </c>
      <c r="O280">
        <f t="shared" si="12"/>
        <v>0.56137254901960787</v>
      </c>
      <c r="Q280" t="str">
        <f>Orders!D280</f>
        <v>PROD-048</v>
      </c>
    </row>
    <row r="281" spans="1:17" x14ac:dyDescent="0.3">
      <c r="A281" t="str">
        <f>Orders!A281</f>
        <v>ORD-00280</v>
      </c>
      <c r="B281">
        <f>Orders!B281</f>
        <v>45541</v>
      </c>
      <c r="C281">
        <f>Orders!I281</f>
        <v>33158.160000000003</v>
      </c>
      <c r="D281" t="str">
        <f>Orders!E281</f>
        <v>R003</v>
      </c>
      <c r="E281" t="str">
        <f>IFERROR(VLOOKUP(Orders!D281,Products!$A$2:$C$61,3,FALSE),"Unknown")</f>
        <v>Electronics</v>
      </c>
      <c r="F281" t="str">
        <f>IFERROR(VLOOKUP(Orders!C281,Customers!$A$2:$E$301,5,FALSE),"Unknown")</f>
        <v>Retail</v>
      </c>
      <c r="G281">
        <f>IFERROR(VLOOKUP(Orders!C281,Customers!$A$2:$C$301,3,FALSE),"")</f>
        <v>55</v>
      </c>
      <c r="H281" t="str">
        <f>VLOOKUP(D281,Sales_Reps!$A$2:$C$31,3,FALSE)</f>
        <v>North</v>
      </c>
      <c r="I281" s="44">
        <f t="shared" si="11"/>
        <v>45536</v>
      </c>
      <c r="L281" t="str">
        <f>Orders!K281</f>
        <v>Bengaluru</v>
      </c>
      <c r="M281">
        <f>Orders!G281</f>
        <v>3870</v>
      </c>
      <c r="N281">
        <f>IFERROR(VLOOKUP(Orders!D281,Products!$A$2:$D$61,4,FALSE),"")</f>
        <v>1559</v>
      </c>
      <c r="O281">
        <f t="shared" si="12"/>
        <v>0.59715762273901807</v>
      </c>
      <c r="Q281" t="str">
        <f>Orders!D281</f>
        <v>PROD-004</v>
      </c>
    </row>
    <row r="282" spans="1:17" x14ac:dyDescent="0.3">
      <c r="A282" t="str">
        <f>Orders!A282</f>
        <v>ORD-00281</v>
      </c>
      <c r="B282">
        <f>Orders!B282</f>
        <v>45633</v>
      </c>
      <c r="C282">
        <f>Orders!I282</f>
        <v>5856</v>
      </c>
      <c r="D282" t="str">
        <f>Orders!E282</f>
        <v>R029</v>
      </c>
      <c r="E282" t="str">
        <f>IFERROR(VLOOKUP(Orders!D282,Products!$A$2:$C$61,3,FALSE),"Unknown")</f>
        <v>Electronics</v>
      </c>
      <c r="F282" t="str">
        <f>IFERROR(VLOOKUP(Orders!C282,Customers!$A$2:$E$301,5,FALSE),"Unknown")</f>
        <v>Corporate</v>
      </c>
      <c r="G282">
        <f>IFERROR(VLOOKUP(Orders!C282,Customers!$A$2:$C$301,3,FALSE),"")</f>
        <v>40</v>
      </c>
      <c r="H282" t="str">
        <f>VLOOKUP(D282,Sales_Reps!$A$2:$C$31,3,FALSE)</f>
        <v>West</v>
      </c>
      <c r="I282" s="44">
        <f t="shared" si="11"/>
        <v>45627</v>
      </c>
      <c r="L282" t="str">
        <f>Orders!K282</f>
        <v>Pune</v>
      </c>
      <c r="M282">
        <f>Orders!G282</f>
        <v>1220</v>
      </c>
      <c r="N282">
        <f>IFERROR(VLOOKUP(Orders!D282,Products!$A$2:$D$61,4,FALSE),"")</f>
        <v>517</v>
      </c>
      <c r="O282">
        <f t="shared" si="12"/>
        <v>0.57622950819672136</v>
      </c>
      <c r="Q282" t="str">
        <f>Orders!D282</f>
        <v>PROD-009</v>
      </c>
    </row>
    <row r="283" spans="1:17" x14ac:dyDescent="0.3">
      <c r="A283" t="str">
        <f>Orders!A283</f>
        <v>ORD-00282</v>
      </c>
      <c r="B283">
        <f>Orders!B283</f>
        <v>45338</v>
      </c>
      <c r="C283">
        <f>Orders!I283</f>
        <v>22014.9</v>
      </c>
      <c r="D283" t="str">
        <f>Orders!E283</f>
        <v>R023</v>
      </c>
      <c r="E283" t="str">
        <f>IFERROR(VLOOKUP(Orders!D283,Products!$A$2:$C$61,3,FALSE),"Unknown")</f>
        <v>Home</v>
      </c>
      <c r="F283" t="str">
        <f>IFERROR(VLOOKUP(Orders!C283,Customers!$A$2:$E$301,5,FALSE),"Unknown")</f>
        <v>Retail</v>
      </c>
      <c r="G283">
        <f>IFERROR(VLOOKUP(Orders!C283,Customers!$A$2:$C$301,3,FALSE),"")</f>
        <v>32</v>
      </c>
      <c r="H283" t="str">
        <f>VLOOKUP(D283,Sales_Reps!$A$2:$C$31,3,FALSE)</f>
        <v>East</v>
      </c>
      <c r="I283" s="44">
        <f t="shared" si="11"/>
        <v>45323</v>
      </c>
      <c r="L283" t="str">
        <f>Orders!K283</f>
        <v>Hyderabad</v>
      </c>
      <c r="M283">
        <f>Orders!G283</f>
        <v>5490</v>
      </c>
      <c r="N283">
        <f>IFERROR(VLOOKUP(Orders!D283,Products!$A$2:$D$61,4,FALSE),"")</f>
        <v>2549</v>
      </c>
      <c r="O283">
        <f t="shared" si="12"/>
        <v>0.53570127504553733</v>
      </c>
      <c r="Q283" t="str">
        <f>Orders!D283</f>
        <v>PROD-038</v>
      </c>
    </row>
    <row r="284" spans="1:17" x14ac:dyDescent="0.3">
      <c r="A284" t="str">
        <f>Orders!A284</f>
        <v>ORD-00283</v>
      </c>
      <c r="B284">
        <f>Orders!B284</f>
        <v>45529</v>
      </c>
      <c r="C284">
        <f>Orders!I284</f>
        <v>1217.7</v>
      </c>
      <c r="D284" t="str">
        <f>Orders!E284</f>
        <v>R001</v>
      </c>
      <c r="E284" t="str">
        <f>IFERROR(VLOOKUP(Orders!D284,Products!$A$2:$C$61,3,FALSE),"Unknown")</f>
        <v>Beauty</v>
      </c>
      <c r="F284" t="str">
        <f>IFERROR(VLOOKUP(Orders!C284,Customers!$A$2:$E$301,5,FALSE),"Unknown")</f>
        <v>Retail</v>
      </c>
      <c r="G284">
        <f>IFERROR(VLOOKUP(Orders!C284,Customers!$A$2:$C$301,3,FALSE),"")</f>
        <v>23</v>
      </c>
      <c r="H284" t="str">
        <f>VLOOKUP(D284,Sales_Reps!$A$2:$C$31,3,FALSE)</f>
        <v>North</v>
      </c>
      <c r="I284" s="44">
        <f t="shared" si="11"/>
        <v>45505</v>
      </c>
      <c r="L284" t="str">
        <f>Orders!K284</f>
        <v>Bengaluru</v>
      </c>
      <c r="M284">
        <f>Orders!G284</f>
        <v>1650</v>
      </c>
      <c r="N284">
        <f>IFERROR(VLOOKUP(Orders!D284,Products!$A$2:$D$61,4,FALSE),"")</f>
        <v>1222</v>
      </c>
      <c r="O284">
        <f t="shared" si="12"/>
        <v>0.2593939393939394</v>
      </c>
      <c r="Q284" t="str">
        <f>Orders!D284</f>
        <v>PROD-044</v>
      </c>
    </row>
    <row r="285" spans="1:17" x14ac:dyDescent="0.3">
      <c r="A285" t="str">
        <f>Orders!A285</f>
        <v>ORD-00284</v>
      </c>
      <c r="B285">
        <f>Orders!B285</f>
        <v>45460</v>
      </c>
      <c r="C285">
        <f>Orders!I285</f>
        <v>2101.4</v>
      </c>
      <c r="D285" t="str">
        <f>Orders!E285</f>
        <v>R003</v>
      </c>
      <c r="E285" t="str">
        <f>IFERROR(VLOOKUP(Orders!D285,Products!$A$2:$C$61,3,FALSE),"Unknown")</f>
        <v>Electronics</v>
      </c>
      <c r="F285" t="str">
        <f>IFERROR(VLOOKUP(Orders!C285,Customers!$A$2:$E$301,5,FALSE),"Unknown")</f>
        <v>Retail</v>
      </c>
      <c r="G285">
        <f>IFERROR(VLOOKUP(Orders!C285,Customers!$A$2:$C$301,3,FALSE),"")</f>
        <v>50</v>
      </c>
      <c r="H285" t="str">
        <f>VLOOKUP(D285,Sales_Reps!$A$2:$C$31,3,FALSE)</f>
        <v>North</v>
      </c>
      <c r="I285" s="44">
        <f t="shared" si="11"/>
        <v>45444</v>
      </c>
      <c r="L285" t="str">
        <f>Orders!K285</f>
        <v>Hyderabad</v>
      </c>
      <c r="M285">
        <f>Orders!G285</f>
        <v>2660</v>
      </c>
      <c r="N285">
        <f>IFERROR(VLOOKUP(Orders!D285,Products!$A$2:$D$61,4,FALSE),"")</f>
        <v>1259</v>
      </c>
      <c r="O285">
        <f t="shared" si="12"/>
        <v>0.52669172932330832</v>
      </c>
      <c r="Q285" t="str">
        <f>Orders!D285</f>
        <v>PROD-008</v>
      </c>
    </row>
    <row r="286" spans="1:17" x14ac:dyDescent="0.3">
      <c r="A286" t="str">
        <f>Orders!A286</f>
        <v>ORD-00285</v>
      </c>
      <c r="B286">
        <f>Orders!B286</f>
        <v>45375</v>
      </c>
      <c r="C286">
        <f>Orders!I286</f>
        <v>11960.52</v>
      </c>
      <c r="D286" t="str">
        <f>Orders!E286</f>
        <v>R003</v>
      </c>
      <c r="E286" t="str">
        <f>IFERROR(VLOOKUP(Orders!D286,Products!$A$2:$C$61,3,FALSE),"Unknown")</f>
        <v>Grocery</v>
      </c>
      <c r="F286" t="str">
        <f>IFERROR(VLOOKUP(Orders!C286,Customers!$A$2:$E$301,5,FALSE),"Unknown")</f>
        <v>Corporate</v>
      </c>
      <c r="G286">
        <f>IFERROR(VLOOKUP(Orders!C286,Customers!$A$2:$C$301,3,FALSE),"")</f>
        <v>59</v>
      </c>
      <c r="H286" t="str">
        <f>VLOOKUP(D286,Sales_Reps!$A$2:$C$31,3,FALSE)</f>
        <v>North</v>
      </c>
      <c r="I286" s="44">
        <f t="shared" si="11"/>
        <v>45352</v>
      </c>
      <c r="L286" t="str">
        <f>Orders!K286</f>
        <v>Bengaluru</v>
      </c>
      <c r="M286">
        <f>Orders!G286</f>
        <v>2210</v>
      </c>
      <c r="N286">
        <f>IFERROR(VLOOKUP(Orders!D286,Products!$A$2:$D$61,4,FALSE),"")</f>
        <v>1010</v>
      </c>
      <c r="O286">
        <f t="shared" si="12"/>
        <v>0.54298642533936647</v>
      </c>
      <c r="Q286" t="str">
        <f>Orders!D286</f>
        <v>PROD-029</v>
      </c>
    </row>
    <row r="287" spans="1:17" x14ac:dyDescent="0.3">
      <c r="A287" t="str">
        <f>Orders!A287</f>
        <v>ORD-00286</v>
      </c>
      <c r="B287">
        <f>Orders!B287</f>
        <v>45310</v>
      </c>
      <c r="C287">
        <f>Orders!I287</f>
        <v>19726.2</v>
      </c>
      <c r="D287" t="str">
        <f>Orders!E287</f>
        <v>R001</v>
      </c>
      <c r="E287" t="str">
        <f>IFERROR(VLOOKUP(Orders!D287,Products!$A$2:$C$61,3,FALSE),"Unknown")</f>
        <v>Electronics</v>
      </c>
      <c r="F287" t="str">
        <f>IFERROR(VLOOKUP(Orders!C287,Customers!$A$2:$E$301,5,FALSE),"Unknown")</f>
        <v>SMB</v>
      </c>
      <c r="G287">
        <f>IFERROR(VLOOKUP(Orders!C287,Customers!$A$2:$C$301,3,FALSE),"")</f>
        <v>55</v>
      </c>
      <c r="H287" t="str">
        <f>VLOOKUP(D287,Sales_Reps!$A$2:$C$31,3,FALSE)</f>
        <v>North</v>
      </c>
      <c r="I287" s="44">
        <f t="shared" si="11"/>
        <v>45292</v>
      </c>
      <c r="L287" t="str">
        <f>Orders!K287</f>
        <v>Delhi</v>
      </c>
      <c r="M287">
        <f>Orders!G287</f>
        <v>2600</v>
      </c>
      <c r="N287">
        <f>IFERROR(VLOOKUP(Orders!D287,Products!$A$2:$D$61,4,FALSE),"")</f>
        <v>1052</v>
      </c>
      <c r="O287">
        <f t="shared" si="12"/>
        <v>0.5953846153846154</v>
      </c>
      <c r="Q287" t="str">
        <f>Orders!D287</f>
        <v>PROD-002</v>
      </c>
    </row>
    <row r="288" spans="1:17" x14ac:dyDescent="0.3">
      <c r="A288" t="str">
        <f>Orders!A288</f>
        <v>ORD-00287</v>
      </c>
      <c r="B288">
        <f>Orders!B288</f>
        <v>45314</v>
      </c>
      <c r="C288">
        <f>Orders!I288</f>
        <v>7012.44</v>
      </c>
      <c r="D288" t="str">
        <f>Orders!E288</f>
        <v>R025</v>
      </c>
      <c r="E288" t="str">
        <f>IFERROR(VLOOKUP(Orders!D288,Products!$A$2:$C$61,3,FALSE),"Unknown")</f>
        <v>Beauty</v>
      </c>
      <c r="F288" t="str">
        <f>IFERROR(VLOOKUP(Orders!C288,Customers!$A$2:$E$301,5,FALSE),"Unknown")</f>
        <v>Retail</v>
      </c>
      <c r="G288">
        <f>IFERROR(VLOOKUP(Orders!C288,Customers!$A$2:$C$301,3,FALSE),"")</f>
        <v>27</v>
      </c>
      <c r="H288" t="str">
        <f>VLOOKUP(D288,Sales_Reps!$A$2:$C$31,3,FALSE)</f>
        <v>West</v>
      </c>
      <c r="I288" s="44">
        <f t="shared" si="11"/>
        <v>45292</v>
      </c>
      <c r="L288" t="str">
        <f>Orders!K288</f>
        <v>Hyderabad</v>
      </c>
      <c r="M288">
        <f>Orders!G288</f>
        <v>3020</v>
      </c>
      <c r="N288">
        <f>IFERROR(VLOOKUP(Orders!D288,Products!$A$2:$D$61,4,FALSE),"")</f>
        <v>1626</v>
      </c>
      <c r="O288">
        <f t="shared" si="12"/>
        <v>0.46158940397350995</v>
      </c>
      <c r="Q288" t="str">
        <f>Orders!D288</f>
        <v>PROD-045</v>
      </c>
    </row>
    <row r="289" spans="1:17" x14ac:dyDescent="0.3">
      <c r="A289" t="str">
        <f>Orders!A289</f>
        <v>ORD-00288</v>
      </c>
      <c r="B289">
        <f>Orders!B289</f>
        <v>45459</v>
      </c>
      <c r="C289">
        <f>Orders!I289</f>
        <v>1944.72</v>
      </c>
      <c r="D289" t="str">
        <f>Orders!E289</f>
        <v>R005</v>
      </c>
      <c r="E289" t="str">
        <f>IFERROR(VLOOKUP(Orders!D289,Products!$A$2:$C$61,3,FALSE),"Unknown")</f>
        <v>Home</v>
      </c>
      <c r="F289" t="str">
        <f>IFERROR(VLOOKUP(Orders!C289,Customers!$A$2:$E$301,5,FALSE),"Unknown")</f>
        <v>Corporate</v>
      </c>
      <c r="G289">
        <f>IFERROR(VLOOKUP(Orders!C289,Customers!$A$2:$C$301,3,FALSE),"")</f>
        <v>33</v>
      </c>
      <c r="H289" t="str">
        <f>VLOOKUP(D289,Sales_Reps!$A$2:$C$31,3,FALSE)</f>
        <v>North</v>
      </c>
      <c r="I289" s="44">
        <f t="shared" si="11"/>
        <v>45444</v>
      </c>
      <c r="L289" t="str">
        <f>Orders!K289</f>
        <v>Pune</v>
      </c>
      <c r="M289">
        <f>Orders!G289</f>
        <v>370</v>
      </c>
      <c r="N289">
        <f>IFERROR(VLOOKUP(Orders!D289,Products!$A$2:$D$61,4,FALSE),"")</f>
        <v>288</v>
      </c>
      <c r="O289">
        <f t="shared" si="12"/>
        <v>0.22162162162162163</v>
      </c>
      <c r="Q289" t="str">
        <f>Orders!D289</f>
        <v>PROD-032</v>
      </c>
    </row>
    <row r="290" spans="1:17" x14ac:dyDescent="0.3">
      <c r="A290" t="str">
        <f>Orders!A290</f>
        <v>ORD-00289</v>
      </c>
      <c r="B290">
        <f>Orders!B290</f>
        <v>45312</v>
      </c>
      <c r="C290">
        <f>Orders!I290</f>
        <v>35732.32</v>
      </c>
      <c r="D290" t="str">
        <f>Orders!E290</f>
        <v>R006</v>
      </c>
      <c r="E290" t="str">
        <f>IFERROR(VLOOKUP(Orders!D290,Products!$A$2:$C$61,3,FALSE),"Unknown")</f>
        <v>Electronics</v>
      </c>
      <c r="F290" t="str">
        <f>IFERROR(VLOOKUP(Orders!C290,Customers!$A$2:$E$301,5,FALSE),"Unknown")</f>
        <v>Retail</v>
      </c>
      <c r="G290">
        <f>IFERROR(VLOOKUP(Orders!C290,Customers!$A$2:$C$301,3,FALSE),"")</f>
        <v>53</v>
      </c>
      <c r="H290" t="str">
        <f>VLOOKUP(D290,Sales_Reps!$A$2:$C$31,3,FALSE)</f>
        <v>North</v>
      </c>
      <c r="I290" s="44">
        <f t="shared" si="11"/>
        <v>45292</v>
      </c>
      <c r="L290" t="str">
        <f>Orders!K290</f>
        <v>Mumbai</v>
      </c>
      <c r="M290">
        <f>Orders!G290</f>
        <v>5330</v>
      </c>
      <c r="N290">
        <f>IFERROR(VLOOKUP(Orders!D290,Products!$A$2:$D$61,4,FALSE),"")</f>
        <v>2405</v>
      </c>
      <c r="O290">
        <f t="shared" si="12"/>
        <v>0.54878048780487809</v>
      </c>
      <c r="Q290" t="str">
        <f>Orders!D290</f>
        <v>PROD-001</v>
      </c>
    </row>
    <row r="291" spans="1:17" x14ac:dyDescent="0.3">
      <c r="A291" t="str">
        <f>Orders!A291</f>
        <v>ORD-00290</v>
      </c>
      <c r="B291">
        <f>Orders!B291</f>
        <v>45500</v>
      </c>
      <c r="C291">
        <f>Orders!I291</f>
        <v>12744.8</v>
      </c>
      <c r="D291" t="str">
        <f>Orders!E291</f>
        <v>R030</v>
      </c>
      <c r="E291" t="str">
        <f>IFERROR(VLOOKUP(Orders!D291,Products!$A$2:$C$61,3,FALSE),"Unknown")</f>
        <v>Apparel</v>
      </c>
      <c r="F291" t="str">
        <f>IFERROR(VLOOKUP(Orders!C291,Customers!$A$2:$E$301,5,FALSE),"Unknown")</f>
        <v>Retail</v>
      </c>
      <c r="G291">
        <f>IFERROR(VLOOKUP(Orders!C291,Customers!$A$2:$C$301,3,FALSE),"")</f>
        <v>37</v>
      </c>
      <c r="H291" t="str">
        <f>VLOOKUP(D291,Sales_Reps!$A$2:$C$31,3,FALSE)</f>
        <v>West</v>
      </c>
      <c r="I291" s="44">
        <f t="shared" si="11"/>
        <v>45474</v>
      </c>
      <c r="L291" t="str">
        <f>Orders!K291</f>
        <v>Chennai</v>
      </c>
      <c r="M291">
        <f>Orders!G291</f>
        <v>3560</v>
      </c>
      <c r="N291">
        <f>IFERROR(VLOOKUP(Orders!D291,Products!$A$2:$D$61,4,FALSE),"")</f>
        <v>2629</v>
      </c>
      <c r="O291">
        <f t="shared" si="12"/>
        <v>0.26151685393258428</v>
      </c>
      <c r="Q291" t="str">
        <f>Orders!D291</f>
        <v>PROD-018</v>
      </c>
    </row>
    <row r="292" spans="1:17" x14ac:dyDescent="0.3">
      <c r="A292" t="str">
        <f>Orders!A292</f>
        <v>ORD-00291</v>
      </c>
      <c r="B292">
        <f>Orders!B292</f>
        <v>45389</v>
      </c>
      <c r="C292">
        <f>Orders!I292</f>
        <v>9009.2000000000007</v>
      </c>
      <c r="D292" t="str">
        <f>Orders!E292</f>
        <v>R030</v>
      </c>
      <c r="E292" t="str">
        <f>IFERROR(VLOOKUP(Orders!D292,Products!$A$2:$C$61,3,FALSE),"Unknown")</f>
        <v>Sports</v>
      </c>
      <c r="F292" t="str">
        <f>IFERROR(VLOOKUP(Orders!C292,Customers!$A$2:$E$301,5,FALSE),"Unknown")</f>
        <v>Retail</v>
      </c>
      <c r="G292">
        <f>IFERROR(VLOOKUP(Orders!C292,Customers!$A$2:$C$301,3,FALSE),"")</f>
        <v>34</v>
      </c>
      <c r="H292" t="str">
        <f>VLOOKUP(D292,Sales_Reps!$A$2:$C$31,3,FALSE)</f>
        <v>West</v>
      </c>
      <c r="I292" s="44">
        <f t="shared" si="11"/>
        <v>45383</v>
      </c>
      <c r="L292" t="str">
        <f>Orders!K292</f>
        <v>Bengaluru</v>
      </c>
      <c r="M292">
        <f>Orders!G292</f>
        <v>1010</v>
      </c>
      <c r="N292">
        <f>IFERROR(VLOOKUP(Orders!D292,Products!$A$2:$D$61,4,FALSE),"")</f>
        <v>516</v>
      </c>
      <c r="O292">
        <f t="shared" si="12"/>
        <v>0.4891089108910891</v>
      </c>
      <c r="Q292" t="str">
        <f>Orders!D292</f>
        <v>PROD-054</v>
      </c>
    </row>
    <row r="293" spans="1:17" x14ac:dyDescent="0.3">
      <c r="A293" t="str">
        <f>Orders!A293</f>
        <v>ORD-00292</v>
      </c>
      <c r="B293">
        <f>Orders!B293</f>
        <v>45619</v>
      </c>
      <c r="C293">
        <f>Orders!I293</f>
        <v>53743.360000000001</v>
      </c>
      <c r="D293" t="str">
        <f>Orders!E293</f>
        <v>R006</v>
      </c>
      <c r="E293" t="str">
        <f>IFERROR(VLOOKUP(Orders!D293,Products!$A$2:$C$61,3,FALSE),"Unknown")</f>
        <v>Sports</v>
      </c>
      <c r="F293" t="str">
        <f>IFERROR(VLOOKUP(Orders!C293,Customers!$A$2:$E$301,5,FALSE),"Unknown")</f>
        <v>Corporate</v>
      </c>
      <c r="G293">
        <f>IFERROR(VLOOKUP(Orders!C293,Customers!$A$2:$C$301,3,FALSE),"")</f>
        <v>41</v>
      </c>
      <c r="H293" t="str">
        <f>VLOOKUP(D293,Sales_Reps!$A$2:$C$31,3,FALSE)</f>
        <v>North</v>
      </c>
      <c r="I293" s="44">
        <f t="shared" si="11"/>
        <v>45597</v>
      </c>
      <c r="L293" t="str">
        <f>Orders!K293</f>
        <v>Chennai</v>
      </c>
      <c r="M293">
        <f>Orders!G293</f>
        <v>6940</v>
      </c>
      <c r="N293">
        <f>IFERROR(VLOOKUP(Orders!D293,Products!$A$2:$D$61,4,FALSE),"")</f>
        <v>2827</v>
      </c>
      <c r="O293">
        <f t="shared" si="12"/>
        <v>0.5926512968299712</v>
      </c>
      <c r="Q293" t="str">
        <f>Orders!D293</f>
        <v>PROD-056</v>
      </c>
    </row>
    <row r="294" spans="1:17" x14ac:dyDescent="0.3">
      <c r="A294" t="str">
        <f>Orders!A294</f>
        <v>ORD-00335</v>
      </c>
      <c r="B294">
        <f>Orders!B294</f>
        <v>45617</v>
      </c>
      <c r="C294">
        <f>Orders!I294</f>
        <v>21323.68</v>
      </c>
      <c r="D294" t="str">
        <f>Orders!E294</f>
        <v>R015</v>
      </c>
      <c r="E294" t="str">
        <f>IFERROR(VLOOKUP(Orders!D294,Products!$A$2:$C$61,3,FALSE),"Unknown")</f>
        <v>Apparel</v>
      </c>
      <c r="F294" t="str">
        <f>IFERROR(VLOOKUP(Orders!C294,Customers!$A$2:$E$301,5,FALSE),"Unknown")</f>
        <v>Retail</v>
      </c>
      <c r="G294">
        <f>IFERROR(VLOOKUP(Orders!C294,Customers!$A$2:$C$301,3,FALSE),"")</f>
        <v>46</v>
      </c>
      <c r="H294" t="str">
        <f>VLOOKUP(D294,Sales_Reps!$A$2:$C$31,3,FALSE)</f>
        <v>South</v>
      </c>
      <c r="I294" s="44">
        <f t="shared" si="11"/>
        <v>45597</v>
      </c>
      <c r="L294" t="str">
        <f>Orders!K294</f>
        <v>Hyderabad</v>
      </c>
      <c r="M294">
        <f>Orders!G294</f>
        <v>3160</v>
      </c>
      <c r="N294">
        <f>IFERROR(VLOOKUP(Orders!D294,Products!$A$2:$D$61,4,FALSE),"")</f>
        <v>1886</v>
      </c>
      <c r="O294">
        <f t="shared" si="12"/>
        <v>0.4031645569620253</v>
      </c>
      <c r="Q294" t="str">
        <f>Orders!D294</f>
        <v>PROD-012</v>
      </c>
    </row>
    <row r="295" spans="1:17" x14ac:dyDescent="0.3">
      <c r="A295" t="str">
        <f>Orders!A295</f>
        <v>ORD-00294</v>
      </c>
      <c r="B295">
        <f>Orders!B295</f>
        <v>45640</v>
      </c>
      <c r="C295">
        <f>Orders!I295</f>
        <v>5124</v>
      </c>
      <c r="D295" t="str">
        <f>Orders!E295</f>
        <v>R008</v>
      </c>
      <c r="E295" t="str">
        <f>IFERROR(VLOOKUP(Orders!D295,Products!$A$2:$C$61,3,FALSE),"Unknown")</f>
        <v>Grocery</v>
      </c>
      <c r="F295" t="str">
        <f>IFERROR(VLOOKUP(Orders!C295,Customers!$A$2:$E$301,5,FALSE),"Unknown")</f>
        <v>Retail</v>
      </c>
      <c r="G295">
        <f>IFERROR(VLOOKUP(Orders!C295,Customers!$A$2:$C$301,3,FALSE),"")</f>
        <v>49</v>
      </c>
      <c r="H295" t="str">
        <f>VLOOKUP(D295,Sales_Reps!$A$2:$C$31,3,FALSE)</f>
        <v>North</v>
      </c>
      <c r="I295" s="44">
        <f t="shared" si="11"/>
        <v>45627</v>
      </c>
      <c r="L295" t="str">
        <f>Orders!K295</f>
        <v>Pune</v>
      </c>
      <c r="M295">
        <f>Orders!G295</f>
        <v>3660</v>
      </c>
      <c r="N295">
        <f>IFERROR(VLOOKUP(Orders!D295,Products!$A$2:$D$61,4,FALSE),"")</f>
        <v>2214</v>
      </c>
      <c r="O295">
        <f t="shared" si="12"/>
        <v>0.39508196721311473</v>
      </c>
      <c r="Q295" t="str">
        <f>Orders!D295</f>
        <v>PROD-028</v>
      </c>
    </row>
    <row r="296" spans="1:17" x14ac:dyDescent="0.3">
      <c r="A296" t="str">
        <f>Orders!A296</f>
        <v>ORD-00295</v>
      </c>
      <c r="B296">
        <f>Orders!B296</f>
        <v>45401</v>
      </c>
      <c r="C296">
        <f>Orders!I296</f>
        <v>2161.04</v>
      </c>
      <c r="D296" t="str">
        <f>Orders!E296</f>
        <v>R005</v>
      </c>
      <c r="E296" t="str">
        <f>IFERROR(VLOOKUP(Orders!D296,Products!$A$2:$C$61,3,FALSE),"Unknown")</f>
        <v>Grocery</v>
      </c>
      <c r="F296" t="str">
        <f>IFERROR(VLOOKUP(Orders!C296,Customers!$A$2:$E$301,5,FALSE),"Unknown")</f>
        <v>Retail</v>
      </c>
      <c r="G296">
        <f>IFERROR(VLOOKUP(Orders!C296,Customers!$A$2:$C$301,3,FALSE),"")</f>
        <v>25</v>
      </c>
      <c r="H296" t="str">
        <f>VLOOKUP(D296,Sales_Reps!$A$2:$C$31,3,FALSE)</f>
        <v>North</v>
      </c>
      <c r="I296" s="44">
        <f t="shared" si="11"/>
        <v>45383</v>
      </c>
      <c r="L296" t="str">
        <f>Orders!K296</f>
        <v>Mumbai</v>
      </c>
      <c r="M296">
        <f>Orders!G296</f>
        <v>2270</v>
      </c>
      <c r="N296">
        <f>IFERROR(VLOOKUP(Orders!D296,Products!$A$2:$D$61,4,FALSE),"")</f>
        <v>1203</v>
      </c>
      <c r="O296">
        <f t="shared" si="12"/>
        <v>0.47004405286343615</v>
      </c>
      <c r="Q296" t="str">
        <f>Orders!D296</f>
        <v>PROD-024</v>
      </c>
    </row>
    <row r="297" spans="1:17" x14ac:dyDescent="0.3">
      <c r="A297" t="str">
        <f>Orders!A297</f>
        <v>ORD-00296</v>
      </c>
      <c r="B297">
        <f>Orders!B297</f>
        <v>45405</v>
      </c>
      <c r="C297">
        <f>Orders!I297</f>
        <v>26308.799999999999</v>
      </c>
      <c r="D297" t="str">
        <f>Orders!E297</f>
        <v>R025</v>
      </c>
      <c r="E297" t="str">
        <f>IFERROR(VLOOKUP(Orders!D297,Products!$A$2:$C$61,3,FALSE),"Unknown")</f>
        <v>Sports</v>
      </c>
      <c r="F297" t="str">
        <f>IFERROR(VLOOKUP(Orders!C297,Customers!$A$2:$E$301,5,FALSE),"Unknown")</f>
        <v>Retail</v>
      </c>
      <c r="G297">
        <f>IFERROR(VLOOKUP(Orders!C297,Customers!$A$2:$C$301,3,FALSE),"")</f>
        <v>53</v>
      </c>
      <c r="H297" t="str">
        <f>VLOOKUP(D297,Sales_Reps!$A$2:$C$31,3,FALSE)</f>
        <v>West</v>
      </c>
      <c r="I297" s="44">
        <f t="shared" si="11"/>
        <v>45383</v>
      </c>
      <c r="L297" t="str">
        <f>Orders!K297</f>
        <v>Delhi</v>
      </c>
      <c r="M297">
        <f>Orders!G297</f>
        <v>3780</v>
      </c>
      <c r="N297">
        <f>IFERROR(VLOOKUP(Orders!D297,Products!$A$2:$D$61,4,FALSE),"")</f>
        <v>1860</v>
      </c>
      <c r="O297">
        <f t="shared" si="12"/>
        <v>0.50793650793650791</v>
      </c>
      <c r="Q297" t="str">
        <f>Orders!D297</f>
        <v>PROD-059</v>
      </c>
    </row>
    <row r="298" spans="1:17" x14ac:dyDescent="0.3">
      <c r="A298" t="str">
        <f>Orders!A298</f>
        <v>ORD-01770</v>
      </c>
      <c r="B298">
        <f>Orders!B298</f>
        <v>45537</v>
      </c>
      <c r="C298">
        <f>Orders!I298</f>
        <v>3083.08</v>
      </c>
      <c r="D298" t="str">
        <f>Orders!E298</f>
        <v>R012</v>
      </c>
      <c r="E298" t="str">
        <f>IFERROR(VLOOKUP(Orders!D298,Products!$A$2:$C$61,3,FALSE),"Unknown")</f>
        <v>Apparel</v>
      </c>
      <c r="F298" t="str">
        <f>IFERROR(VLOOKUP(Orders!C298,Customers!$A$2:$E$301,5,FALSE),"Unknown")</f>
        <v>SMB</v>
      </c>
      <c r="G298">
        <f>IFERROR(VLOOKUP(Orders!C298,Customers!$A$2:$C$301,3,FALSE),"")</f>
        <v>65</v>
      </c>
      <c r="H298" t="str">
        <f>VLOOKUP(D298,Sales_Reps!$A$2:$C$31,3,FALSE)</f>
        <v>South</v>
      </c>
      <c r="I298" s="44">
        <f t="shared" si="11"/>
        <v>45536</v>
      </c>
      <c r="L298" t="str">
        <f>Orders!K298</f>
        <v>Mumbai</v>
      </c>
      <c r="M298">
        <f>Orders!G298</f>
        <v>3640</v>
      </c>
      <c r="N298">
        <f>IFERROR(VLOOKUP(Orders!D298,Products!$A$2:$D$61,4,FALSE),"")</f>
        <v>2611</v>
      </c>
      <c r="O298">
        <f t="shared" si="12"/>
        <v>0.28269230769230769</v>
      </c>
      <c r="Q298" t="str">
        <f>Orders!D298</f>
        <v>PROD-013</v>
      </c>
    </row>
    <row r="299" spans="1:17" x14ac:dyDescent="0.3">
      <c r="A299" t="str">
        <f>Orders!A299</f>
        <v>ORD-00298</v>
      </c>
      <c r="B299">
        <f>Orders!B299</f>
        <v>45475</v>
      </c>
      <c r="C299">
        <f>Orders!I299</f>
        <v>7007.68</v>
      </c>
      <c r="D299" t="str">
        <f>Orders!E299</f>
        <v>R009</v>
      </c>
      <c r="E299" t="str">
        <f>IFERROR(VLOOKUP(Orders!D299,Products!$A$2:$C$61,3,FALSE),"Unknown")</f>
        <v>Electronics</v>
      </c>
      <c r="F299" t="str">
        <f>IFERROR(VLOOKUP(Orders!C299,Customers!$A$2:$E$301,5,FALSE),"Unknown")</f>
        <v>Retail</v>
      </c>
      <c r="G299">
        <f>IFERROR(VLOOKUP(Orders!C299,Customers!$A$2:$C$301,3,FALSE),"")</f>
        <v>31</v>
      </c>
      <c r="H299" t="str">
        <f>VLOOKUP(D299,Sales_Reps!$A$2:$C$31,3,FALSE)</f>
        <v>South</v>
      </c>
      <c r="I299" s="44">
        <f t="shared" si="11"/>
        <v>45474</v>
      </c>
      <c r="L299" t="str">
        <f>Orders!K299</f>
        <v>Hyderabad</v>
      </c>
      <c r="M299">
        <f>Orders!G299</f>
        <v>1220</v>
      </c>
      <c r="N299">
        <f>IFERROR(VLOOKUP(Orders!D299,Products!$A$2:$D$61,4,FALSE),"")</f>
        <v>517</v>
      </c>
      <c r="O299">
        <f t="shared" si="12"/>
        <v>0.57622950819672136</v>
      </c>
      <c r="Q299" t="str">
        <f>Orders!D299</f>
        <v>PROD-009</v>
      </c>
    </row>
    <row r="300" spans="1:17" x14ac:dyDescent="0.3">
      <c r="A300" t="str">
        <f>Orders!A300</f>
        <v>ORD-00299</v>
      </c>
      <c r="B300">
        <f>Orders!B300</f>
        <v>45624</v>
      </c>
      <c r="C300">
        <f>Orders!I300</f>
        <v>6219.78</v>
      </c>
      <c r="D300" t="str">
        <f>Orders!E300</f>
        <v>R030</v>
      </c>
      <c r="E300" t="str">
        <f>IFERROR(VLOOKUP(Orders!D300,Products!$A$2:$C$61,3,FALSE),"Unknown")</f>
        <v>Apparel</v>
      </c>
      <c r="F300" t="str">
        <f>IFERROR(VLOOKUP(Orders!C300,Customers!$A$2:$E$301,5,FALSE),"Unknown")</f>
        <v>Retail</v>
      </c>
      <c r="G300">
        <f>IFERROR(VLOOKUP(Orders!C300,Customers!$A$2:$C$301,3,FALSE),"")</f>
        <v>40</v>
      </c>
      <c r="H300" t="str">
        <f>VLOOKUP(D300,Sales_Reps!$A$2:$C$31,3,FALSE)</f>
        <v>West</v>
      </c>
      <c r="I300" s="44">
        <f t="shared" si="11"/>
        <v>45597</v>
      </c>
      <c r="L300" t="str">
        <f>Orders!K300</f>
        <v>Mumbai</v>
      </c>
      <c r="M300">
        <f>Orders!G300</f>
        <v>2510</v>
      </c>
      <c r="N300">
        <f>IFERROR(VLOOKUP(Orders!D300,Products!$A$2:$D$61,4,FALSE),"")</f>
        <v>1075</v>
      </c>
      <c r="O300">
        <f t="shared" si="12"/>
        <v>0.57171314741035861</v>
      </c>
      <c r="Q300" t="str">
        <f>Orders!D300</f>
        <v>PROD-017</v>
      </c>
    </row>
    <row r="301" spans="1:17" x14ac:dyDescent="0.3">
      <c r="A301" t="str">
        <f>Orders!A301</f>
        <v>ORD-00300</v>
      </c>
      <c r="B301">
        <f>Orders!B301</f>
        <v>45635</v>
      </c>
      <c r="C301">
        <f>Orders!I301</f>
        <v>929.88</v>
      </c>
      <c r="D301" t="str">
        <f>Orders!E301</f>
        <v>R004</v>
      </c>
      <c r="E301" t="str">
        <f>IFERROR(VLOOKUP(Orders!D301,Products!$A$2:$C$61,3,FALSE),"Unknown")</f>
        <v>Home</v>
      </c>
      <c r="F301" t="str">
        <f>IFERROR(VLOOKUP(Orders!C301,Customers!$A$2:$E$301,5,FALSE),"Unknown")</f>
        <v>SMB</v>
      </c>
      <c r="G301">
        <f>IFERROR(VLOOKUP(Orders!C301,Customers!$A$2:$C$301,3,FALSE),"")</f>
        <v>61</v>
      </c>
      <c r="H301" t="str">
        <f>VLOOKUP(D301,Sales_Reps!$A$2:$C$31,3,FALSE)</f>
        <v>North</v>
      </c>
      <c r="I301" s="44">
        <f t="shared" si="11"/>
        <v>45627</v>
      </c>
      <c r="L301" t="str">
        <f>Orders!K301</f>
        <v>Mumbai</v>
      </c>
      <c r="M301">
        <f>Orders!G301</f>
        <v>1080</v>
      </c>
      <c r="N301">
        <f>IFERROR(VLOOKUP(Orders!D301,Products!$A$2:$D$61,4,FALSE),"")</f>
        <v>519</v>
      </c>
      <c r="O301">
        <f t="shared" si="12"/>
        <v>0.51944444444444449</v>
      </c>
      <c r="Q301" t="str">
        <f>Orders!D301</f>
        <v>PROD-040</v>
      </c>
    </row>
    <row r="302" spans="1:17" x14ac:dyDescent="0.3">
      <c r="A302" t="str">
        <f>Orders!A302</f>
        <v>ORD-00301</v>
      </c>
      <c r="B302">
        <f>Orders!B302</f>
        <v>45395</v>
      </c>
      <c r="C302">
        <f>Orders!I302</f>
        <v>10060.68</v>
      </c>
      <c r="D302" t="str">
        <f>Orders!E302</f>
        <v>R016</v>
      </c>
      <c r="E302" t="str">
        <f>IFERROR(VLOOKUP(Orders!D302,Products!$A$2:$C$61,3,FALSE),"Unknown")</f>
        <v>Home</v>
      </c>
      <c r="F302" t="str">
        <f>IFERROR(VLOOKUP(Orders!C302,Customers!$A$2:$E$301,5,FALSE),"Unknown")</f>
        <v>Retail</v>
      </c>
      <c r="G302">
        <f>IFERROR(VLOOKUP(Orders!C302,Customers!$A$2:$C$301,3,FALSE),"")</f>
        <v>35</v>
      </c>
      <c r="H302" t="str">
        <f>VLOOKUP(D302,Sales_Reps!$A$2:$C$31,3,FALSE)</f>
        <v>South</v>
      </c>
      <c r="I302" s="44">
        <f t="shared" si="11"/>
        <v>45383</v>
      </c>
      <c r="L302" t="str">
        <f>Orders!K302</f>
        <v>Mumbai</v>
      </c>
      <c r="M302">
        <f>Orders!G302</f>
        <v>2030</v>
      </c>
      <c r="N302">
        <f>IFERROR(VLOOKUP(Orders!D302,Products!$A$2:$D$61,4,FALSE),"")</f>
        <v>1143</v>
      </c>
      <c r="O302">
        <f t="shared" si="12"/>
        <v>0.43694581280788175</v>
      </c>
      <c r="Q302" t="str">
        <f>Orders!D302</f>
        <v>PROD-033</v>
      </c>
    </row>
    <row r="303" spans="1:17" x14ac:dyDescent="0.3">
      <c r="A303" t="str">
        <f>Orders!A303</f>
        <v>ORD-00302</v>
      </c>
      <c r="B303">
        <f>Orders!B303</f>
        <v>45415</v>
      </c>
      <c r="C303">
        <f>Orders!I303</f>
        <v>17939.88</v>
      </c>
      <c r="D303" t="str">
        <f>Orders!E303</f>
        <v>R020</v>
      </c>
      <c r="E303" t="str">
        <f>IFERROR(VLOOKUP(Orders!D303,Products!$A$2:$C$61,3,FALSE),"Unknown")</f>
        <v>Sports</v>
      </c>
      <c r="F303" t="str">
        <f>IFERROR(VLOOKUP(Orders!C303,Customers!$A$2:$E$301,5,FALSE),"Unknown")</f>
        <v>Retail</v>
      </c>
      <c r="G303">
        <f>IFERROR(VLOOKUP(Orders!C303,Customers!$A$2:$C$301,3,FALSE),"")</f>
        <v>34</v>
      </c>
      <c r="H303" t="str">
        <f>VLOOKUP(D303,Sales_Reps!$A$2:$C$31,3,FALSE)</f>
        <v>East</v>
      </c>
      <c r="I303" s="44">
        <f t="shared" si="11"/>
        <v>45413</v>
      </c>
      <c r="L303" t="str">
        <f>Orders!K303</f>
        <v>Mumbai</v>
      </c>
      <c r="M303">
        <f>Orders!G303</f>
        <v>3780</v>
      </c>
      <c r="N303">
        <f>IFERROR(VLOOKUP(Orders!D303,Products!$A$2:$D$61,4,FALSE),"")</f>
        <v>1860</v>
      </c>
      <c r="O303">
        <f t="shared" si="12"/>
        <v>0.50793650793650791</v>
      </c>
      <c r="Q303" t="str">
        <f>Orders!D303</f>
        <v>PROD-059</v>
      </c>
    </row>
    <row r="304" spans="1:17" x14ac:dyDescent="0.3">
      <c r="A304" t="str">
        <f>Orders!A304</f>
        <v>ORD-00303</v>
      </c>
      <c r="B304">
        <f>Orders!B304</f>
        <v>45653</v>
      </c>
      <c r="C304">
        <f>Orders!I304</f>
        <v>2821.88</v>
      </c>
      <c r="D304" t="str">
        <f>Orders!E304</f>
        <v>R016</v>
      </c>
      <c r="E304" t="str">
        <f>IFERROR(VLOOKUP(Orders!D304,Products!$A$2:$C$61,3,FALSE),"Unknown")</f>
        <v>Apparel</v>
      </c>
      <c r="F304" t="str">
        <f>IFERROR(VLOOKUP(Orders!C304,Customers!$A$2:$E$301,5,FALSE),"Unknown")</f>
        <v>SMB</v>
      </c>
      <c r="G304">
        <f>IFERROR(VLOOKUP(Orders!C304,Customers!$A$2:$C$301,3,FALSE),"")</f>
        <v>35</v>
      </c>
      <c r="H304" t="str">
        <f>VLOOKUP(D304,Sales_Reps!$A$2:$C$31,3,FALSE)</f>
        <v>South</v>
      </c>
      <c r="I304" s="44">
        <f t="shared" si="11"/>
        <v>45627</v>
      </c>
      <c r="L304" t="str">
        <f>Orders!K304</f>
        <v>Pune</v>
      </c>
      <c r="M304">
        <f>Orders!G304</f>
        <v>3160</v>
      </c>
      <c r="N304">
        <f>IFERROR(VLOOKUP(Orders!D304,Products!$A$2:$D$61,4,FALSE),"")</f>
        <v>1886</v>
      </c>
      <c r="O304">
        <f t="shared" si="12"/>
        <v>0.4031645569620253</v>
      </c>
      <c r="Q304" t="str">
        <f>Orders!D304</f>
        <v>PROD-012</v>
      </c>
    </row>
    <row r="305" spans="1:17" x14ac:dyDescent="0.3">
      <c r="A305" t="str">
        <f>Orders!A305</f>
        <v>ORD-00881</v>
      </c>
      <c r="B305">
        <f>Orders!B305</f>
        <v>45564</v>
      </c>
      <c r="C305">
        <f>Orders!I305</f>
        <v>21618.400000000001</v>
      </c>
      <c r="D305" t="str">
        <f>Orders!E305</f>
        <v>R010</v>
      </c>
      <c r="E305" t="str">
        <f>IFERROR(VLOOKUP(Orders!D305,Products!$A$2:$C$61,3,FALSE),"Unknown")</f>
        <v>Beauty</v>
      </c>
      <c r="F305" t="str">
        <f>IFERROR(VLOOKUP(Orders!C305,Customers!$A$2:$E$301,5,FALSE),"Unknown")</f>
        <v>SMB</v>
      </c>
      <c r="G305">
        <f>IFERROR(VLOOKUP(Orders!C305,Customers!$A$2:$C$301,3,FALSE),"")</f>
        <v>43</v>
      </c>
      <c r="H305" t="str">
        <f>VLOOKUP(D305,Sales_Reps!$A$2:$C$31,3,FALSE)</f>
        <v>South</v>
      </c>
      <c r="I305" s="44">
        <f t="shared" si="11"/>
        <v>45536</v>
      </c>
      <c r="L305" t="str">
        <f>Orders!K305</f>
        <v>Hyderabad</v>
      </c>
      <c r="M305">
        <f>Orders!G305</f>
        <v>4880</v>
      </c>
      <c r="N305">
        <f>IFERROR(VLOOKUP(Orders!D305,Products!$A$2:$D$61,4,FALSE),"")</f>
        <v>2768</v>
      </c>
      <c r="O305">
        <f t="shared" si="12"/>
        <v>0.43278688524590164</v>
      </c>
      <c r="Q305" t="str">
        <f>Orders!D305</f>
        <v>PROD-046</v>
      </c>
    </row>
    <row r="306" spans="1:17" x14ac:dyDescent="0.3">
      <c r="A306" t="str">
        <f>Orders!A306</f>
        <v>ORD-00305</v>
      </c>
      <c r="B306">
        <f>Orders!B306</f>
        <v>45633</v>
      </c>
      <c r="C306">
        <f>Orders!I306</f>
        <v>30213</v>
      </c>
      <c r="D306" t="str">
        <f>Orders!E306</f>
        <v>R009</v>
      </c>
      <c r="E306" t="str">
        <f>IFERROR(VLOOKUP(Orders!D306,Products!$A$2:$C$61,3,FALSE),"Unknown")</f>
        <v>Home</v>
      </c>
      <c r="F306" t="str">
        <f>IFERROR(VLOOKUP(Orders!C306,Customers!$A$2:$E$301,5,FALSE),"Unknown")</f>
        <v>Retail</v>
      </c>
      <c r="G306">
        <f>IFERROR(VLOOKUP(Orders!C306,Customers!$A$2:$C$301,3,FALSE),"")</f>
        <v>43</v>
      </c>
      <c r="H306" t="str">
        <f>VLOOKUP(D306,Sales_Reps!$A$2:$C$31,3,FALSE)</f>
        <v>South</v>
      </c>
      <c r="I306" s="44">
        <f t="shared" si="11"/>
        <v>45627</v>
      </c>
      <c r="L306" t="str">
        <f>Orders!K306</f>
        <v>Delhi</v>
      </c>
      <c r="M306">
        <f>Orders!G306</f>
        <v>3730</v>
      </c>
      <c r="N306">
        <f>IFERROR(VLOOKUP(Orders!D306,Products!$A$2:$D$61,4,FALSE),"")</f>
        <v>2135</v>
      </c>
      <c r="O306">
        <f t="shared" si="12"/>
        <v>0.42761394101876676</v>
      </c>
      <c r="Q306" t="str">
        <f>Orders!D306</f>
        <v>PROD-031</v>
      </c>
    </row>
    <row r="307" spans="1:17" x14ac:dyDescent="0.3">
      <c r="A307" t="str">
        <f>Orders!A307</f>
        <v>ORD-00306</v>
      </c>
      <c r="B307">
        <f>Orders!B307</f>
        <v>45309</v>
      </c>
      <c r="C307">
        <f>Orders!I307</f>
        <v>21513.8</v>
      </c>
      <c r="D307" t="str">
        <f>Orders!E307</f>
        <v>R004</v>
      </c>
      <c r="E307" t="str">
        <f>IFERROR(VLOOKUP(Orders!D307,Products!$A$2:$C$61,3,FALSE),"Unknown")</f>
        <v>Home</v>
      </c>
      <c r="F307" t="str">
        <f>IFERROR(VLOOKUP(Orders!C307,Customers!$A$2:$E$301,5,FALSE),"Unknown")</f>
        <v>Retail</v>
      </c>
      <c r="G307">
        <f>IFERROR(VLOOKUP(Orders!C307,Customers!$A$2:$C$301,3,FALSE),"")</f>
        <v>26</v>
      </c>
      <c r="H307" t="str">
        <f>VLOOKUP(D307,Sales_Reps!$A$2:$C$31,3,FALSE)</f>
        <v>North</v>
      </c>
      <c r="I307" s="44">
        <f t="shared" si="11"/>
        <v>45292</v>
      </c>
      <c r="L307" t="str">
        <f>Orders!K307</f>
        <v>Chennai</v>
      </c>
      <c r="M307">
        <f>Orders!G307</f>
        <v>5080</v>
      </c>
      <c r="N307">
        <f>IFERROR(VLOOKUP(Orders!D307,Products!$A$2:$D$61,4,FALSE),"")</f>
        <v>2459</v>
      </c>
      <c r="O307">
        <f t="shared" si="12"/>
        <v>0.51594488188976373</v>
      </c>
      <c r="Q307" t="str">
        <f>Orders!D307</f>
        <v>PROD-034</v>
      </c>
    </row>
    <row r="308" spans="1:17" x14ac:dyDescent="0.3">
      <c r="A308" t="str">
        <f>Orders!A308</f>
        <v>ORD-00307</v>
      </c>
      <c r="B308">
        <f>Orders!B308</f>
        <v>45403</v>
      </c>
      <c r="C308">
        <f>Orders!I308</f>
        <v>19929.87</v>
      </c>
      <c r="D308" t="str">
        <f>Orders!E308</f>
        <v>R013</v>
      </c>
      <c r="E308" t="str">
        <f>IFERROR(VLOOKUP(Orders!D308,Products!$A$2:$C$61,3,FALSE),"Unknown")</f>
        <v>Beauty</v>
      </c>
      <c r="F308" t="str">
        <f>IFERROR(VLOOKUP(Orders!C308,Customers!$A$2:$E$301,5,FALSE),"Unknown")</f>
        <v>Retail</v>
      </c>
      <c r="G308">
        <f>IFERROR(VLOOKUP(Orders!C308,Customers!$A$2:$C$301,3,FALSE),"")</f>
        <v>54</v>
      </c>
      <c r="H308" t="str">
        <f>VLOOKUP(D308,Sales_Reps!$A$2:$C$31,3,FALSE)</f>
        <v>South</v>
      </c>
      <c r="I308" s="44">
        <f t="shared" si="11"/>
        <v>45383</v>
      </c>
      <c r="L308" t="str">
        <f>Orders!K308</f>
        <v>Mumbai</v>
      </c>
      <c r="M308">
        <f>Orders!G308</f>
        <v>2290</v>
      </c>
      <c r="N308">
        <f>IFERROR(VLOOKUP(Orders!D308,Products!$A$2:$D$61,4,FALSE),"")</f>
        <v>1219</v>
      </c>
      <c r="O308">
        <f t="shared" si="12"/>
        <v>0.46768558951965067</v>
      </c>
      <c r="Q308" t="str">
        <f>Orders!D308</f>
        <v>PROD-042</v>
      </c>
    </row>
    <row r="309" spans="1:17" x14ac:dyDescent="0.3">
      <c r="A309" t="str">
        <f>Orders!A309</f>
        <v>ORD-00308</v>
      </c>
      <c r="B309">
        <f>Orders!B309</f>
        <v>45554</v>
      </c>
      <c r="C309">
        <f>Orders!I309</f>
        <v>12196.1</v>
      </c>
      <c r="D309" t="str">
        <f>Orders!E309</f>
        <v>R010</v>
      </c>
      <c r="E309" t="str">
        <f>IFERROR(VLOOKUP(Orders!D309,Products!$A$2:$C$61,3,FALSE),"Unknown")</f>
        <v>Electronics</v>
      </c>
      <c r="F309" t="str">
        <f>IFERROR(VLOOKUP(Orders!C309,Customers!$A$2:$E$301,5,FALSE),"Unknown")</f>
        <v>SMB</v>
      </c>
      <c r="G309">
        <f>IFERROR(VLOOKUP(Orders!C309,Customers!$A$2:$C$301,3,FALSE),"")</f>
        <v>29</v>
      </c>
      <c r="H309" t="str">
        <f>VLOOKUP(D309,Sales_Reps!$A$2:$C$31,3,FALSE)</f>
        <v>South</v>
      </c>
      <c r="I309" s="44">
        <f t="shared" si="11"/>
        <v>45536</v>
      </c>
      <c r="L309" t="str">
        <f>Orders!K309</f>
        <v>Delhi</v>
      </c>
      <c r="M309">
        <f>Orders!G309</f>
        <v>2660</v>
      </c>
      <c r="N309">
        <f>IFERROR(VLOOKUP(Orders!D309,Products!$A$2:$D$61,4,FALSE),"")</f>
        <v>1259</v>
      </c>
      <c r="O309">
        <f t="shared" si="12"/>
        <v>0.52669172932330832</v>
      </c>
      <c r="Q309" t="str">
        <f>Orders!D309</f>
        <v>PROD-008</v>
      </c>
    </row>
    <row r="310" spans="1:17" x14ac:dyDescent="0.3">
      <c r="A310" t="str">
        <f>Orders!A310</f>
        <v>ORD-00309</v>
      </c>
      <c r="B310">
        <f>Orders!B310</f>
        <v>45529</v>
      </c>
      <c r="C310">
        <f>Orders!I310</f>
        <v>16261.56</v>
      </c>
      <c r="D310" t="str">
        <f>Orders!E310</f>
        <v>R025</v>
      </c>
      <c r="E310" t="str">
        <f>IFERROR(VLOOKUP(Orders!D310,Products!$A$2:$C$61,3,FALSE),"Unknown")</f>
        <v>Grocery</v>
      </c>
      <c r="F310" t="str">
        <f>IFERROR(VLOOKUP(Orders!C310,Customers!$A$2:$E$301,5,FALSE),"Unknown")</f>
        <v>Retail</v>
      </c>
      <c r="G310">
        <f>IFERROR(VLOOKUP(Orders!C310,Customers!$A$2:$C$301,3,FALSE),"")</f>
        <v>41</v>
      </c>
      <c r="H310" t="str">
        <f>VLOOKUP(D310,Sales_Reps!$A$2:$C$31,3,FALSE)</f>
        <v>West</v>
      </c>
      <c r="I310" s="44">
        <f t="shared" si="11"/>
        <v>45505</v>
      </c>
      <c r="L310" t="str">
        <f>Orders!K310</f>
        <v>Delhi</v>
      </c>
      <c r="M310">
        <f>Orders!G310</f>
        <v>3780</v>
      </c>
      <c r="N310">
        <f>IFERROR(VLOOKUP(Orders!D310,Products!$A$2:$D$61,4,FALSE),"")</f>
        <v>2436</v>
      </c>
      <c r="O310">
        <f t="shared" si="12"/>
        <v>0.35555555555555557</v>
      </c>
      <c r="Q310" t="str">
        <f>Orders!D310</f>
        <v>PROD-027</v>
      </c>
    </row>
    <row r="311" spans="1:17" x14ac:dyDescent="0.3">
      <c r="A311" t="str">
        <f>Orders!A311</f>
        <v>ORD-00310</v>
      </c>
      <c r="B311">
        <f>Orders!B311</f>
        <v>45300</v>
      </c>
      <c r="C311">
        <f>Orders!I311</f>
        <v>13123.8</v>
      </c>
      <c r="D311" t="str">
        <f>Orders!E311</f>
        <v>R028</v>
      </c>
      <c r="E311" t="str">
        <f>IFERROR(VLOOKUP(Orders!D311,Products!$A$2:$C$61,3,FALSE),"Unknown")</f>
        <v>Grocery</v>
      </c>
      <c r="F311" t="str">
        <f>IFERROR(VLOOKUP(Orders!C311,Customers!$A$2:$E$301,5,FALSE),"Unknown")</f>
        <v>Retail</v>
      </c>
      <c r="G311">
        <f>IFERROR(VLOOKUP(Orders!C311,Customers!$A$2:$C$301,3,FALSE),"")</f>
        <v>35</v>
      </c>
      <c r="H311" t="str">
        <f>VLOOKUP(D311,Sales_Reps!$A$2:$C$31,3,FALSE)</f>
        <v>West</v>
      </c>
      <c r="I311" s="44">
        <f t="shared" si="11"/>
        <v>45292</v>
      </c>
      <c r="L311" t="str">
        <f>Orders!K311</f>
        <v>Mumbai</v>
      </c>
      <c r="M311">
        <f>Orders!G311</f>
        <v>2760</v>
      </c>
      <c r="N311">
        <f>IFERROR(VLOOKUP(Orders!D311,Products!$A$2:$D$61,4,FALSE),"")</f>
        <v>1435</v>
      </c>
      <c r="O311">
        <f t="shared" si="12"/>
        <v>0.48007246376811596</v>
      </c>
      <c r="Q311" t="str">
        <f>Orders!D311</f>
        <v>PROD-021</v>
      </c>
    </row>
    <row r="312" spans="1:17" x14ac:dyDescent="0.3">
      <c r="A312" t="str">
        <f>Orders!A312</f>
        <v>ORD-00311</v>
      </c>
      <c r="B312">
        <f>Orders!B312</f>
        <v>45368</v>
      </c>
      <c r="C312">
        <f>Orders!I312</f>
        <v>8697.92</v>
      </c>
      <c r="D312" t="str">
        <f>Orders!E312</f>
        <v>R006</v>
      </c>
      <c r="E312" t="str">
        <f>IFERROR(VLOOKUP(Orders!D312,Products!$A$2:$C$61,3,FALSE),"Unknown")</f>
        <v>Beauty</v>
      </c>
      <c r="F312" t="str">
        <f>IFERROR(VLOOKUP(Orders!C312,Customers!$A$2:$E$301,5,FALSE),"Unknown")</f>
        <v>SMB</v>
      </c>
      <c r="G312">
        <f>IFERROR(VLOOKUP(Orders!C312,Customers!$A$2:$C$301,3,FALSE),"")</f>
        <v>65</v>
      </c>
      <c r="H312" t="str">
        <f>VLOOKUP(D312,Sales_Reps!$A$2:$C$31,3,FALSE)</f>
        <v>North</v>
      </c>
      <c r="I312" s="44">
        <f t="shared" si="11"/>
        <v>45352</v>
      </c>
      <c r="L312" t="str">
        <f>Orders!K312</f>
        <v>Hyderabad</v>
      </c>
      <c r="M312">
        <f>Orders!G312</f>
        <v>1540</v>
      </c>
      <c r="N312">
        <f>IFERROR(VLOOKUP(Orders!D312,Products!$A$2:$D$61,4,FALSE),"")</f>
        <v>647</v>
      </c>
      <c r="O312">
        <f t="shared" si="12"/>
        <v>0.57987012987012987</v>
      </c>
      <c r="Q312" t="str">
        <f>Orders!D312</f>
        <v>PROD-041</v>
      </c>
    </row>
    <row r="313" spans="1:17" x14ac:dyDescent="0.3">
      <c r="A313" t="str">
        <f>Orders!A313</f>
        <v>ORD-00312</v>
      </c>
      <c r="B313">
        <f>Orders!B313</f>
        <v>45374</v>
      </c>
      <c r="C313">
        <f>Orders!I313</f>
        <v>3996.72</v>
      </c>
      <c r="D313" t="str">
        <f>Orders!E313</f>
        <v>R022</v>
      </c>
      <c r="E313" t="str">
        <f>IFERROR(VLOOKUP(Orders!D313,Products!$A$2:$C$61,3,FALSE),"Unknown")</f>
        <v>Beauty</v>
      </c>
      <c r="F313" t="str">
        <f>IFERROR(VLOOKUP(Orders!C313,Customers!$A$2:$E$301,5,FALSE),"Unknown")</f>
        <v>Retail</v>
      </c>
      <c r="G313">
        <f>IFERROR(VLOOKUP(Orders!C313,Customers!$A$2:$C$301,3,FALSE),"")</f>
        <v>28</v>
      </c>
      <c r="H313" t="str">
        <f>VLOOKUP(D313,Sales_Reps!$A$2:$C$31,3,FALSE)</f>
        <v>East</v>
      </c>
      <c r="I313" s="44">
        <f t="shared" si="11"/>
        <v>45352</v>
      </c>
      <c r="L313" t="str">
        <f>Orders!K313</f>
        <v>Hyderabad</v>
      </c>
      <c r="M313">
        <f>Orders!G313</f>
        <v>4880</v>
      </c>
      <c r="N313">
        <f>IFERROR(VLOOKUP(Orders!D313,Products!$A$2:$D$61,4,FALSE),"")</f>
        <v>2768</v>
      </c>
      <c r="O313">
        <f t="shared" si="12"/>
        <v>0.43278688524590164</v>
      </c>
      <c r="Q313" t="str">
        <f>Orders!D313</f>
        <v>PROD-046</v>
      </c>
    </row>
    <row r="314" spans="1:17" x14ac:dyDescent="0.3">
      <c r="A314" t="str">
        <f>Orders!A314</f>
        <v>ORD-00313</v>
      </c>
      <c r="B314">
        <f>Orders!B314</f>
        <v>45592</v>
      </c>
      <c r="C314">
        <f>Orders!I314</f>
        <v>14564.32</v>
      </c>
      <c r="D314" t="str">
        <f>Orders!E314</f>
        <v>R015</v>
      </c>
      <c r="E314" t="str">
        <f>IFERROR(VLOOKUP(Orders!D314,Products!$A$2:$C$61,3,FALSE),"Unknown")</f>
        <v>Grocery</v>
      </c>
      <c r="F314" t="str">
        <f>IFERROR(VLOOKUP(Orders!C314,Customers!$A$2:$E$301,5,FALSE),"Unknown")</f>
        <v>Corporate</v>
      </c>
      <c r="G314">
        <f>IFERROR(VLOOKUP(Orders!C314,Customers!$A$2:$C$301,3,FALSE),"")</f>
        <v>52</v>
      </c>
      <c r="H314" t="str">
        <f>VLOOKUP(D314,Sales_Reps!$A$2:$C$31,3,FALSE)</f>
        <v>South</v>
      </c>
      <c r="I314" s="44">
        <f t="shared" si="11"/>
        <v>45566</v>
      </c>
      <c r="L314" t="str">
        <f>Orders!K314</f>
        <v>Hyderabad</v>
      </c>
      <c r="M314">
        <f>Orders!G314</f>
        <v>2270</v>
      </c>
      <c r="N314">
        <f>IFERROR(VLOOKUP(Orders!D314,Products!$A$2:$D$61,4,FALSE),"")</f>
        <v>1203</v>
      </c>
      <c r="O314">
        <f t="shared" si="12"/>
        <v>0.47004405286343615</v>
      </c>
      <c r="Q314" t="str">
        <f>Orders!D314</f>
        <v>PROD-024</v>
      </c>
    </row>
    <row r="315" spans="1:17" x14ac:dyDescent="0.3">
      <c r="A315" t="str">
        <f>Orders!A315</f>
        <v>ORD-00314</v>
      </c>
      <c r="B315">
        <f>Orders!B315</f>
        <v>45508</v>
      </c>
      <c r="C315">
        <f>Orders!I315</f>
        <v>18748.8</v>
      </c>
      <c r="D315" t="str">
        <f>Orders!E315</f>
        <v>R010</v>
      </c>
      <c r="E315" t="str">
        <f>IFERROR(VLOOKUP(Orders!D315,Products!$A$2:$C$61,3,FALSE),"Unknown")</f>
        <v>Apparel</v>
      </c>
      <c r="F315" t="str">
        <f>IFERROR(VLOOKUP(Orders!C315,Customers!$A$2:$E$301,5,FALSE),"Unknown")</f>
        <v>Retail</v>
      </c>
      <c r="G315">
        <f>IFERROR(VLOOKUP(Orders!C315,Customers!$A$2:$C$301,3,FALSE),"")</f>
        <v>53</v>
      </c>
      <c r="H315" t="str">
        <f>VLOOKUP(D315,Sales_Reps!$A$2:$C$31,3,FALSE)</f>
        <v>South</v>
      </c>
      <c r="I315" s="44">
        <f t="shared" si="11"/>
        <v>45505</v>
      </c>
      <c r="L315" t="str">
        <f>Orders!K315</f>
        <v>Mumbai</v>
      </c>
      <c r="M315">
        <f>Orders!G315</f>
        <v>2480</v>
      </c>
      <c r="N315">
        <f>IFERROR(VLOOKUP(Orders!D315,Products!$A$2:$D$61,4,FALSE),"")</f>
        <v>1173</v>
      </c>
      <c r="O315">
        <f t="shared" si="12"/>
        <v>0.52701612903225803</v>
      </c>
      <c r="Q315" t="str">
        <f>Orders!D315</f>
        <v>PROD-019</v>
      </c>
    </row>
    <row r="316" spans="1:17" x14ac:dyDescent="0.3">
      <c r="A316" t="str">
        <f>Orders!A316</f>
        <v>ORD-00315</v>
      </c>
      <c r="B316">
        <f>Orders!B316</f>
        <v>45481</v>
      </c>
      <c r="C316">
        <f>Orders!I316</f>
        <v>20487.68</v>
      </c>
      <c r="D316" t="str">
        <f>Orders!E316</f>
        <v>R014</v>
      </c>
      <c r="E316" t="str">
        <f>IFERROR(VLOOKUP(Orders!D316,Products!$A$2:$C$61,3,FALSE),"Unknown")</f>
        <v>Beauty</v>
      </c>
      <c r="F316" t="str">
        <f>IFERROR(VLOOKUP(Orders!C316,Customers!$A$2:$E$301,5,FALSE),"Unknown")</f>
        <v>Retail</v>
      </c>
      <c r="G316">
        <f>IFERROR(VLOOKUP(Orders!C316,Customers!$A$2:$C$301,3,FALSE),"")</f>
        <v>60</v>
      </c>
      <c r="H316" t="str">
        <f>VLOOKUP(D316,Sales_Reps!$A$2:$C$31,3,FALSE)</f>
        <v>South</v>
      </c>
      <c r="I316" s="44">
        <f t="shared" si="11"/>
        <v>45474</v>
      </c>
      <c r="L316" t="str">
        <f>Orders!K316</f>
        <v>Hyderabad</v>
      </c>
      <c r="M316">
        <f>Orders!G316</f>
        <v>3020</v>
      </c>
      <c r="N316">
        <f>IFERROR(VLOOKUP(Orders!D316,Products!$A$2:$D$61,4,FALSE),"")</f>
        <v>1626</v>
      </c>
      <c r="O316">
        <f t="shared" si="12"/>
        <v>0.46158940397350995</v>
      </c>
      <c r="Q316" t="str">
        <f>Orders!D316</f>
        <v>PROD-045</v>
      </c>
    </row>
    <row r="317" spans="1:17" x14ac:dyDescent="0.3">
      <c r="A317" t="str">
        <f>Orders!A317</f>
        <v>ORD-00316</v>
      </c>
      <c r="B317">
        <f>Orders!B317</f>
        <v>45517</v>
      </c>
      <c r="C317">
        <f>Orders!I317</f>
        <v>15307.6</v>
      </c>
      <c r="D317" t="str">
        <f>Orders!E317</f>
        <v>R019</v>
      </c>
      <c r="E317" t="str">
        <f>IFERROR(VLOOKUP(Orders!D317,Products!$A$2:$C$61,3,FALSE),"Unknown")</f>
        <v>Beauty</v>
      </c>
      <c r="F317" t="str">
        <f>IFERROR(VLOOKUP(Orders!C317,Customers!$A$2:$E$301,5,FALSE),"Unknown")</f>
        <v>Retail</v>
      </c>
      <c r="G317">
        <f>IFERROR(VLOOKUP(Orders!C317,Customers!$A$2:$C$301,3,FALSE),"")</f>
        <v>28</v>
      </c>
      <c r="H317" t="str">
        <f>VLOOKUP(D317,Sales_Reps!$A$2:$C$31,3,FALSE)</f>
        <v>East</v>
      </c>
      <c r="I317" s="44">
        <f t="shared" si="11"/>
        <v>45505</v>
      </c>
      <c r="L317" t="str">
        <f>Orders!K317</f>
        <v>Chennai</v>
      </c>
      <c r="M317">
        <f>Orders!G317</f>
        <v>1540</v>
      </c>
      <c r="N317">
        <f>IFERROR(VLOOKUP(Orders!D317,Products!$A$2:$D$61,4,FALSE),"")</f>
        <v>647</v>
      </c>
      <c r="O317">
        <f t="shared" si="12"/>
        <v>0.57987012987012987</v>
      </c>
      <c r="Q317" t="str">
        <f>Orders!D317</f>
        <v>PROD-041</v>
      </c>
    </row>
    <row r="318" spans="1:17" x14ac:dyDescent="0.3">
      <c r="A318" t="str">
        <f>Orders!A318</f>
        <v>ORD-00317</v>
      </c>
      <c r="B318">
        <f>Orders!B318</f>
        <v>45632</v>
      </c>
      <c r="C318">
        <f>Orders!I318</f>
        <v>20151.32</v>
      </c>
      <c r="D318" t="str">
        <f>Orders!E318</f>
        <v>R001</v>
      </c>
      <c r="E318" t="str">
        <f>IFERROR(VLOOKUP(Orders!D318,Products!$A$2:$C$61,3,FALSE),"Unknown")</f>
        <v>Apparel</v>
      </c>
      <c r="F318" t="str">
        <f>IFERROR(VLOOKUP(Orders!C318,Customers!$A$2:$E$301,5,FALSE),"Unknown")</f>
        <v>Retail</v>
      </c>
      <c r="G318">
        <f>IFERROR(VLOOKUP(Orders!C318,Customers!$A$2:$C$301,3,FALSE),"")</f>
        <v>59</v>
      </c>
      <c r="H318" t="str">
        <f>VLOOKUP(D318,Sales_Reps!$A$2:$C$31,3,FALSE)</f>
        <v>North</v>
      </c>
      <c r="I318" s="44">
        <f t="shared" si="11"/>
        <v>45627</v>
      </c>
      <c r="L318" t="str">
        <f>Orders!K318</f>
        <v>Delhi</v>
      </c>
      <c r="M318">
        <f>Orders!G318</f>
        <v>3160</v>
      </c>
      <c r="N318">
        <f>IFERROR(VLOOKUP(Orders!D318,Products!$A$2:$D$61,4,FALSE),"")</f>
        <v>1886</v>
      </c>
      <c r="O318">
        <f t="shared" si="12"/>
        <v>0.4031645569620253</v>
      </c>
      <c r="Q318" t="str">
        <f>Orders!D318</f>
        <v>PROD-012</v>
      </c>
    </row>
    <row r="319" spans="1:17" x14ac:dyDescent="0.3">
      <c r="A319" t="str">
        <f>Orders!A319</f>
        <v>ORD-00318</v>
      </c>
      <c r="B319">
        <f>Orders!B319</f>
        <v>45592</v>
      </c>
      <c r="C319">
        <f>Orders!I319</f>
        <v>5278.26</v>
      </c>
      <c r="D319" t="str">
        <f>Orders!E319</f>
        <v>R013</v>
      </c>
      <c r="E319" t="str">
        <f>IFERROR(VLOOKUP(Orders!D319,Products!$A$2:$C$61,3,FALSE),"Unknown")</f>
        <v>Sports</v>
      </c>
      <c r="F319" t="str">
        <f>IFERROR(VLOOKUP(Orders!C319,Customers!$A$2:$E$301,5,FALSE),"Unknown")</f>
        <v>Retail</v>
      </c>
      <c r="G319">
        <f>IFERROR(VLOOKUP(Orders!C319,Customers!$A$2:$C$301,3,FALSE),"")</f>
        <v>41</v>
      </c>
      <c r="H319" t="str">
        <f>VLOOKUP(D319,Sales_Reps!$A$2:$C$31,3,FALSE)</f>
        <v>South</v>
      </c>
      <c r="I319" s="44">
        <f t="shared" si="11"/>
        <v>45566</v>
      </c>
      <c r="L319" t="str">
        <f>Orders!K319</f>
        <v>Delhi</v>
      </c>
      <c r="M319">
        <f>Orders!G319</f>
        <v>1010</v>
      </c>
      <c r="N319">
        <f>IFERROR(VLOOKUP(Orders!D319,Products!$A$2:$D$61,4,FALSE),"")</f>
        <v>516</v>
      </c>
      <c r="O319">
        <f t="shared" si="12"/>
        <v>0.4891089108910891</v>
      </c>
      <c r="Q319" t="str">
        <f>Orders!D319</f>
        <v>PROD-054</v>
      </c>
    </row>
    <row r="320" spans="1:17" x14ac:dyDescent="0.3">
      <c r="A320" t="str">
        <f>Orders!A320</f>
        <v>ORD-00319</v>
      </c>
      <c r="B320">
        <f>Orders!B320</f>
        <v>45450</v>
      </c>
      <c r="C320">
        <f>Orders!I320</f>
        <v>15083.92</v>
      </c>
      <c r="D320" t="str">
        <f>Orders!E320</f>
        <v>R020</v>
      </c>
      <c r="E320" t="str">
        <f>IFERROR(VLOOKUP(Orders!D320,Products!$A$2:$C$61,3,FALSE),"Unknown")</f>
        <v>Home</v>
      </c>
      <c r="F320" t="str">
        <f>IFERROR(VLOOKUP(Orders!C320,Customers!$A$2:$E$301,5,FALSE),"Unknown")</f>
        <v>Retail</v>
      </c>
      <c r="G320">
        <f>IFERROR(VLOOKUP(Orders!C320,Customers!$A$2:$C$301,3,FALSE),"")</f>
        <v>65</v>
      </c>
      <c r="H320" t="str">
        <f>VLOOKUP(D320,Sales_Reps!$A$2:$C$31,3,FALSE)</f>
        <v>East</v>
      </c>
      <c r="I320" s="44">
        <f t="shared" si="11"/>
        <v>45444</v>
      </c>
      <c r="L320" t="str">
        <f>Orders!K320</f>
        <v>Hyderabad</v>
      </c>
      <c r="M320">
        <f>Orders!G320</f>
        <v>4610</v>
      </c>
      <c r="N320">
        <f>IFERROR(VLOOKUP(Orders!D320,Products!$A$2:$D$61,4,FALSE),"")</f>
        <v>1850</v>
      </c>
      <c r="O320">
        <f t="shared" si="12"/>
        <v>0.59869848156182215</v>
      </c>
      <c r="Q320" t="str">
        <f>Orders!D320</f>
        <v>PROD-039</v>
      </c>
    </row>
    <row r="321" spans="1:17" x14ac:dyDescent="0.3">
      <c r="A321" t="str">
        <f>Orders!A321</f>
        <v>ORD-00320</v>
      </c>
      <c r="B321">
        <f>Orders!B321</f>
        <v>45343</v>
      </c>
      <c r="C321">
        <f>Orders!I321</f>
        <v>18440.52</v>
      </c>
      <c r="D321" t="str">
        <f>Orders!E321</f>
        <v>R029</v>
      </c>
      <c r="E321" t="str">
        <f>IFERROR(VLOOKUP(Orders!D321,Products!$A$2:$C$61,3,FALSE),"Unknown")</f>
        <v>Grocery</v>
      </c>
      <c r="F321" t="str">
        <f>IFERROR(VLOOKUP(Orders!C321,Customers!$A$2:$E$301,5,FALSE),"Unknown")</f>
        <v>Retail</v>
      </c>
      <c r="G321">
        <f>IFERROR(VLOOKUP(Orders!C321,Customers!$A$2:$C$301,3,FALSE),"")</f>
        <v>53</v>
      </c>
      <c r="H321" t="str">
        <f>VLOOKUP(D321,Sales_Reps!$A$2:$C$31,3,FALSE)</f>
        <v>West</v>
      </c>
      <c r="I321" s="44">
        <f t="shared" si="11"/>
        <v>45323</v>
      </c>
      <c r="L321" t="str">
        <f>Orders!K321</f>
        <v>Hyderabad</v>
      </c>
      <c r="M321">
        <f>Orders!G321</f>
        <v>4060</v>
      </c>
      <c r="N321">
        <f>IFERROR(VLOOKUP(Orders!D321,Products!$A$2:$D$61,4,FALSE),"")</f>
        <v>2911</v>
      </c>
      <c r="O321">
        <f t="shared" si="12"/>
        <v>0.28300492610837441</v>
      </c>
      <c r="Q321" t="str">
        <f>Orders!D321</f>
        <v>PROD-025</v>
      </c>
    </row>
    <row r="322" spans="1:17" x14ac:dyDescent="0.3">
      <c r="A322" t="str">
        <f>Orders!A322</f>
        <v>ORD-00321</v>
      </c>
      <c r="B322">
        <f>Orders!B322</f>
        <v>45509</v>
      </c>
      <c r="C322">
        <f>Orders!I322</f>
        <v>2768.3</v>
      </c>
      <c r="D322" t="str">
        <f>Orders!E322</f>
        <v>R001</v>
      </c>
      <c r="E322" t="str">
        <f>IFERROR(VLOOKUP(Orders!D322,Products!$A$2:$C$61,3,FALSE),"Unknown")</f>
        <v>Apparel</v>
      </c>
      <c r="F322" t="str">
        <f>IFERROR(VLOOKUP(Orders!C322,Customers!$A$2:$E$301,5,FALSE),"Unknown")</f>
        <v>SMB</v>
      </c>
      <c r="G322">
        <f>IFERROR(VLOOKUP(Orders!C322,Customers!$A$2:$C$301,3,FALSE),"")</f>
        <v>46</v>
      </c>
      <c r="H322" t="str">
        <f>VLOOKUP(D322,Sales_Reps!$A$2:$C$31,3,FALSE)</f>
        <v>North</v>
      </c>
      <c r="I322" s="44">
        <f t="shared" si="11"/>
        <v>45505</v>
      </c>
      <c r="L322" t="str">
        <f>Orders!K322</f>
        <v>Chennai</v>
      </c>
      <c r="M322">
        <f>Orders!G322</f>
        <v>620</v>
      </c>
      <c r="N322">
        <f>IFERROR(VLOOKUP(Orders!D322,Products!$A$2:$D$61,4,FALSE),"")</f>
        <v>396</v>
      </c>
      <c r="O322">
        <f t="shared" si="12"/>
        <v>0.36129032258064514</v>
      </c>
      <c r="Q322" t="str">
        <f>Orders!D322</f>
        <v>PROD-016</v>
      </c>
    </row>
    <row r="323" spans="1:17" x14ac:dyDescent="0.3">
      <c r="A323" t="str">
        <f>Orders!A323</f>
        <v>ORD-00322</v>
      </c>
      <c r="B323">
        <f>Orders!B323</f>
        <v>45513</v>
      </c>
      <c r="C323">
        <f>Orders!I323</f>
        <v>10242.120000000001</v>
      </c>
      <c r="D323" t="str">
        <f>Orders!E323</f>
        <v>R003</v>
      </c>
      <c r="E323" t="str">
        <f>IFERROR(VLOOKUP(Orders!D323,Products!$A$2:$C$61,3,FALSE),"Unknown")</f>
        <v>Apparel</v>
      </c>
      <c r="F323" t="str">
        <f>IFERROR(VLOOKUP(Orders!C323,Customers!$A$2:$E$301,5,FALSE),"Unknown")</f>
        <v>Corporate</v>
      </c>
      <c r="G323">
        <f>IFERROR(VLOOKUP(Orders!C323,Customers!$A$2:$C$301,3,FALSE),"")</f>
        <v>43</v>
      </c>
      <c r="H323" t="str">
        <f>VLOOKUP(D323,Sales_Reps!$A$2:$C$31,3,FALSE)</f>
        <v>North</v>
      </c>
      <c r="I323" s="44">
        <f t="shared" ref="I323:I386" si="13">DATE(YEAR(B323),MONTH(B323),1)</f>
        <v>45505</v>
      </c>
      <c r="L323" t="str">
        <f>Orders!K323</f>
        <v>Hyderabad</v>
      </c>
      <c r="M323">
        <f>Orders!G323</f>
        <v>3560</v>
      </c>
      <c r="N323">
        <f>IFERROR(VLOOKUP(Orders!D323,Products!$A$2:$D$61,4,FALSE),"")</f>
        <v>2629</v>
      </c>
      <c r="O323">
        <f t="shared" ref="O323:O386" si="14">IF(OR(N323="",M323&lt;=0),"",(M323-N323)/M323)</f>
        <v>0.26151685393258428</v>
      </c>
      <c r="Q323" t="str">
        <f>Orders!D323</f>
        <v>PROD-018</v>
      </c>
    </row>
    <row r="324" spans="1:17" x14ac:dyDescent="0.3">
      <c r="A324" t="str">
        <f>Orders!A324</f>
        <v>ORD-00323</v>
      </c>
      <c r="B324">
        <f>Orders!B324</f>
        <v>45500</v>
      </c>
      <c r="C324">
        <f>Orders!I324</f>
        <v>4176</v>
      </c>
      <c r="D324" t="str">
        <f>Orders!E324</f>
        <v>R012</v>
      </c>
      <c r="E324" t="str">
        <f>IFERROR(VLOOKUP(Orders!D324,Products!$A$2:$C$61,3,FALSE),"Unknown")</f>
        <v>Sports</v>
      </c>
      <c r="F324" t="str">
        <f>IFERROR(VLOOKUP(Orders!C324,Customers!$A$2:$E$301,5,FALSE),"Unknown")</f>
        <v>Corporate</v>
      </c>
      <c r="G324">
        <f>IFERROR(VLOOKUP(Orders!C324,Customers!$A$2:$C$301,3,FALSE),"")</f>
        <v>52</v>
      </c>
      <c r="H324" t="str">
        <f>VLOOKUP(D324,Sales_Reps!$A$2:$C$31,3,FALSE)</f>
        <v>South</v>
      </c>
      <c r="I324" s="44">
        <f t="shared" si="13"/>
        <v>45474</v>
      </c>
      <c r="L324" t="str">
        <f>Orders!K324</f>
        <v>Pune</v>
      </c>
      <c r="M324">
        <f>Orders!G324</f>
        <v>2400</v>
      </c>
      <c r="N324">
        <f>IFERROR(VLOOKUP(Orders!D324,Products!$A$2:$D$61,4,FALSE),"")</f>
        <v>974</v>
      </c>
      <c r="O324">
        <f t="shared" si="14"/>
        <v>0.59416666666666662</v>
      </c>
      <c r="Q324" t="str">
        <f>Orders!D324</f>
        <v>PROD-058</v>
      </c>
    </row>
    <row r="325" spans="1:17" x14ac:dyDescent="0.3">
      <c r="A325" t="str">
        <f>Orders!A325</f>
        <v>ORD-00324</v>
      </c>
      <c r="B325">
        <f>Orders!B325</f>
        <v>45407</v>
      </c>
      <c r="C325">
        <f>Orders!I325</f>
        <v>46095.48</v>
      </c>
      <c r="D325" t="str">
        <f>Orders!E325</f>
        <v>R006</v>
      </c>
      <c r="E325" t="str">
        <f>IFERROR(VLOOKUP(Orders!D325,Products!$A$2:$C$61,3,FALSE),"Unknown")</f>
        <v>Sports</v>
      </c>
      <c r="F325" t="str">
        <f>IFERROR(VLOOKUP(Orders!C325,Customers!$A$2:$E$301,5,FALSE),"Unknown")</f>
        <v>Retail</v>
      </c>
      <c r="G325">
        <f>IFERROR(VLOOKUP(Orders!C325,Customers!$A$2:$C$301,3,FALSE),"")</f>
        <v>53</v>
      </c>
      <c r="H325" t="str">
        <f>VLOOKUP(D325,Sales_Reps!$A$2:$C$31,3,FALSE)</f>
        <v>North</v>
      </c>
      <c r="I325" s="44">
        <f t="shared" si="13"/>
        <v>45383</v>
      </c>
      <c r="L325" t="str">
        <f>Orders!K325</f>
        <v>Delhi</v>
      </c>
      <c r="M325">
        <f>Orders!G325</f>
        <v>6940</v>
      </c>
      <c r="N325">
        <f>IFERROR(VLOOKUP(Orders!D325,Products!$A$2:$D$61,4,FALSE),"")</f>
        <v>2827</v>
      </c>
      <c r="O325">
        <f t="shared" si="14"/>
        <v>0.5926512968299712</v>
      </c>
      <c r="Q325" t="str">
        <f>Orders!D325</f>
        <v>PROD-056</v>
      </c>
    </row>
    <row r="326" spans="1:17" x14ac:dyDescent="0.3">
      <c r="A326" t="str">
        <f>Orders!A326</f>
        <v>ORD-00325</v>
      </c>
      <c r="B326">
        <f>Orders!B326</f>
        <v>45385</v>
      </c>
      <c r="C326">
        <f>Orders!I326</f>
        <v>16557.66</v>
      </c>
      <c r="D326" t="str">
        <f>Orders!E326</f>
        <v>R025</v>
      </c>
      <c r="E326" t="str">
        <f>IFERROR(VLOOKUP(Orders!D326,Products!$A$2:$C$61,3,FALSE),"Unknown")</f>
        <v>Grocery</v>
      </c>
      <c r="F326" t="str">
        <f>IFERROR(VLOOKUP(Orders!C326,Customers!$A$2:$E$301,5,FALSE),"Unknown")</f>
        <v>Retail</v>
      </c>
      <c r="G326">
        <f>IFERROR(VLOOKUP(Orders!C326,Customers!$A$2:$C$301,3,FALSE),"")</f>
        <v>33</v>
      </c>
      <c r="H326" t="str">
        <f>VLOOKUP(D326,Sales_Reps!$A$2:$C$31,3,FALSE)</f>
        <v>West</v>
      </c>
      <c r="I326" s="44">
        <f t="shared" si="13"/>
        <v>45383</v>
      </c>
      <c r="L326" t="str">
        <f>Orders!K326</f>
        <v>Mumbai</v>
      </c>
      <c r="M326">
        <f>Orders!G326</f>
        <v>2380</v>
      </c>
      <c r="N326">
        <f>IFERROR(VLOOKUP(Orders!D326,Products!$A$2:$D$61,4,FALSE),"")</f>
        <v>1182</v>
      </c>
      <c r="O326">
        <f t="shared" si="14"/>
        <v>0.50336134453781511</v>
      </c>
      <c r="Q326" t="str">
        <f>Orders!D326</f>
        <v>PROD-023</v>
      </c>
    </row>
    <row r="327" spans="1:17" x14ac:dyDescent="0.3">
      <c r="A327" t="str">
        <f>Orders!A327</f>
        <v>ORD-00326</v>
      </c>
      <c r="B327">
        <f>Orders!B327</f>
        <v>45542</v>
      </c>
      <c r="C327">
        <f>Orders!I327</f>
        <v>19721.759999999998</v>
      </c>
      <c r="D327" t="str">
        <f>Orders!E327</f>
        <v>R028</v>
      </c>
      <c r="E327" t="str">
        <f>IFERROR(VLOOKUP(Orders!D327,Products!$A$2:$C$61,3,FALSE),"Unknown")</f>
        <v>Apparel</v>
      </c>
      <c r="F327" t="str">
        <f>IFERROR(VLOOKUP(Orders!C327,Customers!$A$2:$E$301,5,FALSE),"Unknown")</f>
        <v>Corporate</v>
      </c>
      <c r="G327">
        <f>IFERROR(VLOOKUP(Orders!C327,Customers!$A$2:$C$301,3,FALSE),"")</f>
        <v>55</v>
      </c>
      <c r="H327" t="str">
        <f>VLOOKUP(D327,Sales_Reps!$A$2:$C$31,3,FALSE)</f>
        <v>West</v>
      </c>
      <c r="I327" s="44">
        <f t="shared" si="13"/>
        <v>45536</v>
      </c>
      <c r="L327" t="str">
        <f>Orders!K327</f>
        <v>Delhi</v>
      </c>
      <c r="M327">
        <f>Orders!G327</f>
        <v>3620</v>
      </c>
      <c r="N327">
        <f>IFERROR(VLOOKUP(Orders!D327,Products!$A$2:$D$61,4,FALSE),"")</f>
        <v>2509</v>
      </c>
      <c r="O327">
        <f t="shared" si="14"/>
        <v>0.3069060773480663</v>
      </c>
      <c r="Q327" t="str">
        <f>Orders!D327</f>
        <v>PROD-014</v>
      </c>
    </row>
    <row r="328" spans="1:17" x14ac:dyDescent="0.3">
      <c r="A328" t="str">
        <f>Orders!A328</f>
        <v>ORD-00327</v>
      </c>
      <c r="B328">
        <f>Orders!B328</f>
        <v>45422</v>
      </c>
      <c r="C328">
        <f>Orders!I328</f>
        <v>4292.4799999999996</v>
      </c>
      <c r="D328" t="str">
        <f>Orders!E328</f>
        <v>R004</v>
      </c>
      <c r="E328" t="str">
        <f>IFERROR(VLOOKUP(Orders!D328,Products!$A$2:$C$61,3,FALSE),"Unknown")</f>
        <v>Beauty</v>
      </c>
      <c r="F328" t="str">
        <f>IFERROR(VLOOKUP(Orders!C328,Customers!$A$2:$E$301,5,FALSE),"Unknown")</f>
        <v>Corporate</v>
      </c>
      <c r="G328">
        <f>IFERROR(VLOOKUP(Orders!C328,Customers!$A$2:$C$301,3,FALSE),"")</f>
        <v>43</v>
      </c>
      <c r="H328" t="str">
        <f>VLOOKUP(D328,Sales_Reps!$A$2:$C$31,3,FALSE)</f>
        <v>North</v>
      </c>
      <c r="I328" s="44">
        <f t="shared" si="13"/>
        <v>45413</v>
      </c>
      <c r="L328" t="str">
        <f>Orders!K328</f>
        <v>Hyderabad</v>
      </c>
      <c r="M328">
        <f>Orders!G328</f>
        <v>6080</v>
      </c>
      <c r="N328">
        <f>IFERROR(VLOOKUP(Orders!D328,Products!$A$2:$D$61,4,FALSE),"")</f>
        <v>2617</v>
      </c>
      <c r="O328">
        <f t="shared" si="14"/>
        <v>0.56957236842105263</v>
      </c>
      <c r="Q328" t="str">
        <f>Orders!D328</f>
        <v>PROD-050</v>
      </c>
    </row>
    <row r="329" spans="1:17" x14ac:dyDescent="0.3">
      <c r="A329" t="str">
        <f>Orders!A329</f>
        <v>ORD-00328</v>
      </c>
      <c r="B329">
        <f>Orders!B329</f>
        <v>45343</v>
      </c>
      <c r="C329">
        <f>Orders!I329</f>
        <v>3488.28</v>
      </c>
      <c r="D329" t="str">
        <f>Orders!E329</f>
        <v>R018</v>
      </c>
      <c r="E329" t="str">
        <f>IFERROR(VLOOKUP(Orders!D329,Products!$A$2:$C$61,3,FALSE),"Unknown")</f>
        <v>Apparel</v>
      </c>
      <c r="F329" t="str">
        <f>IFERROR(VLOOKUP(Orders!C329,Customers!$A$2:$E$301,5,FALSE),"Unknown")</f>
        <v>Retail</v>
      </c>
      <c r="G329">
        <f>IFERROR(VLOOKUP(Orders!C329,Customers!$A$2:$C$301,3,FALSE),"")</f>
        <v>26</v>
      </c>
      <c r="H329" t="str">
        <f>VLOOKUP(D329,Sales_Reps!$A$2:$C$31,3,FALSE)</f>
        <v>East</v>
      </c>
      <c r="I329" s="44">
        <f t="shared" si="13"/>
        <v>45323</v>
      </c>
      <c r="L329" t="str">
        <f>Orders!K329</f>
        <v>Chennai</v>
      </c>
      <c r="M329">
        <f>Orders!G329</f>
        <v>820</v>
      </c>
      <c r="N329">
        <f>IFERROR(VLOOKUP(Orders!D329,Products!$A$2:$D$61,4,FALSE),"")</f>
        <v>391</v>
      </c>
      <c r="O329">
        <f t="shared" si="14"/>
        <v>0.52317073170731709</v>
      </c>
      <c r="Q329" t="str">
        <f>Orders!D329</f>
        <v>PROD-020</v>
      </c>
    </row>
    <row r="330" spans="1:17" x14ac:dyDescent="0.3">
      <c r="A330" t="str">
        <f>Orders!A330</f>
        <v>ORD-00329</v>
      </c>
      <c r="B330">
        <f>Orders!B330</f>
        <v>45646</v>
      </c>
      <c r="C330">
        <f>Orders!I330</f>
        <v>25032.78</v>
      </c>
      <c r="D330" t="str">
        <f>Orders!E330</f>
        <v>R024</v>
      </c>
      <c r="E330" t="str">
        <f>IFERROR(VLOOKUP(Orders!D330,Products!$A$2:$C$61,3,FALSE),"Unknown")</f>
        <v>Beauty</v>
      </c>
      <c r="F330" t="str">
        <f>IFERROR(VLOOKUP(Orders!C330,Customers!$A$2:$E$301,5,FALSE),"Unknown")</f>
        <v>Corporate</v>
      </c>
      <c r="G330">
        <f>IFERROR(VLOOKUP(Orders!C330,Customers!$A$2:$C$301,3,FALSE),"")</f>
        <v>51</v>
      </c>
      <c r="H330" t="str">
        <f>VLOOKUP(D330,Sales_Reps!$A$2:$C$31,3,FALSE)</f>
        <v>West</v>
      </c>
      <c r="I330" s="44">
        <f t="shared" si="13"/>
        <v>45627</v>
      </c>
      <c r="L330" t="str">
        <f>Orders!K330</f>
        <v>Mumbai</v>
      </c>
      <c r="M330">
        <f>Orders!G330</f>
        <v>3020</v>
      </c>
      <c r="N330">
        <f>IFERROR(VLOOKUP(Orders!D330,Products!$A$2:$D$61,4,FALSE),"")</f>
        <v>1626</v>
      </c>
      <c r="O330">
        <f t="shared" si="14"/>
        <v>0.46158940397350995</v>
      </c>
      <c r="Q330" t="str">
        <f>Orders!D330</f>
        <v>PROD-045</v>
      </c>
    </row>
    <row r="331" spans="1:17" x14ac:dyDescent="0.3">
      <c r="A331" t="str">
        <f>Orders!A331</f>
        <v>ORD-00330</v>
      </c>
      <c r="B331">
        <f>Orders!B331</f>
        <v>45645</v>
      </c>
      <c r="C331">
        <f>Orders!I331</f>
        <v>27275.759999999998</v>
      </c>
      <c r="D331" t="str">
        <f>Orders!E331</f>
        <v>R029</v>
      </c>
      <c r="E331" t="str">
        <f>IFERROR(VLOOKUP(Orders!D331,Products!$A$2:$C$61,3,FALSE),"Unknown")</f>
        <v>Electronics</v>
      </c>
      <c r="F331" t="str">
        <f>IFERROR(VLOOKUP(Orders!C331,Customers!$A$2:$E$301,5,FALSE),"Unknown")</f>
        <v>Retail</v>
      </c>
      <c r="G331">
        <f>IFERROR(VLOOKUP(Orders!C331,Customers!$A$2:$C$301,3,FALSE),"")</f>
        <v>24</v>
      </c>
      <c r="H331" t="str">
        <f>VLOOKUP(D331,Sales_Reps!$A$2:$C$31,3,FALSE)</f>
        <v>West</v>
      </c>
      <c r="I331" s="44">
        <f t="shared" si="13"/>
        <v>45627</v>
      </c>
      <c r="L331" t="str">
        <f>Orders!K331</f>
        <v>Delhi</v>
      </c>
      <c r="M331">
        <f>Orders!G331</f>
        <v>3870</v>
      </c>
      <c r="N331">
        <f>IFERROR(VLOOKUP(Orders!D331,Products!$A$2:$D$61,4,FALSE),"")</f>
        <v>1559</v>
      </c>
      <c r="O331">
        <f t="shared" si="14"/>
        <v>0.59715762273901807</v>
      </c>
      <c r="Q331" t="str">
        <f>Orders!D331</f>
        <v>PROD-004</v>
      </c>
    </row>
    <row r="332" spans="1:17" x14ac:dyDescent="0.3">
      <c r="A332" t="str">
        <f>Orders!A332</f>
        <v>ORD-00331</v>
      </c>
      <c r="B332">
        <f>Orders!B332</f>
        <v>45528</v>
      </c>
      <c r="C332">
        <f>Orders!I332</f>
        <v>17822.7</v>
      </c>
      <c r="D332" t="str">
        <f>Orders!E332</f>
        <v>R030</v>
      </c>
      <c r="E332" t="str">
        <f>IFERROR(VLOOKUP(Orders!D332,Products!$A$2:$C$61,3,FALSE),"Unknown")</f>
        <v>Beauty</v>
      </c>
      <c r="F332" t="str">
        <f>IFERROR(VLOOKUP(Orders!C332,Customers!$A$2:$E$301,5,FALSE),"Unknown")</f>
        <v>SMB</v>
      </c>
      <c r="G332">
        <f>IFERROR(VLOOKUP(Orders!C332,Customers!$A$2:$C$301,3,FALSE),"")</f>
        <v>30</v>
      </c>
      <c r="H332" t="str">
        <f>VLOOKUP(D332,Sales_Reps!$A$2:$C$31,3,FALSE)</f>
        <v>West</v>
      </c>
      <c r="I332" s="44">
        <f t="shared" si="13"/>
        <v>45505</v>
      </c>
      <c r="L332" t="str">
        <f>Orders!K332</f>
        <v>Pune</v>
      </c>
      <c r="M332">
        <f>Orders!G332</f>
        <v>3450</v>
      </c>
      <c r="N332">
        <f>IFERROR(VLOOKUP(Orders!D332,Products!$A$2:$D$61,4,FALSE),"")</f>
        <v>2420</v>
      </c>
      <c r="O332">
        <f t="shared" si="14"/>
        <v>0.29855072463768118</v>
      </c>
      <c r="Q332" t="str">
        <f>Orders!D332</f>
        <v>PROD-047</v>
      </c>
    </row>
    <row r="333" spans="1:17" x14ac:dyDescent="0.3">
      <c r="A333" t="str">
        <f>Orders!A333</f>
        <v>ORD-00332</v>
      </c>
      <c r="B333">
        <f>Orders!B333</f>
        <v>45655</v>
      </c>
      <c r="C333">
        <f>Orders!I333</f>
        <v>44936.1</v>
      </c>
      <c r="D333" t="str">
        <f>Orders!E333</f>
        <v>R008</v>
      </c>
      <c r="E333" t="str">
        <f>IFERROR(VLOOKUP(Orders!D333,Products!$A$2:$C$61,3,FALSE),"Unknown")</f>
        <v>Beauty</v>
      </c>
      <c r="F333" t="str">
        <f>IFERROR(VLOOKUP(Orders!C333,Customers!$A$2:$E$301,5,FALSE),"Unknown")</f>
        <v>Retail</v>
      </c>
      <c r="G333">
        <f>IFERROR(VLOOKUP(Orders!C333,Customers!$A$2:$C$301,3,FALSE),"")</f>
        <v>24</v>
      </c>
      <c r="H333" t="str">
        <f>VLOOKUP(D333,Sales_Reps!$A$2:$C$31,3,FALSE)</f>
        <v>North</v>
      </c>
      <c r="I333" s="44">
        <f t="shared" si="13"/>
        <v>45627</v>
      </c>
      <c r="L333" t="str">
        <f>Orders!K333</f>
        <v>Chennai</v>
      </c>
      <c r="M333">
        <f>Orders!G333</f>
        <v>5100</v>
      </c>
      <c r="N333">
        <f>IFERROR(VLOOKUP(Orders!D333,Products!$A$2:$D$61,4,FALSE),"")</f>
        <v>2237</v>
      </c>
      <c r="O333">
        <f t="shared" si="14"/>
        <v>0.56137254901960787</v>
      </c>
      <c r="Q333" t="str">
        <f>Orders!D333</f>
        <v>PROD-048</v>
      </c>
    </row>
    <row r="334" spans="1:17" x14ac:dyDescent="0.3">
      <c r="A334" t="str">
        <f>Orders!A334</f>
        <v>ORD-00333</v>
      </c>
      <c r="B334">
        <f>Orders!B334</f>
        <v>45518</v>
      </c>
      <c r="C334">
        <f>Orders!I334</f>
        <v>5811.96</v>
      </c>
      <c r="D334" t="str">
        <f>Orders!E334</f>
        <v>R008</v>
      </c>
      <c r="E334" t="str">
        <f>IFERROR(VLOOKUP(Orders!D334,Products!$A$2:$C$61,3,FALSE),"Unknown")</f>
        <v>Grocery</v>
      </c>
      <c r="F334" t="str">
        <f>IFERROR(VLOOKUP(Orders!C334,Customers!$A$2:$E$301,5,FALSE),"Unknown")</f>
        <v>SMB</v>
      </c>
      <c r="G334">
        <f>IFERROR(VLOOKUP(Orders!C334,Customers!$A$2:$C$301,3,FALSE),"")</f>
        <v>53</v>
      </c>
      <c r="H334" t="str">
        <f>VLOOKUP(D334,Sales_Reps!$A$2:$C$31,3,FALSE)</f>
        <v>North</v>
      </c>
      <c r="I334" s="44">
        <f t="shared" si="13"/>
        <v>45505</v>
      </c>
      <c r="L334" t="str">
        <f>Orders!K334</f>
        <v>Delhi</v>
      </c>
      <c r="M334">
        <f>Orders!G334</f>
        <v>4070</v>
      </c>
      <c r="N334">
        <f>IFERROR(VLOOKUP(Orders!D334,Products!$A$2:$D$61,4,FALSE),"")</f>
        <v>2027</v>
      </c>
      <c r="O334">
        <f t="shared" si="14"/>
        <v>0.50196560196560192</v>
      </c>
      <c r="Q334" t="str">
        <f>Orders!D334</f>
        <v>PROD-026</v>
      </c>
    </row>
    <row r="335" spans="1:17" x14ac:dyDescent="0.3">
      <c r="A335" t="str">
        <f>Orders!A335</f>
        <v>ORD-00334</v>
      </c>
      <c r="B335">
        <f>Orders!B335</f>
        <v>45339</v>
      </c>
      <c r="C335">
        <f>Orders!I335</f>
        <v>44995.86</v>
      </c>
      <c r="D335" t="str">
        <f>Orders!E335</f>
        <v>R007</v>
      </c>
      <c r="E335" t="str">
        <f>IFERROR(VLOOKUP(Orders!D335,Products!$A$2:$C$61,3,FALSE),"Unknown")</f>
        <v>Electronics</v>
      </c>
      <c r="F335" t="str">
        <f>IFERROR(VLOOKUP(Orders!C335,Customers!$A$2:$E$301,5,FALSE),"Unknown")</f>
        <v>SMB</v>
      </c>
      <c r="G335">
        <f>IFERROR(VLOOKUP(Orders!C335,Customers!$A$2:$C$301,3,FALSE),"")</f>
        <v>35</v>
      </c>
      <c r="H335" t="str">
        <f>VLOOKUP(D335,Sales_Reps!$A$2:$C$31,3,FALSE)</f>
        <v>North</v>
      </c>
      <c r="I335" s="44">
        <f t="shared" si="13"/>
        <v>45323</v>
      </c>
      <c r="L335" t="str">
        <f>Orders!K335</f>
        <v>Pune</v>
      </c>
      <c r="M335">
        <f>Orders!G335</f>
        <v>5330</v>
      </c>
      <c r="N335">
        <f>IFERROR(VLOOKUP(Orders!D335,Products!$A$2:$D$61,4,FALSE),"")</f>
        <v>2405</v>
      </c>
      <c r="O335">
        <f t="shared" si="14"/>
        <v>0.54878048780487809</v>
      </c>
      <c r="Q335" t="str">
        <f>Orders!D335</f>
        <v>PROD-001</v>
      </c>
    </row>
    <row r="336" spans="1:17" x14ac:dyDescent="0.3">
      <c r="A336" t="str">
        <f>Orders!A336</f>
        <v>ORD-00335</v>
      </c>
      <c r="B336">
        <f>Orders!B336</f>
        <v>45319</v>
      </c>
      <c r="C336">
        <f>Orders!I336</f>
        <v>10392.06</v>
      </c>
      <c r="D336" t="str">
        <f>Orders!E336</f>
        <v>R020</v>
      </c>
      <c r="E336" t="str">
        <f>IFERROR(VLOOKUP(Orders!D336,Products!$A$2:$C$61,3,FALSE),"Unknown")</f>
        <v>Grocery</v>
      </c>
      <c r="F336" t="str">
        <f>IFERROR(VLOOKUP(Orders!C336,Customers!$A$2:$E$301,5,FALSE),"Unknown")</f>
        <v>Retail</v>
      </c>
      <c r="G336">
        <f>IFERROR(VLOOKUP(Orders!C336,Customers!$A$2:$C$301,3,FALSE),"")</f>
        <v>48</v>
      </c>
      <c r="H336" t="str">
        <f>VLOOKUP(D336,Sales_Reps!$A$2:$C$31,3,FALSE)</f>
        <v>East</v>
      </c>
      <c r="I336" s="44">
        <f t="shared" si="13"/>
        <v>45292</v>
      </c>
      <c r="L336" t="str">
        <f>Orders!K336</f>
        <v>PUNE</v>
      </c>
      <c r="M336">
        <f>Orders!G336</f>
        <v>2270</v>
      </c>
      <c r="N336">
        <f>IFERROR(VLOOKUP(Orders!D336,Products!$A$2:$D$61,4,FALSE),"")</f>
        <v>1203</v>
      </c>
      <c r="O336">
        <f t="shared" si="14"/>
        <v>0.47004405286343615</v>
      </c>
      <c r="Q336" t="str">
        <f>Orders!D336</f>
        <v>PROD-024</v>
      </c>
    </row>
    <row r="337" spans="1:17" x14ac:dyDescent="0.3">
      <c r="A337" t="str">
        <f>Orders!A337</f>
        <v>ORD-00336</v>
      </c>
      <c r="B337">
        <f>Orders!B337</f>
        <v>45618</v>
      </c>
      <c r="C337">
        <f>Orders!I337</f>
        <v>9412.5</v>
      </c>
      <c r="D337" t="str">
        <f>Orders!E337</f>
        <v>R024</v>
      </c>
      <c r="E337" t="str">
        <f>IFERROR(VLOOKUP(Orders!D337,Products!$A$2:$C$61,3,FALSE),"Unknown")</f>
        <v>Apparel</v>
      </c>
      <c r="F337" t="str">
        <f>IFERROR(VLOOKUP(Orders!C337,Customers!$A$2:$E$301,5,FALSE),"Unknown")</f>
        <v>SMB</v>
      </c>
      <c r="G337">
        <f>IFERROR(VLOOKUP(Orders!C337,Customers!$A$2:$C$301,3,FALSE),"")</f>
        <v>39</v>
      </c>
      <c r="H337" t="str">
        <f>VLOOKUP(D337,Sales_Reps!$A$2:$C$31,3,FALSE)</f>
        <v>West</v>
      </c>
      <c r="I337" s="44">
        <f t="shared" si="13"/>
        <v>45597</v>
      </c>
      <c r="L337" t="str">
        <f>Orders!K337</f>
        <v>Pune</v>
      </c>
      <c r="M337">
        <f>Orders!G337</f>
        <v>2510</v>
      </c>
      <c r="N337">
        <f>IFERROR(VLOOKUP(Orders!D337,Products!$A$2:$D$61,4,FALSE),"")</f>
        <v>1075</v>
      </c>
      <c r="O337">
        <f t="shared" si="14"/>
        <v>0.57171314741035861</v>
      </c>
      <c r="Q337" t="str">
        <f>Orders!D337</f>
        <v>PROD-017</v>
      </c>
    </row>
    <row r="338" spans="1:17" x14ac:dyDescent="0.3">
      <c r="A338" t="str">
        <f>Orders!A338</f>
        <v>ORD-00337</v>
      </c>
      <c r="B338">
        <f>Orders!B338</f>
        <v>45335</v>
      </c>
      <c r="C338">
        <f>Orders!I338</f>
        <v>17821.439999999999</v>
      </c>
      <c r="D338" t="str">
        <f>Orders!E338</f>
        <v>R019</v>
      </c>
      <c r="E338" t="str">
        <f>IFERROR(VLOOKUP(Orders!D338,Products!$A$2:$C$61,3,FALSE),"Unknown")</f>
        <v>Grocery</v>
      </c>
      <c r="F338" t="str">
        <f>IFERROR(VLOOKUP(Orders!C338,Customers!$A$2:$E$301,5,FALSE),"Unknown")</f>
        <v>Retail</v>
      </c>
      <c r="G338">
        <f>IFERROR(VLOOKUP(Orders!C338,Customers!$A$2:$C$301,3,FALSE),"")</f>
        <v>40</v>
      </c>
      <c r="H338" t="str">
        <f>VLOOKUP(D338,Sales_Reps!$A$2:$C$31,3,FALSE)</f>
        <v>East</v>
      </c>
      <c r="I338" s="44">
        <f t="shared" si="13"/>
        <v>45323</v>
      </c>
      <c r="L338" t="str">
        <f>Orders!K338</f>
        <v>Delhi</v>
      </c>
      <c r="M338">
        <f>Orders!G338</f>
        <v>2380</v>
      </c>
      <c r="N338">
        <f>IFERROR(VLOOKUP(Orders!D338,Products!$A$2:$D$61,4,FALSE),"")</f>
        <v>1182</v>
      </c>
      <c r="O338">
        <f t="shared" si="14"/>
        <v>0.50336134453781511</v>
      </c>
      <c r="Q338" t="str">
        <f>Orders!D338</f>
        <v>PROD-023</v>
      </c>
    </row>
    <row r="339" spans="1:17" x14ac:dyDescent="0.3">
      <c r="A339" t="str">
        <f>Orders!A339</f>
        <v>ORD-00338</v>
      </c>
      <c r="B339">
        <f>Orders!B339</f>
        <v>45420</v>
      </c>
      <c r="C339">
        <f>Orders!I339</f>
        <v>3398.25</v>
      </c>
      <c r="D339" t="str">
        <f>Orders!E339</f>
        <v>R008</v>
      </c>
      <c r="E339" t="str">
        <f>IFERROR(VLOOKUP(Orders!D339,Products!$A$2:$C$61,3,FALSE),"Unknown")</f>
        <v>Apparel</v>
      </c>
      <c r="F339" t="str">
        <f>IFERROR(VLOOKUP(Orders!C339,Customers!$A$2:$E$301,5,FALSE),"Unknown")</f>
        <v>SMB</v>
      </c>
      <c r="G339">
        <f>IFERROR(VLOOKUP(Orders!C339,Customers!$A$2:$C$301,3,FALSE),"")</f>
        <v>26</v>
      </c>
      <c r="H339" t="str">
        <f>VLOOKUP(D339,Sales_Reps!$A$2:$C$31,3,FALSE)</f>
        <v>North</v>
      </c>
      <c r="I339" s="44">
        <f t="shared" si="13"/>
        <v>45413</v>
      </c>
      <c r="L339" t="str">
        <f>Orders!K339</f>
        <v>Delhi</v>
      </c>
      <c r="M339">
        <f>Orders!G339</f>
        <v>3450</v>
      </c>
      <c r="N339">
        <f>IFERROR(VLOOKUP(Orders!D339,Products!$A$2:$D$61,4,FALSE),"")</f>
        <v>1748</v>
      </c>
      <c r="O339">
        <f t="shared" si="14"/>
        <v>0.49333333333333335</v>
      </c>
      <c r="Q339" t="str">
        <f>Orders!D339</f>
        <v>PROD-011</v>
      </c>
    </row>
    <row r="340" spans="1:17" x14ac:dyDescent="0.3">
      <c r="A340" t="str">
        <f>Orders!A340</f>
        <v>ORD-00339</v>
      </c>
      <c r="B340">
        <f>Orders!B340</f>
        <v>45295</v>
      </c>
      <c r="C340">
        <f>Orders!I340</f>
        <v>15565.2</v>
      </c>
      <c r="D340" t="str">
        <f>Orders!E340</f>
        <v>R002</v>
      </c>
      <c r="E340" t="str">
        <f>IFERROR(VLOOKUP(Orders!D340,Products!$A$2:$C$61,3,FALSE),"Unknown")</f>
        <v>Electronics</v>
      </c>
      <c r="F340" t="str">
        <f>IFERROR(VLOOKUP(Orders!C340,Customers!$A$2:$E$301,5,FALSE),"Unknown")</f>
        <v>Corporate</v>
      </c>
      <c r="G340">
        <f>IFERROR(VLOOKUP(Orders!C340,Customers!$A$2:$C$301,3,FALSE),"")</f>
        <v>57</v>
      </c>
      <c r="H340" t="str">
        <f>VLOOKUP(D340,Sales_Reps!$A$2:$C$31,3,FALSE)</f>
        <v>North</v>
      </c>
      <c r="I340" s="44">
        <f t="shared" si="13"/>
        <v>45292</v>
      </c>
      <c r="L340" t="str">
        <f>Orders!K340</f>
        <v>Bengaluru</v>
      </c>
      <c r="M340">
        <f>Orders!G340</f>
        <v>3570</v>
      </c>
      <c r="N340">
        <f>IFERROR(VLOOKUP(Orders!D340,Products!$A$2:$D$61,4,FALSE),"")</f>
        <v>1665</v>
      </c>
      <c r="O340">
        <f t="shared" si="14"/>
        <v>0.53361344537815125</v>
      </c>
      <c r="Q340" t="str">
        <f>Orders!D340</f>
        <v>PROD-003</v>
      </c>
    </row>
    <row r="341" spans="1:17" x14ac:dyDescent="0.3">
      <c r="A341" t="str">
        <f>Orders!A341</f>
        <v>ORD-00340</v>
      </c>
      <c r="B341">
        <f>Orders!B341</f>
        <v>45590</v>
      </c>
      <c r="C341">
        <f>Orders!I341</f>
        <v>13399.62</v>
      </c>
      <c r="D341" t="str">
        <f>Orders!E341</f>
        <v>R029</v>
      </c>
      <c r="E341" t="str">
        <f>IFERROR(VLOOKUP(Orders!D341,Products!$A$2:$C$61,3,FALSE),"Unknown")</f>
        <v>Electronics</v>
      </c>
      <c r="F341" t="str">
        <f>IFERROR(VLOOKUP(Orders!C341,Customers!$A$2:$E$301,5,FALSE),"Unknown")</f>
        <v>Retail</v>
      </c>
      <c r="G341">
        <f>IFERROR(VLOOKUP(Orders!C341,Customers!$A$2:$C$301,3,FALSE),"")</f>
        <v>27</v>
      </c>
      <c r="H341" t="str">
        <f>VLOOKUP(D341,Sales_Reps!$A$2:$C$31,3,FALSE)</f>
        <v>West</v>
      </c>
      <c r="I341" s="44">
        <f t="shared" si="13"/>
        <v>45566</v>
      </c>
      <c r="L341" t="str">
        <f>Orders!K341</f>
        <v>Hyderabad</v>
      </c>
      <c r="M341">
        <f>Orders!G341</f>
        <v>5330</v>
      </c>
      <c r="N341">
        <f>IFERROR(VLOOKUP(Orders!D341,Products!$A$2:$D$61,4,FALSE),"")</f>
        <v>2405</v>
      </c>
      <c r="O341">
        <f t="shared" si="14"/>
        <v>0.54878048780487809</v>
      </c>
      <c r="Q341" t="str">
        <f>Orders!D341</f>
        <v>PROD-001</v>
      </c>
    </row>
    <row r="342" spans="1:17" x14ac:dyDescent="0.3">
      <c r="A342" t="str">
        <f>Orders!A342</f>
        <v>ORD-00341</v>
      </c>
      <c r="B342">
        <f>Orders!B342</f>
        <v>45341</v>
      </c>
      <c r="C342">
        <f>Orders!I342</f>
        <v>8202.06</v>
      </c>
      <c r="D342" t="str">
        <f>Orders!E342</f>
        <v>R027</v>
      </c>
      <c r="E342" t="str">
        <f>IFERROR(VLOOKUP(Orders!D342,Products!$A$2:$C$61,3,FALSE),"Unknown")</f>
        <v>Grocery</v>
      </c>
      <c r="F342" t="str">
        <f>IFERROR(VLOOKUP(Orders!C342,Customers!$A$2:$E$301,5,FALSE),"Unknown")</f>
        <v>Retail</v>
      </c>
      <c r="G342">
        <f>IFERROR(VLOOKUP(Orders!C342,Customers!$A$2:$C$301,3,FALSE),"")</f>
        <v>56</v>
      </c>
      <c r="H342" t="str">
        <f>VLOOKUP(D342,Sales_Reps!$A$2:$C$31,3,FALSE)</f>
        <v>West</v>
      </c>
      <c r="I342" s="44">
        <f t="shared" si="13"/>
        <v>45323</v>
      </c>
      <c r="L342" t="str">
        <f>Orders!K342</f>
        <v>Mumbai</v>
      </c>
      <c r="M342">
        <f>Orders!G342</f>
        <v>3660</v>
      </c>
      <c r="N342">
        <f>IFERROR(VLOOKUP(Orders!D342,Products!$A$2:$D$61,4,FALSE),"")</f>
        <v>2214</v>
      </c>
      <c r="O342">
        <f t="shared" si="14"/>
        <v>0.39508196721311473</v>
      </c>
      <c r="Q342" t="str">
        <f>Orders!D342</f>
        <v>PROD-028</v>
      </c>
    </row>
    <row r="343" spans="1:17" x14ac:dyDescent="0.3">
      <c r="A343" t="str">
        <f>Orders!A343</f>
        <v>ORD-00342</v>
      </c>
      <c r="B343">
        <f>Orders!B343</f>
        <v>45600</v>
      </c>
      <c r="C343">
        <f>Orders!I343</f>
        <v>1430.16</v>
      </c>
      <c r="D343" t="str">
        <f>Orders!E343</f>
        <v>R015</v>
      </c>
      <c r="E343" t="str">
        <f>IFERROR(VLOOKUP(Orders!D343,Products!$A$2:$C$61,3,FALSE),"Unknown")</f>
        <v>Sports</v>
      </c>
      <c r="F343" t="str">
        <f>IFERROR(VLOOKUP(Orders!C343,Customers!$A$2:$E$301,5,FALSE),"Unknown")</f>
        <v>Retail</v>
      </c>
      <c r="G343">
        <f>IFERROR(VLOOKUP(Orders!C343,Customers!$A$2:$C$301,3,FALSE),"")</f>
        <v>35</v>
      </c>
      <c r="H343" t="str">
        <f>VLOOKUP(D343,Sales_Reps!$A$2:$C$31,3,FALSE)</f>
        <v>South</v>
      </c>
      <c r="I343" s="44">
        <f t="shared" si="13"/>
        <v>45597</v>
      </c>
      <c r="L343" t="str">
        <f>Orders!K343</f>
        <v>Mumbai</v>
      </c>
      <c r="M343">
        <f>Orders!G343</f>
        <v>1010</v>
      </c>
      <c r="N343">
        <f>IFERROR(VLOOKUP(Orders!D343,Products!$A$2:$D$61,4,FALSE),"")</f>
        <v>516</v>
      </c>
      <c r="O343">
        <f t="shared" si="14"/>
        <v>0.4891089108910891</v>
      </c>
      <c r="Q343" t="str">
        <f>Orders!D343</f>
        <v>PROD-054</v>
      </c>
    </row>
    <row r="344" spans="1:17" x14ac:dyDescent="0.3">
      <c r="A344" t="str">
        <f>Orders!A344</f>
        <v>ORD-00343</v>
      </c>
      <c r="B344">
        <f>Orders!B344</f>
        <v>45506</v>
      </c>
      <c r="C344">
        <f>Orders!I344</f>
        <v>1060.56</v>
      </c>
      <c r="D344" t="str">
        <f>Orders!E344</f>
        <v>R015</v>
      </c>
      <c r="E344" t="str">
        <f>IFERROR(VLOOKUP(Orders!D344,Products!$A$2:$C$61,3,FALSE),"Unknown")</f>
        <v>Home</v>
      </c>
      <c r="F344" t="str">
        <f>IFERROR(VLOOKUP(Orders!C344,Customers!$A$2:$E$301,5,FALSE),"Unknown")</f>
        <v>SMB</v>
      </c>
      <c r="G344">
        <f>IFERROR(VLOOKUP(Orders!C344,Customers!$A$2:$C$301,3,FALSE),"")</f>
        <v>48</v>
      </c>
      <c r="H344" t="str">
        <f>VLOOKUP(D344,Sales_Reps!$A$2:$C$31,3,FALSE)</f>
        <v>South</v>
      </c>
      <c r="I344" s="44">
        <f t="shared" si="13"/>
        <v>45505</v>
      </c>
      <c r="L344" t="str">
        <f>Orders!K344</f>
        <v>Delhi</v>
      </c>
      <c r="M344">
        <f>Orders!G344</f>
        <v>1080</v>
      </c>
      <c r="N344">
        <f>IFERROR(VLOOKUP(Orders!D344,Products!$A$2:$D$61,4,FALSE),"")</f>
        <v>519</v>
      </c>
      <c r="O344">
        <f t="shared" si="14"/>
        <v>0.51944444444444449</v>
      </c>
      <c r="Q344" t="str">
        <f>Orders!D344</f>
        <v>PROD-040</v>
      </c>
    </row>
    <row r="345" spans="1:17" x14ac:dyDescent="0.3">
      <c r="A345" t="str">
        <f>Orders!A345</f>
        <v>ORD-00344</v>
      </c>
      <c r="B345">
        <f>Orders!B345</f>
        <v>45414</v>
      </c>
      <c r="C345">
        <f>Orders!I345</f>
        <v>21969.599999999999</v>
      </c>
      <c r="D345" t="str">
        <f>Orders!E345</f>
        <v>R010</v>
      </c>
      <c r="E345" t="str">
        <f>IFERROR(VLOOKUP(Orders!D345,Products!$A$2:$C$61,3,FALSE),"Unknown")</f>
        <v>Sports</v>
      </c>
      <c r="F345" t="str">
        <f>IFERROR(VLOOKUP(Orders!C345,Customers!$A$2:$E$301,5,FALSE),"Unknown")</f>
        <v>Retail</v>
      </c>
      <c r="G345">
        <f>IFERROR(VLOOKUP(Orders!C345,Customers!$A$2:$C$301,3,FALSE),"")</f>
        <v>22</v>
      </c>
      <c r="H345" t="str">
        <f>VLOOKUP(D345,Sales_Reps!$A$2:$C$31,3,FALSE)</f>
        <v>South</v>
      </c>
      <c r="I345" s="44">
        <f t="shared" si="13"/>
        <v>45413</v>
      </c>
      <c r="L345" t="str">
        <f>Orders!K345</f>
        <v>Pune</v>
      </c>
      <c r="M345">
        <f>Orders!G345</f>
        <v>3450</v>
      </c>
      <c r="N345">
        <f>IFERROR(VLOOKUP(Orders!D345,Products!$A$2:$D$61,4,FALSE),"")</f>
        <v>2467</v>
      </c>
      <c r="O345">
        <f t="shared" si="14"/>
        <v>0.28492753623188405</v>
      </c>
      <c r="Q345" t="str">
        <f>Orders!D345</f>
        <v>PROD-051</v>
      </c>
    </row>
    <row r="346" spans="1:17" x14ac:dyDescent="0.3">
      <c r="A346" t="str">
        <f>Orders!A346</f>
        <v>ORD-00593</v>
      </c>
      <c r="B346">
        <f>Orders!B346</f>
        <v>45553</v>
      </c>
      <c r="C346">
        <f>Orders!I346</f>
        <v>44749.120000000003</v>
      </c>
      <c r="D346" t="str">
        <f>Orders!E346</f>
        <v>R015</v>
      </c>
      <c r="E346" t="str">
        <f>IFERROR(VLOOKUP(Orders!D346,Products!$A$2:$C$61,3,FALSE),"Unknown")</f>
        <v>Sports</v>
      </c>
      <c r="F346" t="str">
        <f>IFERROR(VLOOKUP(Orders!C346,Customers!$A$2:$E$301,5,FALSE),"Unknown")</f>
        <v>Retail</v>
      </c>
      <c r="G346">
        <f>IFERROR(VLOOKUP(Orders!C346,Customers!$A$2:$C$301,3,FALSE),"")</f>
        <v>42</v>
      </c>
      <c r="H346" t="str">
        <f>VLOOKUP(D346,Sales_Reps!$A$2:$C$31,3,FALSE)</f>
        <v>South</v>
      </c>
      <c r="I346" s="44">
        <f t="shared" si="13"/>
        <v>45536</v>
      </c>
      <c r="L346" t="str">
        <f>Orders!K346</f>
        <v>Mumbai</v>
      </c>
      <c r="M346">
        <f>Orders!G346</f>
        <v>6940</v>
      </c>
      <c r="N346">
        <f>IFERROR(VLOOKUP(Orders!D346,Products!$A$2:$D$61,4,FALSE),"")</f>
        <v>2827</v>
      </c>
      <c r="O346">
        <f t="shared" si="14"/>
        <v>0.5926512968299712</v>
      </c>
      <c r="Q346" t="str">
        <f>Orders!D346</f>
        <v>PROD-056</v>
      </c>
    </row>
    <row r="347" spans="1:17" x14ac:dyDescent="0.3">
      <c r="A347" t="str">
        <f>Orders!A347</f>
        <v>ORD-00346</v>
      </c>
      <c r="B347">
        <f>Orders!B347</f>
        <v>45434</v>
      </c>
      <c r="C347">
        <f>Orders!I347</f>
        <v>2793.56</v>
      </c>
      <c r="D347" t="str">
        <f>Orders!E347</f>
        <v>R003</v>
      </c>
      <c r="E347" t="str">
        <f>IFERROR(VLOOKUP(Orders!D347,Products!$A$2:$C$61,3,FALSE),"Unknown")</f>
        <v>Beauty</v>
      </c>
      <c r="F347" t="str">
        <f>IFERROR(VLOOKUP(Orders!C347,Customers!$A$2:$E$301,5,FALSE),"Unknown")</f>
        <v>Retail</v>
      </c>
      <c r="G347">
        <f>IFERROR(VLOOKUP(Orders!C347,Customers!$A$2:$C$301,3,FALSE),"")</f>
        <v>54</v>
      </c>
      <c r="H347" t="str">
        <f>VLOOKUP(D347,Sales_Reps!$A$2:$C$31,3,FALSE)</f>
        <v>North</v>
      </c>
      <c r="I347" s="44">
        <f t="shared" si="13"/>
        <v>45413</v>
      </c>
      <c r="L347" t="str">
        <f>Orders!K347</f>
        <v>Pune</v>
      </c>
      <c r="M347">
        <f>Orders!G347</f>
        <v>1540</v>
      </c>
      <c r="N347">
        <f>IFERROR(VLOOKUP(Orders!D347,Products!$A$2:$D$61,4,FALSE),"")</f>
        <v>647</v>
      </c>
      <c r="O347">
        <f t="shared" si="14"/>
        <v>0.57987012987012987</v>
      </c>
      <c r="Q347" t="str">
        <f>Orders!D347</f>
        <v>PROD-041</v>
      </c>
    </row>
    <row r="348" spans="1:17" x14ac:dyDescent="0.3">
      <c r="A348" t="str">
        <f>Orders!A348</f>
        <v>ORD-00347</v>
      </c>
      <c r="B348">
        <f>Orders!B348</f>
        <v>45446</v>
      </c>
      <c r="C348">
        <f>Orders!I348</f>
        <v>8110.08</v>
      </c>
      <c r="D348" t="str">
        <f>Orders!E348</f>
        <v>R015</v>
      </c>
      <c r="E348" t="str">
        <f>IFERROR(VLOOKUP(Orders!D348,Products!$A$2:$C$61,3,FALSE),"Unknown")</f>
        <v>Electronics</v>
      </c>
      <c r="F348" t="str">
        <f>IFERROR(VLOOKUP(Orders!C348,Customers!$A$2:$E$301,5,FALSE),"Unknown")</f>
        <v>Corporate</v>
      </c>
      <c r="G348">
        <f>IFERROR(VLOOKUP(Orders!C348,Customers!$A$2:$C$301,3,FALSE),"")</f>
        <v>47</v>
      </c>
      <c r="H348" t="str">
        <f>VLOOKUP(D348,Sales_Reps!$A$2:$C$31,3,FALSE)</f>
        <v>South</v>
      </c>
      <c r="I348" s="44">
        <f t="shared" si="13"/>
        <v>45444</v>
      </c>
      <c r="L348" t="str">
        <f>Orders!K348</f>
        <v>Pune</v>
      </c>
      <c r="M348">
        <f>Orders!G348</f>
        <v>2640</v>
      </c>
      <c r="N348">
        <f>IFERROR(VLOOKUP(Orders!D348,Products!$A$2:$D$61,4,FALSE),"")</f>
        <v>1149</v>
      </c>
      <c r="O348">
        <f t="shared" si="14"/>
        <v>0.56477272727272732</v>
      </c>
      <c r="Q348" t="str">
        <f>Orders!D348</f>
        <v>PROD-010</v>
      </c>
    </row>
    <row r="349" spans="1:17" x14ac:dyDescent="0.3">
      <c r="A349" t="str">
        <f>Orders!A349</f>
        <v>ORD-00348</v>
      </c>
      <c r="B349">
        <f>Orders!B349</f>
        <v>45626</v>
      </c>
      <c r="C349">
        <f>Orders!I349</f>
        <v>22916.76</v>
      </c>
      <c r="D349" t="str">
        <f>Orders!E349</f>
        <v>R024</v>
      </c>
      <c r="E349" t="str">
        <f>IFERROR(VLOOKUP(Orders!D349,Products!$A$2:$C$61,3,FALSE),"Unknown")</f>
        <v>Sports</v>
      </c>
      <c r="F349" t="str">
        <f>IFERROR(VLOOKUP(Orders!C349,Customers!$A$2:$E$301,5,FALSE),"Unknown")</f>
        <v>Retail</v>
      </c>
      <c r="G349">
        <f>IFERROR(VLOOKUP(Orders!C349,Customers!$A$2:$C$301,3,FALSE),"")</f>
        <v>36</v>
      </c>
      <c r="H349" t="str">
        <f>VLOOKUP(D349,Sales_Reps!$A$2:$C$31,3,FALSE)</f>
        <v>West</v>
      </c>
      <c r="I349" s="44">
        <f t="shared" si="13"/>
        <v>45597</v>
      </c>
      <c r="L349" t="str">
        <f>Orders!K349</f>
        <v>Pune</v>
      </c>
      <c r="M349">
        <f>Orders!G349</f>
        <v>5410</v>
      </c>
      <c r="N349">
        <f>IFERROR(VLOOKUP(Orders!D349,Products!$A$2:$D$61,4,FALSE),"")</f>
        <v>2265</v>
      </c>
      <c r="O349">
        <f t="shared" si="14"/>
        <v>0.58133086876155271</v>
      </c>
      <c r="Q349" t="str">
        <f>Orders!D349</f>
        <v>PROD-052</v>
      </c>
    </row>
    <row r="350" spans="1:17" x14ac:dyDescent="0.3">
      <c r="A350" t="str">
        <f>Orders!A350</f>
        <v>ORD-00349</v>
      </c>
      <c r="B350">
        <f>Orders!B350</f>
        <v>45459</v>
      </c>
      <c r="C350">
        <f>Orders!I350</f>
        <v>3416.49</v>
      </c>
      <c r="D350" t="str">
        <f>Orders!E350</f>
        <v>R027</v>
      </c>
      <c r="E350" t="str">
        <f>IFERROR(VLOOKUP(Orders!D350,Products!$A$2:$C$61,3,FALSE),"Unknown")</f>
        <v>Electronics</v>
      </c>
      <c r="F350" t="str">
        <f>IFERROR(VLOOKUP(Orders!C350,Customers!$A$2:$E$301,5,FALSE),"Unknown")</f>
        <v>SMB</v>
      </c>
      <c r="G350">
        <f>IFERROR(VLOOKUP(Orders!C350,Customers!$A$2:$C$301,3,FALSE),"")</f>
        <v>38</v>
      </c>
      <c r="H350" t="str">
        <f>VLOOKUP(D350,Sales_Reps!$A$2:$C$31,3,FALSE)</f>
        <v>West</v>
      </c>
      <c r="I350" s="44">
        <f t="shared" si="13"/>
        <v>45444</v>
      </c>
      <c r="L350" t="str">
        <f>Orders!K350</f>
        <v>Delhi</v>
      </c>
      <c r="M350">
        <f>Orders!G350</f>
        <v>3570</v>
      </c>
      <c r="N350">
        <f>IFERROR(VLOOKUP(Orders!D350,Products!$A$2:$D$61,4,FALSE),"")</f>
        <v>1665</v>
      </c>
      <c r="O350">
        <f t="shared" si="14"/>
        <v>0.53361344537815125</v>
      </c>
      <c r="Q350" t="str">
        <f>Orders!D350</f>
        <v>PROD-003</v>
      </c>
    </row>
    <row r="351" spans="1:17" x14ac:dyDescent="0.3">
      <c r="A351" t="str">
        <f>Orders!A351</f>
        <v>ORD-00350</v>
      </c>
      <c r="B351">
        <f>Orders!B351</f>
        <v>45520</v>
      </c>
      <c r="C351">
        <f>Orders!I351</f>
        <v>686.72</v>
      </c>
      <c r="D351" t="str">
        <f>Orders!E351</f>
        <v>R028</v>
      </c>
      <c r="E351" t="str">
        <f>IFERROR(VLOOKUP(Orders!D351,Products!$A$2:$C$61,3,FALSE),"Unknown")</f>
        <v>Home</v>
      </c>
      <c r="F351" t="str">
        <f>IFERROR(VLOOKUP(Orders!C351,Customers!$A$2:$E$301,5,FALSE),"Unknown")</f>
        <v>SMB</v>
      </c>
      <c r="G351">
        <f>IFERROR(VLOOKUP(Orders!C351,Customers!$A$2:$C$301,3,FALSE),"")</f>
        <v>29</v>
      </c>
      <c r="H351" t="str">
        <f>VLOOKUP(D351,Sales_Reps!$A$2:$C$31,3,FALSE)</f>
        <v>West</v>
      </c>
      <c r="I351" s="44">
        <f t="shared" si="13"/>
        <v>45505</v>
      </c>
      <c r="L351" t="str">
        <f>Orders!K351</f>
        <v>Hyderabad</v>
      </c>
      <c r="M351">
        <f>Orders!G351</f>
        <v>370</v>
      </c>
      <c r="N351">
        <f>IFERROR(VLOOKUP(Orders!D351,Products!$A$2:$D$61,4,FALSE),"")</f>
        <v>288</v>
      </c>
      <c r="O351">
        <f t="shared" si="14"/>
        <v>0.22162162162162163</v>
      </c>
      <c r="Q351" t="str">
        <f>Orders!D351</f>
        <v>PROD-032</v>
      </c>
    </row>
    <row r="352" spans="1:17" x14ac:dyDescent="0.3">
      <c r="A352" t="str">
        <f>Orders!A352</f>
        <v>ORD-00351</v>
      </c>
      <c r="B352">
        <f>Orders!B352</f>
        <v>45314</v>
      </c>
      <c r="C352">
        <f>Orders!I352</f>
        <v>2449.7600000000002</v>
      </c>
      <c r="D352" t="str">
        <f>Orders!E352</f>
        <v>R017</v>
      </c>
      <c r="E352" t="str">
        <f>IFERROR(VLOOKUP(Orders!D352,Products!$A$2:$C$61,3,FALSE),"Unknown")</f>
        <v>Apparel</v>
      </c>
      <c r="F352" t="str">
        <f>IFERROR(VLOOKUP(Orders!C352,Customers!$A$2:$E$301,5,FALSE),"Unknown")</f>
        <v>Retail</v>
      </c>
      <c r="G352">
        <f>IFERROR(VLOOKUP(Orders!C352,Customers!$A$2:$C$301,3,FALSE),"")</f>
        <v>39</v>
      </c>
      <c r="H352" t="str">
        <f>VLOOKUP(D352,Sales_Reps!$A$2:$C$31,3,FALSE)</f>
        <v>East</v>
      </c>
      <c r="I352" s="44">
        <f t="shared" si="13"/>
        <v>45292</v>
      </c>
      <c r="L352" t="str">
        <f>Orders!K352</f>
        <v>Mumbai</v>
      </c>
      <c r="M352">
        <f>Orders!G352</f>
        <v>2510</v>
      </c>
      <c r="N352">
        <f>IFERROR(VLOOKUP(Orders!D352,Products!$A$2:$D$61,4,FALSE),"")</f>
        <v>1075</v>
      </c>
      <c r="O352">
        <f t="shared" si="14"/>
        <v>0.57171314741035861</v>
      </c>
      <c r="Q352" t="str">
        <f>Orders!D352</f>
        <v>PROD-017</v>
      </c>
    </row>
    <row r="353" spans="1:17" x14ac:dyDescent="0.3">
      <c r="A353" t="str">
        <f>Orders!A353</f>
        <v>ORD-00352</v>
      </c>
      <c r="B353">
        <f>Orders!B353</f>
        <v>45480</v>
      </c>
      <c r="C353">
        <f>Orders!I353</f>
        <v>20762.560000000001</v>
      </c>
      <c r="D353" t="str">
        <f>Orders!E353</f>
        <v>R022</v>
      </c>
      <c r="E353" t="str">
        <f>IFERROR(VLOOKUP(Orders!D353,Products!$A$2:$C$61,3,FALSE),"Unknown")</f>
        <v>Apparel</v>
      </c>
      <c r="F353" t="str">
        <f>IFERROR(VLOOKUP(Orders!C353,Customers!$A$2:$E$301,5,FALSE),"Unknown")</f>
        <v>Retail</v>
      </c>
      <c r="G353">
        <f>IFERROR(VLOOKUP(Orders!C353,Customers!$A$2:$C$301,3,FALSE),"")</f>
        <v>64</v>
      </c>
      <c r="H353" t="str">
        <f>VLOOKUP(D353,Sales_Reps!$A$2:$C$31,3,FALSE)</f>
        <v>East</v>
      </c>
      <c r="I353" s="44">
        <f t="shared" si="13"/>
        <v>45474</v>
      </c>
      <c r="L353" t="str">
        <f>Orders!K353</f>
        <v>Hyderabad</v>
      </c>
      <c r="M353">
        <f>Orders!G353</f>
        <v>3640</v>
      </c>
      <c r="N353">
        <f>IFERROR(VLOOKUP(Orders!D353,Products!$A$2:$D$61,4,FALSE),"")</f>
        <v>2611</v>
      </c>
      <c r="O353">
        <f t="shared" si="14"/>
        <v>0.28269230769230769</v>
      </c>
      <c r="Q353" t="str">
        <f>Orders!D353</f>
        <v>PROD-013</v>
      </c>
    </row>
    <row r="354" spans="1:17" x14ac:dyDescent="0.3">
      <c r="A354" t="str">
        <f>Orders!A354</f>
        <v>ORD-00353</v>
      </c>
      <c r="B354">
        <f>Orders!B354</f>
        <v>45520</v>
      </c>
      <c r="C354">
        <f>Orders!I354</f>
        <v>7144.5</v>
      </c>
      <c r="D354" t="str">
        <f>Orders!E354</f>
        <v>R029</v>
      </c>
      <c r="E354" t="str">
        <f>IFERROR(VLOOKUP(Orders!D354,Products!$A$2:$C$61,3,FALSE),"Unknown")</f>
        <v>Beauty</v>
      </c>
      <c r="F354" t="str">
        <f>IFERROR(VLOOKUP(Orders!C354,Customers!$A$2:$E$301,5,FALSE),"Unknown")</f>
        <v>SMB</v>
      </c>
      <c r="G354">
        <f>IFERROR(VLOOKUP(Orders!C354,Customers!$A$2:$C$301,3,FALSE),"")</f>
        <v>52</v>
      </c>
      <c r="H354" t="str">
        <f>VLOOKUP(D354,Sales_Reps!$A$2:$C$31,3,FALSE)</f>
        <v>West</v>
      </c>
      <c r="I354" s="44">
        <f t="shared" si="13"/>
        <v>45505</v>
      </c>
      <c r="L354" t="str">
        <f>Orders!K354</f>
        <v>Chennai</v>
      </c>
      <c r="M354">
        <f>Orders!G354</f>
        <v>1650</v>
      </c>
      <c r="N354">
        <f>IFERROR(VLOOKUP(Orders!D354,Products!$A$2:$D$61,4,FALSE),"")</f>
        <v>1222</v>
      </c>
      <c r="O354">
        <f t="shared" si="14"/>
        <v>0.2593939393939394</v>
      </c>
      <c r="Q354" t="str">
        <f>Orders!D354</f>
        <v>PROD-044</v>
      </c>
    </row>
    <row r="355" spans="1:17" x14ac:dyDescent="0.3">
      <c r="A355" t="str">
        <f>Orders!A355</f>
        <v>ORD-00354</v>
      </c>
      <c r="B355">
        <f>Orders!B355</f>
        <v>45360</v>
      </c>
      <c r="C355">
        <f>Orders!I355</f>
        <v>6168.96</v>
      </c>
      <c r="D355" t="str">
        <f>Orders!E355</f>
        <v>R024</v>
      </c>
      <c r="E355" t="str">
        <f>IFERROR(VLOOKUP(Orders!D355,Products!$A$2:$C$61,3,FALSE),"Unknown")</f>
        <v>Beauty</v>
      </c>
      <c r="F355" t="str">
        <f>IFERROR(VLOOKUP(Orders!C355,Customers!$A$2:$E$301,5,FALSE),"Unknown")</f>
        <v>Retail</v>
      </c>
      <c r="G355">
        <f>IFERROR(VLOOKUP(Orders!C355,Customers!$A$2:$C$301,3,FALSE),"")</f>
        <v>60</v>
      </c>
      <c r="H355" t="str">
        <f>VLOOKUP(D355,Sales_Reps!$A$2:$C$31,3,FALSE)</f>
        <v>West</v>
      </c>
      <c r="I355" s="44">
        <f t="shared" si="13"/>
        <v>45352</v>
      </c>
      <c r="L355" t="str">
        <f>Orders!K355</f>
        <v>Chennai</v>
      </c>
      <c r="M355">
        <f>Orders!G355</f>
        <v>960</v>
      </c>
      <c r="N355">
        <f>IFERROR(VLOOKUP(Orders!D355,Products!$A$2:$D$61,4,FALSE),"")</f>
        <v>675</v>
      </c>
      <c r="O355">
        <f t="shared" si="14"/>
        <v>0.296875</v>
      </c>
      <c r="Q355" t="str">
        <f>Orders!D355</f>
        <v>PROD-049</v>
      </c>
    </row>
    <row r="356" spans="1:17" x14ac:dyDescent="0.3">
      <c r="A356" t="str">
        <f>Orders!A356</f>
        <v>ORD-00355</v>
      </c>
      <c r="B356">
        <f>Orders!B356</f>
        <v>45486</v>
      </c>
      <c r="C356">
        <f>Orders!I356</f>
        <v>11294.64</v>
      </c>
      <c r="D356" t="str">
        <f>Orders!E356</f>
        <v>R021</v>
      </c>
      <c r="E356" t="str">
        <f>IFERROR(VLOOKUP(Orders!D356,Products!$A$2:$C$61,3,FALSE),"Unknown")</f>
        <v>Grocery</v>
      </c>
      <c r="F356" t="str">
        <f>IFERROR(VLOOKUP(Orders!C356,Customers!$A$2:$E$301,5,FALSE),"Unknown")</f>
        <v>SMB</v>
      </c>
      <c r="G356">
        <f>IFERROR(VLOOKUP(Orders!C356,Customers!$A$2:$C$301,3,FALSE),"")</f>
        <v>64</v>
      </c>
      <c r="H356" t="str">
        <f>VLOOKUP(D356,Sales_Reps!$A$2:$C$31,3,FALSE)</f>
        <v>East</v>
      </c>
      <c r="I356" s="44">
        <f t="shared" si="13"/>
        <v>45474</v>
      </c>
      <c r="L356" t="str">
        <f>Orders!K356</f>
        <v>Bengaluru</v>
      </c>
      <c r="M356">
        <f>Orders!G356</f>
        <v>3780</v>
      </c>
      <c r="N356">
        <f>IFERROR(VLOOKUP(Orders!D356,Products!$A$2:$D$61,4,FALSE),"")</f>
        <v>2436</v>
      </c>
      <c r="O356">
        <f t="shared" si="14"/>
        <v>0.35555555555555557</v>
      </c>
      <c r="Q356" t="str">
        <f>Orders!D356</f>
        <v>PROD-027</v>
      </c>
    </row>
    <row r="357" spans="1:17" x14ac:dyDescent="0.3">
      <c r="A357" t="str">
        <f>Orders!A357</f>
        <v>ORD-00356</v>
      </c>
      <c r="B357">
        <f>Orders!B357</f>
        <v>45544</v>
      </c>
      <c r="C357">
        <f>Orders!I357</f>
        <v>5695.8</v>
      </c>
      <c r="D357" t="str">
        <f>Orders!E357</f>
        <v>R014</v>
      </c>
      <c r="E357" t="str">
        <f>IFERROR(VLOOKUP(Orders!D357,Products!$A$2:$C$61,3,FALSE),"Unknown")</f>
        <v>Beauty</v>
      </c>
      <c r="F357" t="str">
        <f>IFERROR(VLOOKUP(Orders!C357,Customers!$A$2:$E$301,5,FALSE),"Unknown")</f>
        <v>SMB</v>
      </c>
      <c r="G357">
        <f>IFERROR(VLOOKUP(Orders!C357,Customers!$A$2:$C$301,3,FALSE),"")</f>
        <v>52</v>
      </c>
      <c r="H357" t="str">
        <f>VLOOKUP(D357,Sales_Reps!$A$2:$C$31,3,FALSE)</f>
        <v>South</v>
      </c>
      <c r="I357" s="44">
        <f t="shared" si="13"/>
        <v>45536</v>
      </c>
      <c r="L357" t="str">
        <f>Orders!K357</f>
        <v>Chennai</v>
      </c>
      <c r="M357">
        <f>Orders!G357</f>
        <v>1650</v>
      </c>
      <c r="N357">
        <f>IFERROR(VLOOKUP(Orders!D357,Products!$A$2:$D$61,4,FALSE),"")</f>
        <v>1222</v>
      </c>
      <c r="O357">
        <f t="shared" si="14"/>
        <v>0.2593939393939394</v>
      </c>
      <c r="Q357" t="str">
        <f>Orders!D357</f>
        <v>PROD-044</v>
      </c>
    </row>
    <row r="358" spans="1:17" x14ac:dyDescent="0.3">
      <c r="A358" t="str">
        <f>Orders!A358</f>
        <v>ORD-00357</v>
      </c>
      <c r="B358">
        <f>Orders!B358</f>
        <v>45580</v>
      </c>
      <c r="C358">
        <f>Orders!I358</f>
        <v>17093.64</v>
      </c>
      <c r="D358" t="str">
        <f>Orders!E358</f>
        <v>R012</v>
      </c>
      <c r="E358" t="str">
        <f>IFERROR(VLOOKUP(Orders!D358,Products!$A$2:$C$61,3,FALSE),"Unknown")</f>
        <v>Apparel</v>
      </c>
      <c r="F358" t="str">
        <f>IFERROR(VLOOKUP(Orders!C358,Customers!$A$2:$E$301,5,FALSE),"Unknown")</f>
        <v>Retail</v>
      </c>
      <c r="G358">
        <f>IFERROR(VLOOKUP(Orders!C358,Customers!$A$2:$C$301,3,FALSE),"")</f>
        <v>38</v>
      </c>
      <c r="H358" t="str">
        <f>VLOOKUP(D358,Sales_Reps!$A$2:$C$31,3,FALSE)</f>
        <v>South</v>
      </c>
      <c r="I358" s="44">
        <f t="shared" si="13"/>
        <v>45566</v>
      </c>
      <c r="L358" t="str">
        <f>Orders!K358</f>
        <v>Hyderabad</v>
      </c>
      <c r="M358">
        <f>Orders!G358</f>
        <v>3620</v>
      </c>
      <c r="N358">
        <f>IFERROR(VLOOKUP(Orders!D358,Products!$A$2:$D$61,4,FALSE),"")</f>
        <v>2509</v>
      </c>
      <c r="O358">
        <f t="shared" si="14"/>
        <v>0.3069060773480663</v>
      </c>
      <c r="Q358" t="str">
        <f>Orders!D358</f>
        <v>PROD-014</v>
      </c>
    </row>
    <row r="359" spans="1:17" x14ac:dyDescent="0.3">
      <c r="A359" t="str">
        <f>Orders!A359</f>
        <v>ORD-00358</v>
      </c>
      <c r="B359">
        <f>Orders!B359</f>
        <v>45312</v>
      </c>
      <c r="C359">
        <f>Orders!I359</f>
        <v>18682.099999999999</v>
      </c>
      <c r="D359" t="str">
        <f>Orders!E359</f>
        <v>R030</v>
      </c>
      <c r="E359" t="str">
        <f>IFERROR(VLOOKUP(Orders!D359,Products!$A$2:$C$61,3,FALSE),"Unknown")</f>
        <v>Grocery</v>
      </c>
      <c r="F359" t="str">
        <f>IFERROR(VLOOKUP(Orders!C359,Customers!$A$2:$E$301,5,FALSE),"Unknown")</f>
        <v>SMB</v>
      </c>
      <c r="G359">
        <f>IFERROR(VLOOKUP(Orders!C359,Customers!$A$2:$C$301,3,FALSE),"")</f>
        <v>59</v>
      </c>
      <c r="H359" t="str">
        <f>VLOOKUP(D359,Sales_Reps!$A$2:$C$31,3,FALSE)</f>
        <v>West</v>
      </c>
      <c r="I359" s="44">
        <f t="shared" si="13"/>
        <v>45292</v>
      </c>
      <c r="L359" t="str">
        <f>Orders!K359</f>
        <v>Delhi</v>
      </c>
      <c r="M359">
        <f>Orders!G359</f>
        <v>2270</v>
      </c>
      <c r="N359">
        <f>IFERROR(VLOOKUP(Orders!D359,Products!$A$2:$D$61,4,FALSE),"")</f>
        <v>1412</v>
      </c>
      <c r="O359">
        <f t="shared" si="14"/>
        <v>0.37797356828193834</v>
      </c>
      <c r="Q359" t="str">
        <f>Orders!D359</f>
        <v>PROD-022</v>
      </c>
    </row>
    <row r="360" spans="1:17" x14ac:dyDescent="0.3">
      <c r="A360" t="str">
        <f>Orders!A360</f>
        <v>ORD-00359</v>
      </c>
      <c r="B360">
        <f>Orders!B360</f>
        <v>45447</v>
      </c>
      <c r="C360">
        <f>Orders!I360</f>
        <v>12376.98</v>
      </c>
      <c r="D360" t="str">
        <f>Orders!E360</f>
        <v>R013</v>
      </c>
      <c r="E360" t="str">
        <f>IFERROR(VLOOKUP(Orders!D360,Products!$A$2:$C$61,3,FALSE),"Unknown")</f>
        <v>Beauty</v>
      </c>
      <c r="F360" t="str">
        <f>IFERROR(VLOOKUP(Orders!C360,Customers!$A$2:$E$301,5,FALSE),"Unknown")</f>
        <v>Retail</v>
      </c>
      <c r="G360">
        <f>IFERROR(VLOOKUP(Orders!C360,Customers!$A$2:$C$301,3,FALSE),"")</f>
        <v>32</v>
      </c>
      <c r="H360" t="str">
        <f>VLOOKUP(D360,Sales_Reps!$A$2:$C$31,3,FALSE)</f>
        <v>South</v>
      </c>
      <c r="I360" s="44">
        <f t="shared" si="13"/>
        <v>45444</v>
      </c>
      <c r="L360" t="str">
        <f>Orders!K360</f>
        <v>Bengaluru</v>
      </c>
      <c r="M360">
        <f>Orders!G360</f>
        <v>1540</v>
      </c>
      <c r="N360">
        <f>IFERROR(VLOOKUP(Orders!D360,Products!$A$2:$D$61,4,FALSE),"")</f>
        <v>647</v>
      </c>
      <c r="O360">
        <f t="shared" si="14"/>
        <v>0.57987012987012987</v>
      </c>
      <c r="Q360" t="str">
        <f>Orders!D360</f>
        <v>PROD-041</v>
      </c>
    </row>
    <row r="361" spans="1:17" x14ac:dyDescent="0.3">
      <c r="A361" t="str">
        <f>Orders!A361</f>
        <v>ORD-00360</v>
      </c>
      <c r="B361">
        <f>Orders!B361</f>
        <v>45607</v>
      </c>
      <c r="C361">
        <f>Orders!I361</f>
        <v>22419.54</v>
      </c>
      <c r="D361" t="str">
        <f>Orders!E361</f>
        <v>R021</v>
      </c>
      <c r="E361" t="str">
        <f>IFERROR(VLOOKUP(Orders!D361,Products!$A$2:$C$61,3,FALSE),"Unknown")</f>
        <v>Sports</v>
      </c>
      <c r="F361" t="str">
        <f>IFERROR(VLOOKUP(Orders!C361,Customers!$A$2:$E$301,5,FALSE),"Unknown")</f>
        <v>Retail</v>
      </c>
      <c r="G361">
        <f>IFERROR(VLOOKUP(Orders!C361,Customers!$A$2:$C$301,3,FALSE),"")</f>
        <v>26</v>
      </c>
      <c r="H361" t="str">
        <f>VLOOKUP(D361,Sales_Reps!$A$2:$C$31,3,FALSE)</f>
        <v>East</v>
      </c>
      <c r="I361" s="44">
        <f t="shared" si="13"/>
        <v>45597</v>
      </c>
      <c r="L361" t="str">
        <f>Orders!K361</f>
        <v>Hyderabad</v>
      </c>
      <c r="M361">
        <f>Orders!G361</f>
        <v>2860</v>
      </c>
      <c r="N361">
        <f>IFERROR(VLOOKUP(Orders!D361,Products!$A$2:$D$61,4,FALSE),"")</f>
        <v>2028</v>
      </c>
      <c r="O361">
        <f t="shared" si="14"/>
        <v>0.29090909090909089</v>
      </c>
      <c r="Q361" t="str">
        <f>Orders!D361</f>
        <v>PROD-055</v>
      </c>
    </row>
    <row r="362" spans="1:17" x14ac:dyDescent="0.3">
      <c r="A362" t="str">
        <f>Orders!A362</f>
        <v>ORD-00361</v>
      </c>
      <c r="B362">
        <f>Orders!B362</f>
        <v>45379</v>
      </c>
      <c r="C362">
        <f>Orders!I362</f>
        <v>10486.45</v>
      </c>
      <c r="D362" t="str">
        <f>Orders!E362</f>
        <v>R016</v>
      </c>
      <c r="E362" t="str">
        <f>IFERROR(VLOOKUP(Orders!D362,Products!$A$2:$C$61,3,FALSE),"Unknown")</f>
        <v>Grocery</v>
      </c>
      <c r="F362" t="str">
        <f>IFERROR(VLOOKUP(Orders!C362,Customers!$A$2:$E$301,5,FALSE),"Unknown")</f>
        <v>SMB</v>
      </c>
      <c r="G362">
        <f>IFERROR(VLOOKUP(Orders!C362,Customers!$A$2:$C$301,3,FALSE),"")</f>
        <v>46</v>
      </c>
      <c r="H362" t="str">
        <f>VLOOKUP(D362,Sales_Reps!$A$2:$C$31,3,FALSE)</f>
        <v>South</v>
      </c>
      <c r="I362" s="44">
        <f t="shared" si="13"/>
        <v>45352</v>
      </c>
      <c r="L362" t="str">
        <f>Orders!K362</f>
        <v>Chennai</v>
      </c>
      <c r="M362">
        <f>Orders!G362</f>
        <v>2210</v>
      </c>
      <c r="N362">
        <f>IFERROR(VLOOKUP(Orders!D362,Products!$A$2:$D$61,4,FALSE),"")</f>
        <v>1010</v>
      </c>
      <c r="O362">
        <f t="shared" si="14"/>
        <v>0.54298642533936647</v>
      </c>
      <c r="Q362" t="str">
        <f>Orders!D362</f>
        <v>PROD-029</v>
      </c>
    </row>
    <row r="363" spans="1:17" x14ac:dyDescent="0.3">
      <c r="A363" t="str">
        <f>Orders!A363</f>
        <v>ORD-00362</v>
      </c>
      <c r="B363">
        <f>Orders!B363</f>
        <v>45591</v>
      </c>
      <c r="C363">
        <f>Orders!I363</f>
        <v>1023.58</v>
      </c>
      <c r="D363" t="str">
        <f>Orders!E363</f>
        <v>R029</v>
      </c>
      <c r="E363" t="str">
        <f>IFERROR(VLOOKUP(Orders!D363,Products!$A$2:$C$61,3,FALSE),"Unknown")</f>
        <v>Electronics</v>
      </c>
      <c r="F363" t="str">
        <f>IFERROR(VLOOKUP(Orders!C363,Customers!$A$2:$E$301,5,FALSE),"Unknown")</f>
        <v>SMB</v>
      </c>
      <c r="G363">
        <f>IFERROR(VLOOKUP(Orders!C363,Customers!$A$2:$C$301,3,FALSE),"")</f>
        <v>53</v>
      </c>
      <c r="H363" t="str">
        <f>VLOOKUP(D363,Sales_Reps!$A$2:$C$31,3,FALSE)</f>
        <v>West</v>
      </c>
      <c r="I363" s="44">
        <f t="shared" si="13"/>
        <v>45566</v>
      </c>
      <c r="L363" t="str">
        <f>Orders!K363</f>
        <v>Chennai</v>
      </c>
      <c r="M363">
        <f>Orders!G363</f>
        <v>1220</v>
      </c>
      <c r="N363">
        <f>IFERROR(VLOOKUP(Orders!D363,Products!$A$2:$D$61,4,FALSE),"")</f>
        <v>517</v>
      </c>
      <c r="O363">
        <f t="shared" si="14"/>
        <v>0.57622950819672136</v>
      </c>
      <c r="Q363" t="str">
        <f>Orders!D363</f>
        <v>PROD-009</v>
      </c>
    </row>
    <row r="364" spans="1:17" x14ac:dyDescent="0.3">
      <c r="A364" t="str">
        <f>Orders!A364</f>
        <v>ORD-00363</v>
      </c>
      <c r="B364">
        <f>Orders!B364</f>
        <v>45561</v>
      </c>
      <c r="C364">
        <f>Orders!I364</f>
        <v>7061.46</v>
      </c>
      <c r="D364" t="str">
        <f>Orders!E364</f>
        <v>R006</v>
      </c>
      <c r="E364" t="str">
        <f>IFERROR(VLOOKUP(Orders!D364,Products!$A$2:$C$61,3,FALSE),"Unknown")</f>
        <v>Electronics</v>
      </c>
      <c r="F364" t="str">
        <f>IFERROR(VLOOKUP(Orders!C364,Customers!$A$2:$E$301,5,FALSE),"Unknown")</f>
        <v>Corporate</v>
      </c>
      <c r="G364">
        <f>IFERROR(VLOOKUP(Orders!C364,Customers!$A$2:$C$301,3,FALSE),"")</f>
        <v>43</v>
      </c>
      <c r="H364" t="str">
        <f>VLOOKUP(D364,Sales_Reps!$A$2:$C$31,3,FALSE)</f>
        <v>North</v>
      </c>
      <c r="I364" s="44">
        <f t="shared" si="13"/>
        <v>45536</v>
      </c>
      <c r="L364" t="str">
        <f>Orders!K364</f>
        <v>Bengaluru</v>
      </c>
      <c r="M364">
        <f>Orders!G364</f>
        <v>3570</v>
      </c>
      <c r="N364">
        <f>IFERROR(VLOOKUP(Orders!D364,Products!$A$2:$D$61,4,FALSE),"")</f>
        <v>1665</v>
      </c>
      <c r="O364">
        <f t="shared" si="14"/>
        <v>0.53361344537815125</v>
      </c>
      <c r="Q364" t="str">
        <f>Orders!D364</f>
        <v>PROD-003</v>
      </c>
    </row>
    <row r="365" spans="1:17" x14ac:dyDescent="0.3">
      <c r="A365" t="str">
        <f>Orders!A365</f>
        <v>ORD-00364</v>
      </c>
      <c r="B365">
        <f>Orders!B365</f>
        <v>45308</v>
      </c>
      <c r="C365">
        <f>Orders!I365</f>
        <v>30153</v>
      </c>
      <c r="D365" t="str">
        <f>Orders!E365</f>
        <v>R016</v>
      </c>
      <c r="E365" t="str">
        <f>IFERROR(VLOOKUP(Orders!D365,Products!$A$2:$C$61,3,FALSE),"Unknown")</f>
        <v>Apparel</v>
      </c>
      <c r="F365" t="str">
        <f>IFERROR(VLOOKUP(Orders!C365,Customers!$A$2:$E$301,5,FALSE),"Unknown")</f>
        <v>Retail</v>
      </c>
      <c r="G365">
        <f>IFERROR(VLOOKUP(Orders!C365,Customers!$A$2:$C$301,3,FALSE),"")</f>
        <v>29</v>
      </c>
      <c r="H365" t="str">
        <f>VLOOKUP(D365,Sales_Reps!$A$2:$C$31,3,FALSE)</f>
        <v>South</v>
      </c>
      <c r="I365" s="44">
        <f t="shared" si="13"/>
        <v>45292</v>
      </c>
      <c r="L365" t="str">
        <f>Orders!K365</f>
        <v>Bengaluru</v>
      </c>
      <c r="M365">
        <f>Orders!G365</f>
        <v>3450</v>
      </c>
      <c r="N365">
        <f>IFERROR(VLOOKUP(Orders!D365,Products!$A$2:$D$61,4,FALSE),"")</f>
        <v>1748</v>
      </c>
      <c r="O365">
        <f t="shared" si="14"/>
        <v>0.49333333333333335</v>
      </c>
      <c r="Q365" t="str">
        <f>Orders!D365</f>
        <v>PROD-011</v>
      </c>
    </row>
    <row r="366" spans="1:17" x14ac:dyDescent="0.3">
      <c r="A366" t="str">
        <f>Orders!A366</f>
        <v>ORD-00365</v>
      </c>
      <c r="B366">
        <f>Orders!B366</f>
        <v>45563</v>
      </c>
      <c r="C366">
        <f>Orders!I366</f>
        <v>8362.64</v>
      </c>
      <c r="D366" t="str">
        <f>Orders!E366</f>
        <v>R021</v>
      </c>
      <c r="E366" t="str">
        <f>IFERROR(VLOOKUP(Orders!D366,Products!$A$2:$C$61,3,FALSE),"Unknown")</f>
        <v>Grocery</v>
      </c>
      <c r="F366" t="str">
        <f>IFERROR(VLOOKUP(Orders!C366,Customers!$A$2:$E$301,5,FALSE),"Unknown")</f>
        <v>Retail</v>
      </c>
      <c r="G366">
        <f>IFERROR(VLOOKUP(Orders!C366,Customers!$A$2:$C$301,3,FALSE),"")</f>
        <v>36</v>
      </c>
      <c r="H366" t="str">
        <f>VLOOKUP(D366,Sales_Reps!$A$2:$C$31,3,FALSE)</f>
        <v>East</v>
      </c>
      <c r="I366" s="44">
        <f t="shared" si="13"/>
        <v>45536</v>
      </c>
      <c r="L366" t="str">
        <f>Orders!K366</f>
        <v>Pune</v>
      </c>
      <c r="M366">
        <f>Orders!G366</f>
        <v>2210</v>
      </c>
      <c r="N366">
        <f>IFERROR(VLOOKUP(Orders!D366,Products!$A$2:$D$61,4,FALSE),"")</f>
        <v>1010</v>
      </c>
      <c r="O366">
        <f t="shared" si="14"/>
        <v>0.54298642533936647</v>
      </c>
      <c r="Q366" t="str">
        <f>Orders!D366</f>
        <v>PROD-029</v>
      </c>
    </row>
    <row r="367" spans="1:17" x14ac:dyDescent="0.3">
      <c r="A367" t="str">
        <f>Orders!A367</f>
        <v>ORD-00366</v>
      </c>
      <c r="B367">
        <f>Orders!B367</f>
        <v>45476</v>
      </c>
      <c r="C367">
        <f>Orders!I367</f>
        <v>6350.34</v>
      </c>
      <c r="D367" t="str">
        <f>Orders!E367</f>
        <v>R014</v>
      </c>
      <c r="E367" t="str">
        <f>IFERROR(VLOOKUP(Orders!D367,Products!$A$2:$C$61,3,FALSE),"Unknown")</f>
        <v>Home</v>
      </c>
      <c r="F367" t="str">
        <f>IFERROR(VLOOKUP(Orders!C367,Customers!$A$2:$E$301,5,FALSE),"Unknown")</f>
        <v>Retail</v>
      </c>
      <c r="G367">
        <f>IFERROR(VLOOKUP(Orders!C367,Customers!$A$2:$C$301,3,FALSE),"")</f>
        <v>52</v>
      </c>
      <c r="H367" t="str">
        <f>VLOOKUP(D367,Sales_Reps!$A$2:$C$31,3,FALSE)</f>
        <v>South</v>
      </c>
      <c r="I367" s="44">
        <f t="shared" si="13"/>
        <v>45474</v>
      </c>
      <c r="L367" t="str">
        <f>Orders!K367</f>
        <v>Hyderabad</v>
      </c>
      <c r="M367">
        <f>Orders!G367</f>
        <v>1090</v>
      </c>
      <c r="N367">
        <f>IFERROR(VLOOKUP(Orders!D367,Products!$A$2:$D$61,4,FALSE),"")</f>
        <v>464</v>
      </c>
      <c r="O367">
        <f t="shared" si="14"/>
        <v>0.57431192660550456</v>
      </c>
      <c r="Q367" t="str">
        <f>Orders!D367</f>
        <v>PROD-035</v>
      </c>
    </row>
    <row r="368" spans="1:17" x14ac:dyDescent="0.3">
      <c r="A368" t="str">
        <f>Orders!A368</f>
        <v>ORD-00367</v>
      </c>
      <c r="B368">
        <f>Orders!B368</f>
        <v>45364</v>
      </c>
      <c r="C368">
        <f>Orders!I368</f>
        <v>10114.719999999999</v>
      </c>
      <c r="D368" t="str">
        <f>Orders!E368</f>
        <v>R017</v>
      </c>
      <c r="E368" t="str">
        <f>IFERROR(VLOOKUP(Orders!D368,Products!$A$2:$C$61,3,FALSE),"Unknown")</f>
        <v>Beauty</v>
      </c>
      <c r="F368" t="str">
        <f>IFERROR(VLOOKUP(Orders!C368,Customers!$A$2:$E$301,5,FALSE),"Unknown")</f>
        <v>SMB</v>
      </c>
      <c r="G368">
        <f>IFERROR(VLOOKUP(Orders!C368,Customers!$A$2:$C$301,3,FALSE),"")</f>
        <v>26</v>
      </c>
      <c r="H368" t="str">
        <f>VLOOKUP(D368,Sales_Reps!$A$2:$C$31,3,FALSE)</f>
        <v>East</v>
      </c>
      <c r="I368" s="44">
        <f t="shared" si="13"/>
        <v>45352</v>
      </c>
      <c r="L368" t="str">
        <f>Orders!K368</f>
        <v>Chennai</v>
      </c>
      <c r="M368">
        <f>Orders!G368</f>
        <v>1540</v>
      </c>
      <c r="N368">
        <f>IFERROR(VLOOKUP(Orders!D368,Products!$A$2:$D$61,4,FALSE),"")</f>
        <v>647</v>
      </c>
      <c r="O368">
        <f t="shared" si="14"/>
        <v>0.57987012987012987</v>
      </c>
      <c r="Q368" t="str">
        <f>Orders!D368</f>
        <v>PROD-041</v>
      </c>
    </row>
    <row r="369" spans="1:17" x14ac:dyDescent="0.3">
      <c r="A369" t="str">
        <f>Orders!A369</f>
        <v>ORD-00368</v>
      </c>
      <c r="B369">
        <f>Orders!B369</f>
        <v>45371</v>
      </c>
      <c r="C369">
        <f>Orders!I369</f>
        <v>22440.6</v>
      </c>
      <c r="D369" t="str">
        <f>Orders!E369</f>
        <v>R028</v>
      </c>
      <c r="E369" t="str">
        <f>IFERROR(VLOOKUP(Orders!D369,Products!$A$2:$C$61,3,FALSE),"Unknown")</f>
        <v>Electronics</v>
      </c>
      <c r="F369" t="str">
        <f>IFERROR(VLOOKUP(Orders!C369,Customers!$A$2:$E$301,5,FALSE),"Unknown")</f>
        <v>Retail</v>
      </c>
      <c r="G369">
        <f>IFERROR(VLOOKUP(Orders!C369,Customers!$A$2:$C$301,3,FALSE),"")</f>
        <v>49</v>
      </c>
      <c r="H369" t="str">
        <f>VLOOKUP(D369,Sales_Reps!$A$2:$C$31,3,FALSE)</f>
        <v>West</v>
      </c>
      <c r="I369" s="44">
        <f t="shared" si="13"/>
        <v>45352</v>
      </c>
      <c r="L369" t="str">
        <f>Orders!K369</f>
        <v>Pune</v>
      </c>
      <c r="M369">
        <f>Orders!G369</f>
        <v>2600</v>
      </c>
      <c r="N369">
        <f>IFERROR(VLOOKUP(Orders!D369,Products!$A$2:$D$61,4,FALSE),"")</f>
        <v>1052</v>
      </c>
      <c r="O369">
        <f t="shared" si="14"/>
        <v>0.5953846153846154</v>
      </c>
      <c r="Q369" t="str">
        <f>Orders!D369</f>
        <v>PROD-002</v>
      </c>
    </row>
    <row r="370" spans="1:17" x14ac:dyDescent="0.3">
      <c r="A370" t="str">
        <f>Orders!A370</f>
        <v>ORD-00369</v>
      </c>
      <c r="B370">
        <f>Orders!B370</f>
        <v>45623</v>
      </c>
      <c r="C370">
        <f>Orders!I370</f>
        <v>361.76</v>
      </c>
      <c r="D370" t="str">
        <f>Orders!E370</f>
        <v>R007</v>
      </c>
      <c r="E370" t="str">
        <f>IFERROR(VLOOKUP(Orders!D370,Products!$A$2:$C$61,3,FALSE),"Unknown")</f>
        <v>Sports</v>
      </c>
      <c r="F370" t="str">
        <f>IFERROR(VLOOKUP(Orders!C370,Customers!$A$2:$E$301,5,FALSE),"Unknown")</f>
        <v>Retail</v>
      </c>
      <c r="G370">
        <f>IFERROR(VLOOKUP(Orders!C370,Customers!$A$2:$C$301,3,FALSE),"")</f>
        <v>26</v>
      </c>
      <c r="H370" t="str">
        <f>VLOOKUP(D370,Sales_Reps!$A$2:$C$31,3,FALSE)</f>
        <v>North</v>
      </c>
      <c r="I370" s="44">
        <f t="shared" si="13"/>
        <v>45597</v>
      </c>
      <c r="L370" t="str">
        <f>Orders!K370</f>
        <v>Chennai</v>
      </c>
      <c r="M370">
        <f>Orders!G370</f>
        <v>190</v>
      </c>
      <c r="N370">
        <f>IFERROR(VLOOKUP(Orders!D370,Products!$A$2:$D$61,4,FALSE),"")</f>
        <v>147</v>
      </c>
      <c r="O370">
        <f t="shared" si="14"/>
        <v>0.22631578947368422</v>
      </c>
      <c r="Q370" t="str">
        <f>Orders!D370</f>
        <v>PROD-060</v>
      </c>
    </row>
    <row r="371" spans="1:17" x14ac:dyDescent="0.3">
      <c r="A371" t="str">
        <f>Orders!A371</f>
        <v>ORD-00370</v>
      </c>
      <c r="B371">
        <f>Orders!B371</f>
        <v>45441</v>
      </c>
      <c r="C371">
        <f>Orders!I371</f>
        <v>16003.44</v>
      </c>
      <c r="D371" t="str">
        <f>Orders!E371</f>
        <v>R014</v>
      </c>
      <c r="E371" t="str">
        <f>IFERROR(VLOOKUP(Orders!D371,Products!$A$2:$C$61,3,FALSE),"Unknown")</f>
        <v>Apparel</v>
      </c>
      <c r="F371" t="str">
        <f>IFERROR(VLOOKUP(Orders!C371,Customers!$A$2:$E$301,5,FALSE),"Unknown")</f>
        <v>Corporate</v>
      </c>
      <c r="G371">
        <f>IFERROR(VLOOKUP(Orders!C371,Customers!$A$2:$C$301,3,FALSE),"")</f>
        <v>42</v>
      </c>
      <c r="H371" t="str">
        <f>VLOOKUP(D371,Sales_Reps!$A$2:$C$31,3,FALSE)</f>
        <v>South</v>
      </c>
      <c r="I371" s="44">
        <f t="shared" si="13"/>
        <v>45413</v>
      </c>
      <c r="L371" t="str">
        <f>Orders!K371</f>
        <v>Pune</v>
      </c>
      <c r="M371">
        <f>Orders!G371</f>
        <v>2480</v>
      </c>
      <c r="N371">
        <f>IFERROR(VLOOKUP(Orders!D371,Products!$A$2:$D$61,4,FALSE),"")</f>
        <v>1173</v>
      </c>
      <c r="O371">
        <f t="shared" si="14"/>
        <v>0.52701612903225803</v>
      </c>
      <c r="Q371" t="str">
        <f>Orders!D371</f>
        <v>PROD-019</v>
      </c>
    </row>
    <row r="372" spans="1:17" x14ac:dyDescent="0.3">
      <c r="A372" t="str">
        <f>Orders!A372</f>
        <v>ORD-00371</v>
      </c>
      <c r="B372">
        <f>Orders!B372</f>
        <v>45442</v>
      </c>
      <c r="C372">
        <f>Orders!I372</f>
        <v>12022.5</v>
      </c>
      <c r="D372" t="str">
        <f>Orders!E372</f>
        <v>R006</v>
      </c>
      <c r="E372" t="str">
        <f>IFERROR(VLOOKUP(Orders!D372,Products!$A$2:$C$61,3,FALSE),"Unknown")</f>
        <v>Beauty</v>
      </c>
      <c r="F372" t="str">
        <f>IFERROR(VLOOKUP(Orders!C372,Customers!$A$2:$E$301,5,FALSE),"Unknown")</f>
        <v>Retail</v>
      </c>
      <c r="G372">
        <f>IFERROR(VLOOKUP(Orders!C372,Customers!$A$2:$C$301,3,FALSE),"")</f>
        <v>35</v>
      </c>
      <c r="H372" t="str">
        <f>VLOOKUP(D372,Sales_Reps!$A$2:$C$31,3,FALSE)</f>
        <v>North</v>
      </c>
      <c r="I372" s="44">
        <f t="shared" si="13"/>
        <v>45413</v>
      </c>
      <c r="L372" t="str">
        <f>Orders!K372</f>
        <v>Pune</v>
      </c>
      <c r="M372">
        <f>Orders!G372</f>
        <v>2290</v>
      </c>
      <c r="N372">
        <f>IFERROR(VLOOKUP(Orders!D372,Products!$A$2:$D$61,4,FALSE),"")</f>
        <v>1219</v>
      </c>
      <c r="O372">
        <f t="shared" si="14"/>
        <v>0.46768558951965067</v>
      </c>
      <c r="Q372" t="str">
        <f>Orders!D372</f>
        <v>PROD-042</v>
      </c>
    </row>
    <row r="373" spans="1:17" x14ac:dyDescent="0.3">
      <c r="A373" t="str">
        <f>Orders!A373</f>
        <v>ORD-00372</v>
      </c>
      <c r="B373">
        <f>Orders!B373</f>
        <v>45567</v>
      </c>
      <c r="C373">
        <f>Orders!I373</f>
        <v>10630.62</v>
      </c>
      <c r="D373" t="str">
        <f>Orders!E373</f>
        <v>R015</v>
      </c>
      <c r="E373" t="str">
        <f>IFERROR(VLOOKUP(Orders!D373,Products!$A$2:$C$61,3,FALSE),"Unknown")</f>
        <v>Beauty</v>
      </c>
      <c r="F373" t="str">
        <f>IFERROR(VLOOKUP(Orders!C373,Customers!$A$2:$E$301,5,FALSE),"Unknown")</f>
        <v>Retail</v>
      </c>
      <c r="G373">
        <f>IFERROR(VLOOKUP(Orders!C373,Customers!$A$2:$C$301,3,FALSE),"")</f>
        <v>64</v>
      </c>
      <c r="H373" t="str">
        <f>VLOOKUP(D373,Sales_Reps!$A$2:$C$31,3,FALSE)</f>
        <v>South</v>
      </c>
      <c r="I373" s="44">
        <f t="shared" si="13"/>
        <v>45566</v>
      </c>
      <c r="L373" t="str">
        <f>Orders!K373</f>
        <v>Hyderabad</v>
      </c>
      <c r="M373">
        <f>Orders!G373</f>
        <v>1540</v>
      </c>
      <c r="N373">
        <f>IFERROR(VLOOKUP(Orders!D373,Products!$A$2:$D$61,4,FALSE),"")</f>
        <v>647</v>
      </c>
      <c r="O373">
        <f t="shared" si="14"/>
        <v>0.57987012987012987</v>
      </c>
      <c r="Q373" t="str">
        <f>Orders!D373</f>
        <v>PROD-041</v>
      </c>
    </row>
    <row r="374" spans="1:17" x14ac:dyDescent="0.3">
      <c r="A374" t="str">
        <f>Orders!A374</f>
        <v>ORD-00373</v>
      </c>
      <c r="B374">
        <f>Orders!B374</f>
        <v>45653</v>
      </c>
      <c r="C374">
        <f>Orders!I374</f>
        <v>9906</v>
      </c>
      <c r="D374" t="str">
        <f>Orders!E374</f>
        <v>R025</v>
      </c>
      <c r="E374" t="str">
        <f>IFERROR(VLOOKUP(Orders!D374,Products!$A$2:$C$61,3,FALSE),"Unknown")</f>
        <v>Home</v>
      </c>
      <c r="F374" t="str">
        <f>IFERROR(VLOOKUP(Orders!C374,Customers!$A$2:$E$301,5,FALSE),"Unknown")</f>
        <v>SMB</v>
      </c>
      <c r="G374">
        <f>IFERROR(VLOOKUP(Orders!C374,Customers!$A$2:$C$301,3,FALSE),"")</f>
        <v>28</v>
      </c>
      <c r="H374" t="str">
        <f>VLOOKUP(D374,Sales_Reps!$A$2:$C$31,3,FALSE)</f>
        <v>West</v>
      </c>
      <c r="I374" s="44">
        <f t="shared" si="13"/>
        <v>45627</v>
      </c>
      <c r="L374" t="str">
        <f>Orders!K374</f>
        <v>Delhi</v>
      </c>
      <c r="M374">
        <f>Orders!G374</f>
        <v>5080</v>
      </c>
      <c r="N374">
        <f>IFERROR(VLOOKUP(Orders!D374,Products!$A$2:$D$61,4,FALSE),"")</f>
        <v>2459</v>
      </c>
      <c r="O374">
        <f t="shared" si="14"/>
        <v>0.51594488188976373</v>
      </c>
      <c r="Q374" t="str">
        <f>Orders!D374</f>
        <v>PROD-034</v>
      </c>
    </row>
    <row r="375" spans="1:17" x14ac:dyDescent="0.3">
      <c r="A375" t="str">
        <f>Orders!A375</f>
        <v>ORD-00374</v>
      </c>
      <c r="B375">
        <f>Orders!B375</f>
        <v>45331</v>
      </c>
      <c r="C375">
        <f>Orders!I375</f>
        <v>7670.56</v>
      </c>
      <c r="D375" t="str">
        <f>Orders!E375</f>
        <v>R016</v>
      </c>
      <c r="E375" t="str">
        <f>IFERROR(VLOOKUP(Orders!D375,Products!$A$2:$C$61,3,FALSE),"Unknown")</f>
        <v>Apparel</v>
      </c>
      <c r="F375" t="str">
        <f>IFERROR(VLOOKUP(Orders!C375,Customers!$A$2:$E$301,5,FALSE),"Unknown")</f>
        <v>Retail</v>
      </c>
      <c r="G375">
        <f>IFERROR(VLOOKUP(Orders!C375,Customers!$A$2:$C$301,3,FALSE),"")</f>
        <v>57</v>
      </c>
      <c r="H375" t="str">
        <f>VLOOKUP(D375,Sales_Reps!$A$2:$C$31,3,FALSE)</f>
        <v>South</v>
      </c>
      <c r="I375" s="44">
        <f t="shared" si="13"/>
        <v>45323</v>
      </c>
      <c r="L375" t="str">
        <f>Orders!K375</f>
        <v>Pune</v>
      </c>
      <c r="M375">
        <f>Orders!G375</f>
        <v>2510</v>
      </c>
      <c r="N375">
        <f>IFERROR(VLOOKUP(Orders!D375,Products!$A$2:$D$61,4,FALSE),"")</f>
        <v>1075</v>
      </c>
      <c r="O375">
        <f t="shared" si="14"/>
        <v>0.57171314741035861</v>
      </c>
      <c r="Q375" t="str">
        <f>Orders!D375</f>
        <v>PROD-017</v>
      </c>
    </row>
    <row r="376" spans="1:17" x14ac:dyDescent="0.3">
      <c r="A376" t="str">
        <f>Orders!A376</f>
        <v>ORD-00375</v>
      </c>
      <c r="B376">
        <f>Orders!B376</f>
        <v>45332</v>
      </c>
      <c r="C376">
        <f>Orders!I376</f>
        <v>9503.5</v>
      </c>
      <c r="D376" t="str">
        <f>Orders!E376</f>
        <v>R011</v>
      </c>
      <c r="E376" t="str">
        <f>IFERROR(VLOOKUP(Orders!D376,Products!$A$2:$C$61,3,FALSE),"Unknown")</f>
        <v>Beauty</v>
      </c>
      <c r="F376" t="str">
        <f>IFERROR(VLOOKUP(Orders!C376,Customers!$A$2:$E$301,5,FALSE),"Unknown")</f>
        <v>SMB</v>
      </c>
      <c r="G376">
        <f>IFERROR(VLOOKUP(Orders!C376,Customers!$A$2:$C$301,3,FALSE),"")</f>
        <v>28</v>
      </c>
      <c r="H376" t="str">
        <f>VLOOKUP(D376,Sales_Reps!$A$2:$C$31,3,FALSE)</f>
        <v>South</v>
      </c>
      <c r="I376" s="44">
        <f t="shared" si="13"/>
        <v>45323</v>
      </c>
      <c r="L376" t="str">
        <f>Orders!K376</f>
        <v>Delhi</v>
      </c>
      <c r="M376">
        <f>Orders!G376</f>
        <v>2290</v>
      </c>
      <c r="N376">
        <f>IFERROR(VLOOKUP(Orders!D376,Products!$A$2:$D$61,4,FALSE),"")</f>
        <v>1219</v>
      </c>
      <c r="O376">
        <f t="shared" si="14"/>
        <v>0.46768558951965067</v>
      </c>
      <c r="Q376" t="str">
        <f>Orders!D376</f>
        <v>PROD-042</v>
      </c>
    </row>
    <row r="377" spans="1:17" x14ac:dyDescent="0.3">
      <c r="A377" t="str">
        <f>Orders!A377</f>
        <v>ORD-00376</v>
      </c>
      <c r="B377">
        <f>Orders!B377</f>
        <v>45340</v>
      </c>
      <c r="C377">
        <f>Orders!I377</f>
        <v>3410.32</v>
      </c>
      <c r="D377" t="str">
        <f>Orders!E377</f>
        <v>R006</v>
      </c>
      <c r="E377" t="str">
        <f>IFERROR(VLOOKUP(Orders!D377,Products!$A$2:$C$61,3,FALSE),"Unknown")</f>
        <v>Sports</v>
      </c>
      <c r="F377" t="str">
        <f>IFERROR(VLOOKUP(Orders!C377,Customers!$A$2:$E$301,5,FALSE),"Unknown")</f>
        <v>Retail</v>
      </c>
      <c r="G377">
        <f>IFERROR(VLOOKUP(Orders!C377,Customers!$A$2:$C$301,3,FALSE),"")</f>
        <v>28</v>
      </c>
      <c r="H377" t="str">
        <f>VLOOKUP(D377,Sales_Reps!$A$2:$C$31,3,FALSE)</f>
        <v>North</v>
      </c>
      <c r="I377" s="44">
        <f t="shared" si="13"/>
        <v>45323</v>
      </c>
      <c r="L377" t="str">
        <f>Orders!K377</f>
        <v>Chennai</v>
      </c>
      <c r="M377">
        <f>Orders!G377</f>
        <v>470</v>
      </c>
      <c r="N377">
        <f>IFERROR(VLOOKUP(Orders!D377,Products!$A$2:$D$61,4,FALSE),"")</f>
        <v>302</v>
      </c>
      <c r="O377">
        <f t="shared" si="14"/>
        <v>0.35744680851063831</v>
      </c>
      <c r="Q377" t="str">
        <f>Orders!D377</f>
        <v>PROD-053</v>
      </c>
    </row>
    <row r="378" spans="1:17" x14ac:dyDescent="0.3">
      <c r="A378" t="str">
        <f>Orders!A378</f>
        <v>ORD-00377</v>
      </c>
      <c r="B378">
        <f>Orders!B378</f>
        <v>45564</v>
      </c>
      <c r="C378">
        <f>Orders!I378</f>
        <v>38923.199999999997</v>
      </c>
      <c r="D378" t="str">
        <f>Orders!E378</f>
        <v>R009</v>
      </c>
      <c r="E378" t="str">
        <f>IFERROR(VLOOKUP(Orders!D378,Products!$A$2:$C$61,3,FALSE),"Unknown")</f>
        <v>Beauty</v>
      </c>
      <c r="F378" t="str">
        <f>IFERROR(VLOOKUP(Orders!C378,Customers!$A$2:$E$301,5,FALSE),"Unknown")</f>
        <v>SMB</v>
      </c>
      <c r="G378">
        <f>IFERROR(VLOOKUP(Orders!C378,Customers!$A$2:$C$301,3,FALSE),"")</f>
        <v>36</v>
      </c>
      <c r="H378" t="str">
        <f>VLOOKUP(D378,Sales_Reps!$A$2:$C$31,3,FALSE)</f>
        <v>South</v>
      </c>
      <c r="I378" s="44">
        <f t="shared" si="13"/>
        <v>45536</v>
      </c>
      <c r="L378" t="str">
        <f>Orders!K378</f>
        <v>Hyderabad</v>
      </c>
      <c r="M378">
        <f>Orders!G378</f>
        <v>5100</v>
      </c>
      <c r="N378">
        <f>IFERROR(VLOOKUP(Orders!D378,Products!$A$2:$D$61,4,FALSE),"")</f>
        <v>2237</v>
      </c>
      <c r="O378">
        <f t="shared" si="14"/>
        <v>0.56137254901960787</v>
      </c>
      <c r="Q378" t="str">
        <f>Orders!D378</f>
        <v>PROD-048</v>
      </c>
    </row>
    <row r="379" spans="1:17" x14ac:dyDescent="0.3">
      <c r="A379" t="str">
        <f>Orders!A379</f>
        <v>ORD-00378</v>
      </c>
      <c r="B379">
        <f>Orders!B379</f>
        <v>45296</v>
      </c>
      <c r="C379">
        <f>Orders!I379</f>
        <v>36377.25</v>
      </c>
      <c r="D379" t="str">
        <f>Orders!E379</f>
        <v>R010</v>
      </c>
      <c r="E379" t="str">
        <f>IFERROR(VLOOKUP(Orders!D379,Products!$A$2:$C$61,3,FALSE),"Unknown")</f>
        <v>Electronics</v>
      </c>
      <c r="F379" t="str">
        <f>IFERROR(VLOOKUP(Orders!C379,Customers!$A$2:$E$301,5,FALSE),"Unknown")</f>
        <v>SMB</v>
      </c>
      <c r="G379">
        <f>IFERROR(VLOOKUP(Orders!C379,Customers!$A$2:$C$301,3,FALSE),"")</f>
        <v>59</v>
      </c>
      <c r="H379" t="str">
        <f>VLOOKUP(D379,Sales_Reps!$A$2:$C$31,3,FALSE)</f>
        <v>South</v>
      </c>
      <c r="I379" s="44">
        <f t="shared" si="13"/>
        <v>45292</v>
      </c>
      <c r="L379" t="str">
        <f>Orders!K379</f>
        <v>Chennai</v>
      </c>
      <c r="M379">
        <f>Orders!G379</f>
        <v>5330</v>
      </c>
      <c r="N379">
        <f>IFERROR(VLOOKUP(Orders!D379,Products!$A$2:$D$61,4,FALSE),"")</f>
        <v>2405</v>
      </c>
      <c r="O379">
        <f t="shared" si="14"/>
        <v>0.54878048780487809</v>
      </c>
      <c r="Q379" t="str">
        <f>Orders!D379</f>
        <v>PROD-001</v>
      </c>
    </row>
    <row r="380" spans="1:17" x14ac:dyDescent="0.3">
      <c r="A380" t="str">
        <f>Orders!A380</f>
        <v>ORD-00379</v>
      </c>
      <c r="B380">
        <f>Orders!B380</f>
        <v>45364</v>
      </c>
      <c r="C380">
        <f>Orders!I380</f>
        <v>18574.5</v>
      </c>
      <c r="D380" t="str">
        <f>Orders!E380</f>
        <v>R028</v>
      </c>
      <c r="E380" t="str">
        <f>IFERROR(VLOOKUP(Orders!D380,Products!$A$2:$C$61,3,FALSE),"Unknown")</f>
        <v>Home</v>
      </c>
      <c r="F380" t="str">
        <f>IFERROR(VLOOKUP(Orders!C380,Customers!$A$2:$E$301,5,FALSE),"Unknown")</f>
        <v>Retail</v>
      </c>
      <c r="G380">
        <f>IFERROR(VLOOKUP(Orders!C380,Customers!$A$2:$C$301,3,FALSE),"")</f>
        <v>27</v>
      </c>
      <c r="H380" t="str">
        <f>VLOOKUP(D380,Sales_Reps!$A$2:$C$31,3,FALSE)</f>
        <v>West</v>
      </c>
      <c r="I380" s="44">
        <f t="shared" si="13"/>
        <v>45352</v>
      </c>
      <c r="L380" t="str">
        <f>Orders!K380</f>
        <v>Bengaluru</v>
      </c>
      <c r="M380">
        <f>Orders!G380</f>
        <v>2030</v>
      </c>
      <c r="N380">
        <f>IFERROR(VLOOKUP(Orders!D380,Products!$A$2:$D$61,4,FALSE),"")</f>
        <v>1143</v>
      </c>
      <c r="O380">
        <f t="shared" si="14"/>
        <v>0.43694581280788175</v>
      </c>
      <c r="Q380" t="str">
        <f>Orders!D380</f>
        <v>PROD-033</v>
      </c>
    </row>
    <row r="381" spans="1:17" x14ac:dyDescent="0.3">
      <c r="A381" t="str">
        <f>Orders!A381</f>
        <v>ORD-00380</v>
      </c>
      <c r="B381">
        <f>Orders!B381</f>
        <v>45560</v>
      </c>
      <c r="C381">
        <f>Orders!I381</f>
        <v>36738.559999999998</v>
      </c>
      <c r="D381" t="str">
        <f>Orders!E381</f>
        <v>R003</v>
      </c>
      <c r="E381" t="str">
        <f>IFERROR(VLOOKUP(Orders!D381,Products!$A$2:$C$61,3,FALSE),"Unknown")</f>
        <v>Home</v>
      </c>
      <c r="F381" t="str">
        <f>IFERROR(VLOOKUP(Orders!C381,Customers!$A$2:$E$301,5,FALSE),"Unknown")</f>
        <v>SMB</v>
      </c>
      <c r="G381">
        <f>IFERROR(VLOOKUP(Orders!C381,Customers!$A$2:$C$301,3,FALSE),"")</f>
        <v>29</v>
      </c>
      <c r="H381" t="str">
        <f>VLOOKUP(D381,Sales_Reps!$A$2:$C$31,3,FALSE)</f>
        <v>North</v>
      </c>
      <c r="I381" s="44">
        <f t="shared" si="13"/>
        <v>45536</v>
      </c>
      <c r="L381" t="str">
        <f>Orders!K381</f>
        <v>Delhi</v>
      </c>
      <c r="M381">
        <f>Orders!G381</f>
        <v>5080</v>
      </c>
      <c r="N381">
        <f>IFERROR(VLOOKUP(Orders!D381,Products!$A$2:$D$61,4,FALSE),"")</f>
        <v>2459</v>
      </c>
      <c r="O381">
        <f t="shared" si="14"/>
        <v>0.51594488188976373</v>
      </c>
      <c r="Q381" t="str">
        <f>Orders!D381</f>
        <v>PROD-034</v>
      </c>
    </row>
    <row r="382" spans="1:17" x14ac:dyDescent="0.3">
      <c r="A382" t="str">
        <f>Orders!A382</f>
        <v>ORD-00381</v>
      </c>
      <c r="B382">
        <f>Orders!B382</f>
        <v>45378</v>
      </c>
      <c r="C382">
        <f>Orders!I382</f>
        <v>2103.92</v>
      </c>
      <c r="D382" t="str">
        <f>Orders!E382</f>
        <v>R014</v>
      </c>
      <c r="E382" t="str">
        <f>IFERROR(VLOOKUP(Orders!D382,Products!$A$2:$C$61,3,FALSE),"Unknown")</f>
        <v>Grocery</v>
      </c>
      <c r="F382" t="str">
        <f>IFERROR(VLOOKUP(Orders!C382,Customers!$A$2:$E$301,5,FALSE),"Unknown")</f>
        <v>SMB</v>
      </c>
      <c r="G382">
        <f>IFERROR(VLOOKUP(Orders!C382,Customers!$A$2:$C$301,3,FALSE),"")</f>
        <v>40</v>
      </c>
      <c r="H382" t="str">
        <f>VLOOKUP(D382,Sales_Reps!$A$2:$C$31,3,FALSE)</f>
        <v>South</v>
      </c>
      <c r="I382" s="44">
        <f t="shared" si="13"/>
        <v>45352</v>
      </c>
      <c r="L382" t="str">
        <f>Orders!K382</f>
        <v>Hyderabad</v>
      </c>
      <c r="M382">
        <f>Orders!G382</f>
        <v>2380</v>
      </c>
      <c r="N382">
        <f>IFERROR(VLOOKUP(Orders!D382,Products!$A$2:$D$61,4,FALSE),"")</f>
        <v>1182</v>
      </c>
      <c r="O382">
        <f t="shared" si="14"/>
        <v>0.50336134453781511</v>
      </c>
      <c r="Q382" t="str">
        <f>Orders!D382</f>
        <v>PROD-023</v>
      </c>
    </row>
    <row r="383" spans="1:17" x14ac:dyDescent="0.3">
      <c r="A383" t="str">
        <f>Orders!A383</f>
        <v>ORD-00382</v>
      </c>
      <c r="B383">
        <f>Orders!B383</f>
        <v>45590</v>
      </c>
      <c r="C383">
        <f>Orders!I383</f>
        <v>8895.0400000000009</v>
      </c>
      <c r="D383" t="str">
        <f>Orders!E383</f>
        <v>R027</v>
      </c>
      <c r="E383" t="str">
        <f>IFERROR(VLOOKUP(Orders!D383,Products!$A$2:$C$61,3,FALSE),"Unknown")</f>
        <v>Beauty</v>
      </c>
      <c r="F383" t="str">
        <f>IFERROR(VLOOKUP(Orders!C383,Customers!$A$2:$E$301,5,FALSE),"Unknown")</f>
        <v>SMB</v>
      </c>
      <c r="G383">
        <f>IFERROR(VLOOKUP(Orders!C383,Customers!$A$2:$C$301,3,FALSE),"")</f>
        <v>55</v>
      </c>
      <c r="H383" t="str">
        <f>VLOOKUP(D383,Sales_Reps!$A$2:$C$31,3,FALSE)</f>
        <v>West</v>
      </c>
      <c r="I383" s="44">
        <f t="shared" si="13"/>
        <v>45566</v>
      </c>
      <c r="L383" t="str">
        <f>Orders!K383</f>
        <v>Chennai</v>
      </c>
      <c r="M383">
        <f>Orders!G383</f>
        <v>1540</v>
      </c>
      <c r="N383">
        <f>IFERROR(VLOOKUP(Orders!D383,Products!$A$2:$D$61,4,FALSE),"")</f>
        <v>647</v>
      </c>
      <c r="O383">
        <f t="shared" si="14"/>
        <v>0.57987012987012987</v>
      </c>
      <c r="Q383" t="str">
        <f>Orders!D383</f>
        <v>PROD-041</v>
      </c>
    </row>
    <row r="384" spans="1:17" x14ac:dyDescent="0.3">
      <c r="A384" t="str">
        <f>Orders!A384</f>
        <v>ORD-00383</v>
      </c>
      <c r="B384">
        <f>Orders!B384</f>
        <v>45591</v>
      </c>
      <c r="C384">
        <f>Orders!I384</f>
        <v>2122.4499999999998</v>
      </c>
      <c r="D384" t="str">
        <f>Orders!E384</f>
        <v>R024</v>
      </c>
      <c r="E384" t="str">
        <f>IFERROR(VLOOKUP(Orders!D384,Products!$A$2:$C$61,3,FALSE),"Unknown")</f>
        <v>Grocery</v>
      </c>
      <c r="F384" t="str">
        <f>IFERROR(VLOOKUP(Orders!C384,Customers!$A$2:$E$301,5,FALSE),"Unknown")</f>
        <v>Retail</v>
      </c>
      <c r="G384">
        <f>IFERROR(VLOOKUP(Orders!C384,Customers!$A$2:$C$301,3,FALSE),"")</f>
        <v>31</v>
      </c>
      <c r="H384" t="str">
        <f>VLOOKUP(D384,Sales_Reps!$A$2:$C$31,3,FALSE)</f>
        <v>West</v>
      </c>
      <c r="I384" s="44">
        <f t="shared" si="13"/>
        <v>45566</v>
      </c>
      <c r="L384" t="str">
        <f>Orders!K384</f>
        <v>pune</v>
      </c>
      <c r="M384">
        <f>Orders!G384</f>
        <v>2270</v>
      </c>
      <c r="N384">
        <f>IFERROR(VLOOKUP(Orders!D384,Products!$A$2:$D$61,4,FALSE),"")</f>
        <v>1203</v>
      </c>
      <c r="O384">
        <f t="shared" si="14"/>
        <v>0.47004405286343615</v>
      </c>
      <c r="Q384" t="str">
        <f>Orders!D384</f>
        <v>PROD-024</v>
      </c>
    </row>
    <row r="385" spans="1:17" x14ac:dyDescent="0.3">
      <c r="A385" t="str">
        <f>Orders!A385</f>
        <v>ORD-00384</v>
      </c>
      <c r="B385">
        <f>Orders!B385</f>
        <v>45503</v>
      </c>
      <c r="C385">
        <f>Orders!I385</f>
        <v>11026.08</v>
      </c>
      <c r="D385" t="str">
        <f>Orders!E385</f>
        <v>R028</v>
      </c>
      <c r="E385" t="str">
        <f>IFERROR(VLOOKUP(Orders!D385,Products!$A$2:$C$61,3,FALSE),"Unknown")</f>
        <v>Apparel</v>
      </c>
      <c r="F385" t="str">
        <f>IFERROR(VLOOKUP(Orders!C385,Customers!$A$2:$E$301,5,FALSE),"Unknown")</f>
        <v>SMB</v>
      </c>
      <c r="G385">
        <f>IFERROR(VLOOKUP(Orders!C385,Customers!$A$2:$C$301,3,FALSE),"")</f>
        <v>60</v>
      </c>
      <c r="H385" t="str">
        <f>VLOOKUP(D385,Sales_Reps!$A$2:$C$31,3,FALSE)</f>
        <v>West</v>
      </c>
      <c r="I385" s="44">
        <f t="shared" si="13"/>
        <v>45474</v>
      </c>
      <c r="L385" t="str">
        <f>Orders!K385</f>
        <v>Pune</v>
      </c>
      <c r="M385">
        <f>Orders!G385</f>
        <v>2480</v>
      </c>
      <c r="N385">
        <f>IFERROR(VLOOKUP(Orders!D385,Products!$A$2:$D$61,4,FALSE),"")</f>
        <v>1173</v>
      </c>
      <c r="O385">
        <f t="shared" si="14"/>
        <v>0.52701612903225803</v>
      </c>
      <c r="Q385" t="str">
        <f>Orders!D385</f>
        <v>PROD-019</v>
      </c>
    </row>
    <row r="386" spans="1:17" x14ac:dyDescent="0.3">
      <c r="A386" t="str">
        <f>Orders!A386</f>
        <v>ORD-00385</v>
      </c>
      <c r="B386">
        <f>Orders!B386</f>
        <v>45608</v>
      </c>
      <c r="C386">
        <f>Orders!I386</f>
        <v>10637.28</v>
      </c>
      <c r="D386" t="str">
        <f>Orders!E386</f>
        <v>R019</v>
      </c>
      <c r="E386" t="str">
        <f>IFERROR(VLOOKUP(Orders!D386,Products!$A$2:$C$61,3,FALSE),"Unknown")</f>
        <v>Apparel</v>
      </c>
      <c r="F386" t="str">
        <f>IFERROR(VLOOKUP(Orders!C386,Customers!$A$2:$E$301,5,FALSE),"Unknown")</f>
        <v>SMB</v>
      </c>
      <c r="G386">
        <f>IFERROR(VLOOKUP(Orders!C386,Customers!$A$2:$C$301,3,FALSE),"")</f>
        <v>57</v>
      </c>
      <c r="H386" t="str">
        <f>VLOOKUP(D386,Sales_Reps!$A$2:$C$31,3,FALSE)</f>
        <v>East</v>
      </c>
      <c r="I386" s="44">
        <f t="shared" si="13"/>
        <v>45597</v>
      </c>
      <c r="L386" t="str">
        <f>Orders!K386</f>
        <v>Chennai</v>
      </c>
      <c r="M386">
        <f>Orders!G386</f>
        <v>3560</v>
      </c>
      <c r="N386">
        <f>IFERROR(VLOOKUP(Orders!D386,Products!$A$2:$D$61,4,FALSE),"")</f>
        <v>2629</v>
      </c>
      <c r="O386">
        <f t="shared" si="14"/>
        <v>0.26151685393258428</v>
      </c>
      <c r="Q386" t="str">
        <f>Orders!D386</f>
        <v>PROD-018</v>
      </c>
    </row>
    <row r="387" spans="1:17" x14ac:dyDescent="0.3">
      <c r="A387" t="str">
        <f>Orders!A387</f>
        <v>ORD-00386</v>
      </c>
      <c r="B387">
        <f>Orders!B387</f>
        <v>45422</v>
      </c>
      <c r="C387">
        <f>Orders!I387</f>
        <v>8543.92</v>
      </c>
      <c r="D387" t="str">
        <f>Orders!E387</f>
        <v>R006</v>
      </c>
      <c r="E387" t="str">
        <f>IFERROR(VLOOKUP(Orders!D387,Products!$A$2:$C$61,3,FALSE),"Unknown")</f>
        <v>Electronics</v>
      </c>
      <c r="F387" t="str">
        <f>IFERROR(VLOOKUP(Orders!C387,Customers!$A$2:$E$301,5,FALSE),"Unknown")</f>
        <v>Retail</v>
      </c>
      <c r="G387">
        <f>IFERROR(VLOOKUP(Orders!C387,Customers!$A$2:$C$301,3,FALSE),"")</f>
        <v>50</v>
      </c>
      <c r="H387" t="str">
        <f>VLOOKUP(D387,Sales_Reps!$A$2:$C$31,3,FALSE)</f>
        <v>North</v>
      </c>
      <c r="I387" s="44">
        <f t="shared" ref="I387:I450" si="15">DATE(YEAR(B387),MONTH(B387),1)</f>
        <v>45413</v>
      </c>
      <c r="L387" t="str">
        <f>Orders!K387</f>
        <v>Hyderabad</v>
      </c>
      <c r="M387">
        <f>Orders!G387</f>
        <v>2660</v>
      </c>
      <c r="N387">
        <f>IFERROR(VLOOKUP(Orders!D387,Products!$A$2:$D$61,4,FALSE),"")</f>
        <v>1259</v>
      </c>
      <c r="O387">
        <f t="shared" ref="O387:O450" si="16">IF(OR(N387="",M387&lt;=0),"",(M387-N387)/M387)</f>
        <v>0.52669172932330832</v>
      </c>
      <c r="Q387" t="str">
        <f>Orders!D387</f>
        <v>PROD-008</v>
      </c>
    </row>
    <row r="388" spans="1:17" x14ac:dyDescent="0.3">
      <c r="A388" t="str">
        <f>Orders!A388</f>
        <v>ORD-00387</v>
      </c>
      <c r="B388">
        <f>Orders!B388</f>
        <v>45386</v>
      </c>
      <c r="C388">
        <f>Orders!I388</f>
        <v>10967.8</v>
      </c>
      <c r="D388" t="str">
        <f>Orders!E388</f>
        <v>R013</v>
      </c>
      <c r="E388" t="str">
        <f>IFERROR(VLOOKUP(Orders!D388,Products!$A$2:$C$61,3,FALSE),"Unknown")</f>
        <v>Electronics</v>
      </c>
      <c r="F388" t="str">
        <f>IFERROR(VLOOKUP(Orders!C388,Customers!$A$2:$E$301,5,FALSE),"Unknown")</f>
        <v>Retail</v>
      </c>
      <c r="G388">
        <f>IFERROR(VLOOKUP(Orders!C388,Customers!$A$2:$C$301,3,FALSE),"")</f>
        <v>50</v>
      </c>
      <c r="H388" t="str">
        <f>VLOOKUP(D388,Sales_Reps!$A$2:$C$31,3,FALSE)</f>
        <v>South</v>
      </c>
      <c r="I388" s="44">
        <f t="shared" si="15"/>
        <v>45383</v>
      </c>
      <c r="L388" t="str">
        <f>Orders!K388</f>
        <v>Pune</v>
      </c>
      <c r="M388">
        <f>Orders!G388</f>
        <v>1220</v>
      </c>
      <c r="N388">
        <f>IFERROR(VLOOKUP(Orders!D388,Products!$A$2:$D$61,4,FALSE),"")</f>
        <v>517</v>
      </c>
      <c r="O388">
        <f t="shared" si="16"/>
        <v>0.57622950819672136</v>
      </c>
      <c r="Q388" t="str">
        <f>Orders!D388</f>
        <v>PROD-009</v>
      </c>
    </row>
    <row r="389" spans="1:17" x14ac:dyDescent="0.3">
      <c r="A389" t="str">
        <f>Orders!A389</f>
        <v>ORD-00388</v>
      </c>
      <c r="B389">
        <f>Orders!B389</f>
        <v>45584</v>
      </c>
      <c r="C389">
        <f>Orders!I389</f>
        <v>15246.4</v>
      </c>
      <c r="D389" t="str">
        <f>Orders!E389</f>
        <v>R014</v>
      </c>
      <c r="E389" t="str">
        <f>IFERROR(VLOOKUP(Orders!D389,Products!$A$2:$C$61,3,FALSE),"Unknown")</f>
        <v>Electronics</v>
      </c>
      <c r="F389" t="str">
        <f>IFERROR(VLOOKUP(Orders!C389,Customers!$A$2:$E$301,5,FALSE),"Unknown")</f>
        <v>SMB</v>
      </c>
      <c r="G389">
        <f>IFERROR(VLOOKUP(Orders!C389,Customers!$A$2:$C$301,3,FALSE),"")</f>
        <v>35</v>
      </c>
      <c r="H389" t="str">
        <f>VLOOKUP(D389,Sales_Reps!$A$2:$C$31,3,FALSE)</f>
        <v>South</v>
      </c>
      <c r="I389" s="44">
        <f t="shared" si="15"/>
        <v>45566</v>
      </c>
      <c r="L389" t="str">
        <f>Orders!K389</f>
        <v>Pune</v>
      </c>
      <c r="M389">
        <f>Orders!G389</f>
        <v>2600</v>
      </c>
      <c r="N389">
        <f>IFERROR(VLOOKUP(Orders!D389,Products!$A$2:$D$61,4,FALSE),"")</f>
        <v>1052</v>
      </c>
      <c r="O389">
        <f t="shared" si="16"/>
        <v>0.5953846153846154</v>
      </c>
      <c r="Q389" t="str">
        <f>Orders!D389</f>
        <v>PROD-002</v>
      </c>
    </row>
    <row r="390" spans="1:17" x14ac:dyDescent="0.3">
      <c r="A390" t="str">
        <f>Orders!A390</f>
        <v>ORD-00389</v>
      </c>
      <c r="B390">
        <f>Orders!B390</f>
        <v>45440</v>
      </c>
      <c r="C390">
        <f>Orders!I390</f>
        <v>27462</v>
      </c>
      <c r="D390" t="str">
        <f>Orders!E390</f>
        <v>R020</v>
      </c>
      <c r="E390" t="str">
        <f>IFERROR(VLOOKUP(Orders!D390,Products!$A$2:$C$61,3,FALSE),"Unknown")</f>
        <v>Apparel</v>
      </c>
      <c r="F390" t="str">
        <f>IFERROR(VLOOKUP(Orders!C390,Customers!$A$2:$E$301,5,FALSE),"Unknown")</f>
        <v>Retail</v>
      </c>
      <c r="G390">
        <f>IFERROR(VLOOKUP(Orders!C390,Customers!$A$2:$C$301,3,FALSE),"")</f>
        <v>49</v>
      </c>
      <c r="H390" t="str">
        <f>VLOOKUP(D390,Sales_Reps!$A$2:$C$31,3,FALSE)</f>
        <v>East</v>
      </c>
      <c r="I390" s="44">
        <f t="shared" si="15"/>
        <v>45413</v>
      </c>
      <c r="L390" t="str">
        <f>Orders!K390</f>
        <v>Pune</v>
      </c>
      <c r="M390">
        <f>Orders!G390</f>
        <v>3450</v>
      </c>
      <c r="N390">
        <f>IFERROR(VLOOKUP(Orders!D390,Products!$A$2:$D$61,4,FALSE),"")</f>
        <v>1748</v>
      </c>
      <c r="O390">
        <f t="shared" si="16"/>
        <v>0.49333333333333335</v>
      </c>
      <c r="Q390" t="str">
        <f>Orders!D390</f>
        <v>PROD-011</v>
      </c>
    </row>
    <row r="391" spans="1:17" x14ac:dyDescent="0.3">
      <c r="A391" t="str">
        <f>Orders!A391</f>
        <v>ORD-00390</v>
      </c>
      <c r="B391">
        <f>Orders!B391</f>
        <v>45440</v>
      </c>
      <c r="C391">
        <f>Orders!I391</f>
        <v>6266.82</v>
      </c>
      <c r="D391" t="str">
        <f>Orders!E391</f>
        <v>R019</v>
      </c>
      <c r="E391" t="str">
        <f>IFERROR(VLOOKUP(Orders!D391,Products!$A$2:$C$61,3,FALSE),"Unknown")</f>
        <v>Sports</v>
      </c>
      <c r="F391" t="str">
        <f>IFERROR(VLOOKUP(Orders!C391,Customers!$A$2:$E$301,5,FALSE),"Unknown")</f>
        <v>Retail</v>
      </c>
      <c r="G391">
        <f>IFERROR(VLOOKUP(Orders!C391,Customers!$A$2:$C$301,3,FALSE),"")</f>
        <v>26</v>
      </c>
      <c r="H391" t="str">
        <f>VLOOKUP(D391,Sales_Reps!$A$2:$C$31,3,FALSE)</f>
        <v>East</v>
      </c>
      <c r="I391" s="44">
        <f t="shared" si="15"/>
        <v>45413</v>
      </c>
      <c r="L391" t="str">
        <f>Orders!K391</f>
        <v>Hyderabad</v>
      </c>
      <c r="M391">
        <f>Orders!G391</f>
        <v>6940</v>
      </c>
      <c r="N391">
        <f>IFERROR(VLOOKUP(Orders!D391,Products!$A$2:$D$61,4,FALSE),"")</f>
        <v>2827</v>
      </c>
      <c r="O391">
        <f t="shared" si="16"/>
        <v>0.5926512968299712</v>
      </c>
      <c r="Q391" t="str">
        <f>Orders!D391</f>
        <v>PROD-056</v>
      </c>
    </row>
    <row r="392" spans="1:17" x14ac:dyDescent="0.3">
      <c r="A392" t="str">
        <f>Orders!A392</f>
        <v>ORD-00391</v>
      </c>
      <c r="B392">
        <f>Orders!B392</f>
        <v>45358</v>
      </c>
      <c r="C392">
        <f>Orders!I392</f>
        <v>32428</v>
      </c>
      <c r="D392" t="str">
        <f>Orders!E392</f>
        <v>R006</v>
      </c>
      <c r="E392" t="str">
        <f>IFERROR(VLOOKUP(Orders!D392,Products!$A$2:$C$61,3,FALSE),"Unknown")</f>
        <v>Beauty</v>
      </c>
      <c r="F392" t="str">
        <f>IFERROR(VLOOKUP(Orders!C392,Customers!$A$2:$E$301,5,FALSE),"Unknown")</f>
        <v>Retail</v>
      </c>
      <c r="G392">
        <f>IFERROR(VLOOKUP(Orders!C392,Customers!$A$2:$C$301,3,FALSE),"")</f>
        <v>22</v>
      </c>
      <c r="H392" t="str">
        <f>VLOOKUP(D392,Sales_Reps!$A$2:$C$31,3,FALSE)</f>
        <v>North</v>
      </c>
      <c r="I392" s="44">
        <f t="shared" si="15"/>
        <v>45352</v>
      </c>
      <c r="L392" t="str">
        <f>Orders!K392</f>
        <v>Chennai</v>
      </c>
      <c r="M392">
        <f>Orders!G392</f>
        <v>3350</v>
      </c>
      <c r="N392">
        <f>IFERROR(VLOOKUP(Orders!D392,Products!$A$2:$D$61,4,FALSE),"")</f>
        <v>1728</v>
      </c>
      <c r="O392">
        <f t="shared" si="16"/>
        <v>0.48417910447761192</v>
      </c>
      <c r="Q392" t="str">
        <f>Orders!D392</f>
        <v>PROD-043</v>
      </c>
    </row>
    <row r="393" spans="1:17" x14ac:dyDescent="0.3">
      <c r="A393" t="str">
        <f>Orders!A393</f>
        <v>ORD-00392</v>
      </c>
      <c r="B393">
        <f>Orders!B393</f>
        <v>45387</v>
      </c>
      <c r="C393">
        <f>Orders!I393</f>
        <v>10726.1</v>
      </c>
      <c r="D393" t="str">
        <f>Orders!E393</f>
        <v>R026</v>
      </c>
      <c r="E393" t="str">
        <f>IFERROR(VLOOKUP(Orders!D393,Products!$A$2:$C$61,3,FALSE),"Unknown")</f>
        <v>Beauty</v>
      </c>
      <c r="F393" t="str">
        <f>IFERROR(VLOOKUP(Orders!C393,Customers!$A$2:$E$301,5,FALSE),"Unknown")</f>
        <v>Retail</v>
      </c>
      <c r="G393">
        <f>IFERROR(VLOOKUP(Orders!C393,Customers!$A$2:$C$301,3,FALSE),"")</f>
        <v>63</v>
      </c>
      <c r="H393" t="str">
        <f>VLOOKUP(D393,Sales_Reps!$A$2:$C$31,3,FALSE)</f>
        <v>West</v>
      </c>
      <c r="I393" s="44">
        <f t="shared" si="15"/>
        <v>45383</v>
      </c>
      <c r="L393" t="str">
        <f>Orders!K393</f>
        <v>Delhi</v>
      </c>
      <c r="M393">
        <f>Orders!G393</f>
        <v>1540</v>
      </c>
      <c r="N393">
        <f>IFERROR(VLOOKUP(Orders!D393,Products!$A$2:$D$61,4,FALSE),"")</f>
        <v>647</v>
      </c>
      <c r="O393">
        <f t="shared" si="16"/>
        <v>0.57987012987012987</v>
      </c>
      <c r="Q393" t="str">
        <f>Orders!D393</f>
        <v>PROD-041</v>
      </c>
    </row>
    <row r="394" spans="1:17" x14ac:dyDescent="0.3">
      <c r="A394" t="str">
        <f>Orders!A394</f>
        <v>ORD-00393</v>
      </c>
      <c r="B394">
        <f>Orders!B394</f>
        <v>45655</v>
      </c>
      <c r="C394">
        <f>Orders!I394</f>
        <v>28236</v>
      </c>
      <c r="D394" t="str">
        <f>Orders!E394</f>
        <v>R026</v>
      </c>
      <c r="E394" t="str">
        <f>IFERROR(VLOOKUP(Orders!D394,Products!$A$2:$C$61,3,FALSE),"Unknown")</f>
        <v>Apparel</v>
      </c>
      <c r="F394" t="str">
        <f>IFERROR(VLOOKUP(Orders!C394,Customers!$A$2:$E$301,5,FALSE),"Unknown")</f>
        <v>Unknown</v>
      </c>
      <c r="G394" t="str">
        <f>IFERROR(VLOOKUP(Orders!C394,Customers!$A$2:$C$301,3,FALSE),"")</f>
        <v/>
      </c>
      <c r="H394" t="str">
        <f>VLOOKUP(D394,Sales_Reps!$A$2:$C$31,3,FALSE)</f>
        <v>West</v>
      </c>
      <c r="I394" s="44">
        <f t="shared" si="15"/>
        <v>45627</v>
      </c>
      <c r="L394" t="str">
        <f>Orders!K394</f>
        <v>Pune</v>
      </c>
      <c r="M394">
        <f>Orders!G394</f>
        <v>3620</v>
      </c>
      <c r="N394">
        <f>IFERROR(VLOOKUP(Orders!D394,Products!$A$2:$D$61,4,FALSE),"")</f>
        <v>2509</v>
      </c>
      <c r="O394">
        <f t="shared" si="16"/>
        <v>0.3069060773480663</v>
      </c>
      <c r="Q394" t="str">
        <f>Orders!D394</f>
        <v>PROD-014</v>
      </c>
    </row>
    <row r="395" spans="1:17" x14ac:dyDescent="0.3">
      <c r="A395" t="str">
        <f>Orders!A395</f>
        <v>ORD-00394</v>
      </c>
      <c r="B395">
        <f>Orders!B395</f>
        <v>45629</v>
      </c>
      <c r="C395">
        <f>Orders!I395</f>
        <v>690.9</v>
      </c>
      <c r="D395" t="str">
        <f>Orders!E395</f>
        <v>R026</v>
      </c>
      <c r="E395" t="str">
        <f>IFERROR(VLOOKUP(Orders!D395,Products!$A$2:$C$61,3,FALSE),"Unknown")</f>
        <v>Sports</v>
      </c>
      <c r="F395" t="str">
        <f>IFERROR(VLOOKUP(Orders!C395,Customers!$A$2:$E$301,5,FALSE),"Unknown")</f>
        <v>SMB</v>
      </c>
      <c r="G395">
        <f>IFERROR(VLOOKUP(Orders!C395,Customers!$A$2:$C$301,3,FALSE),"")</f>
        <v>29</v>
      </c>
      <c r="H395" t="str">
        <f>VLOOKUP(D395,Sales_Reps!$A$2:$C$31,3,FALSE)</f>
        <v>West</v>
      </c>
      <c r="I395" s="44">
        <f t="shared" si="15"/>
        <v>45627</v>
      </c>
      <c r="L395" t="str">
        <f>Orders!K395</f>
        <v>Pune</v>
      </c>
      <c r="M395">
        <f>Orders!G395</f>
        <v>470</v>
      </c>
      <c r="N395">
        <f>IFERROR(VLOOKUP(Orders!D395,Products!$A$2:$D$61,4,FALSE),"")</f>
        <v>302</v>
      </c>
      <c r="O395">
        <f t="shared" si="16"/>
        <v>0.35744680851063831</v>
      </c>
      <c r="Q395" t="str">
        <f>Orders!D395</f>
        <v>PROD-053</v>
      </c>
    </row>
    <row r="396" spans="1:17" x14ac:dyDescent="0.3">
      <c r="A396" t="str">
        <f>Orders!A396</f>
        <v>ORD-00395</v>
      </c>
      <c r="B396">
        <f>Orders!B396</f>
        <v>45323</v>
      </c>
      <c r="C396">
        <f>Orders!I396</f>
        <v>21630.6</v>
      </c>
      <c r="D396" t="str">
        <f>Orders!E396</f>
        <v>R010</v>
      </c>
      <c r="E396" t="str">
        <f>IFERROR(VLOOKUP(Orders!D396,Products!$A$2:$C$61,3,FALSE),"Unknown")</f>
        <v>Grocery</v>
      </c>
      <c r="F396" t="str">
        <f>IFERROR(VLOOKUP(Orders!C396,Customers!$A$2:$E$301,5,FALSE),"Unknown")</f>
        <v>SMB</v>
      </c>
      <c r="G396">
        <f>IFERROR(VLOOKUP(Orders!C396,Customers!$A$2:$C$301,3,FALSE),"")</f>
        <v>39</v>
      </c>
      <c r="H396" t="str">
        <f>VLOOKUP(D396,Sales_Reps!$A$2:$C$31,3,FALSE)</f>
        <v>South</v>
      </c>
      <c r="I396" s="44">
        <f t="shared" si="15"/>
        <v>45323</v>
      </c>
      <c r="L396" t="str">
        <f>Orders!K396</f>
        <v>Chennai</v>
      </c>
      <c r="M396">
        <f>Orders!G396</f>
        <v>3660</v>
      </c>
      <c r="N396">
        <f>IFERROR(VLOOKUP(Orders!D396,Products!$A$2:$D$61,4,FALSE),"")</f>
        <v>2214</v>
      </c>
      <c r="O396">
        <f t="shared" si="16"/>
        <v>0.39508196721311473</v>
      </c>
      <c r="Q396" t="str">
        <f>Orders!D396</f>
        <v>PROD-028</v>
      </c>
    </row>
    <row r="397" spans="1:17" x14ac:dyDescent="0.3">
      <c r="A397" t="str">
        <f>Orders!A397</f>
        <v>ORD-00396</v>
      </c>
      <c r="B397">
        <f>Orders!B397</f>
        <v>45432</v>
      </c>
      <c r="C397">
        <f>Orders!I397</f>
        <v>68081.399999999994</v>
      </c>
      <c r="D397" t="str">
        <f>Orders!E397</f>
        <v>R017</v>
      </c>
      <c r="E397" t="str">
        <f>IFERROR(VLOOKUP(Orders!D397,Products!$A$2:$C$61,3,FALSE),"Unknown")</f>
        <v>Sports</v>
      </c>
      <c r="F397" t="str">
        <f>IFERROR(VLOOKUP(Orders!C397,Customers!$A$2:$E$301,5,FALSE),"Unknown")</f>
        <v>Corporate</v>
      </c>
      <c r="G397">
        <f>IFERROR(VLOOKUP(Orders!C397,Customers!$A$2:$C$301,3,FALSE),"")</f>
        <v>57</v>
      </c>
      <c r="H397" t="str">
        <f>VLOOKUP(D397,Sales_Reps!$A$2:$C$31,3,FALSE)</f>
        <v>East</v>
      </c>
      <c r="I397" s="44">
        <f t="shared" si="15"/>
        <v>45413</v>
      </c>
      <c r="L397" t="str">
        <f>Orders!K397</f>
        <v>Bengaluru</v>
      </c>
      <c r="M397">
        <f>Orders!G397</f>
        <v>6940</v>
      </c>
      <c r="N397">
        <f>IFERROR(VLOOKUP(Orders!D397,Products!$A$2:$D$61,4,FALSE),"")</f>
        <v>2827</v>
      </c>
      <c r="O397">
        <f t="shared" si="16"/>
        <v>0.5926512968299712</v>
      </c>
      <c r="Q397" t="str">
        <f>Orders!D397</f>
        <v>PROD-056</v>
      </c>
    </row>
    <row r="398" spans="1:17" x14ac:dyDescent="0.3">
      <c r="A398" t="str">
        <f>Orders!A398</f>
        <v>ORD-00397</v>
      </c>
      <c r="B398">
        <f>Orders!B398</f>
        <v>45397</v>
      </c>
      <c r="C398">
        <f>Orders!I398</f>
        <v>13208.72</v>
      </c>
      <c r="D398" t="str">
        <f>Orders!E398</f>
        <v>R005</v>
      </c>
      <c r="E398" t="str">
        <f>IFERROR(VLOOKUP(Orders!D398,Products!$A$2:$C$61,3,FALSE),"Unknown")</f>
        <v>Beauty</v>
      </c>
      <c r="F398" t="str">
        <f>IFERROR(VLOOKUP(Orders!C398,Customers!$A$2:$E$301,5,FALSE),"Unknown")</f>
        <v>Corporate</v>
      </c>
      <c r="G398">
        <f>IFERROR(VLOOKUP(Orders!C398,Customers!$A$2:$C$301,3,FALSE),"")</f>
        <v>40</v>
      </c>
      <c r="H398" t="str">
        <f>VLOOKUP(D398,Sales_Reps!$A$2:$C$31,3,FALSE)</f>
        <v>North</v>
      </c>
      <c r="I398" s="44">
        <f t="shared" si="15"/>
        <v>45383</v>
      </c>
      <c r="L398" t="str">
        <f>Orders!K398</f>
        <v>Pune</v>
      </c>
      <c r="M398">
        <f>Orders!G398</f>
        <v>2290</v>
      </c>
      <c r="N398">
        <f>IFERROR(VLOOKUP(Orders!D398,Products!$A$2:$D$61,4,FALSE),"")</f>
        <v>1219</v>
      </c>
      <c r="O398">
        <f t="shared" si="16"/>
        <v>0.46768558951965067</v>
      </c>
      <c r="Q398" t="str">
        <f>Orders!D398</f>
        <v>PROD-042</v>
      </c>
    </row>
    <row r="399" spans="1:17" x14ac:dyDescent="0.3">
      <c r="A399" t="str">
        <f>Orders!A399</f>
        <v>ORD-00398</v>
      </c>
      <c r="B399">
        <f>Orders!B399</f>
        <v>45573</v>
      </c>
      <c r="C399">
        <f>Orders!I399</f>
        <v>25539.119999999999</v>
      </c>
      <c r="D399" t="str">
        <f>Orders!E399</f>
        <v>R024</v>
      </c>
      <c r="E399" t="str">
        <f>IFERROR(VLOOKUP(Orders!D399,Products!$A$2:$C$61,3,FALSE),"Unknown")</f>
        <v>Apparel</v>
      </c>
      <c r="F399" t="str">
        <f>IFERROR(VLOOKUP(Orders!C399,Customers!$A$2:$E$301,5,FALSE),"Unknown")</f>
        <v>Retail</v>
      </c>
      <c r="G399">
        <f>IFERROR(VLOOKUP(Orders!C399,Customers!$A$2:$C$301,3,FALSE),"")</f>
        <v>61</v>
      </c>
      <c r="H399" t="str">
        <f>VLOOKUP(D399,Sales_Reps!$A$2:$C$31,3,FALSE)</f>
        <v>West</v>
      </c>
      <c r="I399" s="44">
        <f t="shared" si="15"/>
        <v>45566</v>
      </c>
      <c r="L399" t="str">
        <f>Orders!K399</f>
        <v>Hyderabad</v>
      </c>
      <c r="M399">
        <f>Orders!G399</f>
        <v>3160</v>
      </c>
      <c r="N399">
        <f>IFERROR(VLOOKUP(Orders!D399,Products!$A$2:$D$61,4,FALSE),"")</f>
        <v>1886</v>
      </c>
      <c r="O399">
        <f t="shared" si="16"/>
        <v>0.4031645569620253</v>
      </c>
      <c r="Q399" t="str">
        <f>Orders!D399</f>
        <v>PROD-012</v>
      </c>
    </row>
    <row r="400" spans="1:17" x14ac:dyDescent="0.3">
      <c r="A400" t="str">
        <f>Orders!A400</f>
        <v>ORD-00399</v>
      </c>
      <c r="B400">
        <f>Orders!B400</f>
        <v>45307</v>
      </c>
      <c r="C400">
        <f>Orders!I400</f>
        <v>22738.080000000002</v>
      </c>
      <c r="D400" t="str">
        <f>Orders!E400</f>
        <v>R028</v>
      </c>
      <c r="E400" t="str">
        <f>IFERROR(VLOOKUP(Orders!D400,Products!$A$2:$C$61,3,FALSE),"Unknown")</f>
        <v>Home</v>
      </c>
      <c r="F400" t="str">
        <f>IFERROR(VLOOKUP(Orders!C400,Customers!$A$2:$E$301,5,FALSE),"Unknown")</f>
        <v>Retail</v>
      </c>
      <c r="G400">
        <f>IFERROR(VLOOKUP(Orders!C400,Customers!$A$2:$C$301,3,FALSE),"")</f>
        <v>36</v>
      </c>
      <c r="H400" t="str">
        <f>VLOOKUP(D400,Sales_Reps!$A$2:$C$31,3,FALSE)</f>
        <v>West</v>
      </c>
      <c r="I400" s="44">
        <f t="shared" si="15"/>
        <v>45292</v>
      </c>
      <c r="L400" t="str">
        <f>Orders!K400</f>
        <v>Pune</v>
      </c>
      <c r="M400">
        <f>Orders!G400</f>
        <v>5080</v>
      </c>
      <c r="N400">
        <f>IFERROR(VLOOKUP(Orders!D400,Products!$A$2:$D$61,4,FALSE),"")</f>
        <v>2459</v>
      </c>
      <c r="O400">
        <f t="shared" si="16"/>
        <v>0.51594488188976373</v>
      </c>
      <c r="Q400" t="str">
        <f>Orders!D400</f>
        <v>PROD-034</v>
      </c>
    </row>
    <row r="401" spans="1:17" x14ac:dyDescent="0.3">
      <c r="A401" t="str">
        <f>Orders!A401</f>
        <v>ORD-00400</v>
      </c>
      <c r="B401">
        <f>Orders!B401</f>
        <v>45620</v>
      </c>
      <c r="C401">
        <f>Orders!I401</f>
        <v>13032.72</v>
      </c>
      <c r="D401" t="str">
        <f>Orders!E401</f>
        <v>R012</v>
      </c>
      <c r="E401" t="str">
        <f>IFERROR(VLOOKUP(Orders!D401,Products!$A$2:$C$61,3,FALSE),"Unknown")</f>
        <v>Grocery</v>
      </c>
      <c r="F401" t="str">
        <f>IFERROR(VLOOKUP(Orders!C401,Customers!$A$2:$E$301,5,FALSE),"Unknown")</f>
        <v>Retail</v>
      </c>
      <c r="G401">
        <f>IFERROR(VLOOKUP(Orders!C401,Customers!$A$2:$C$301,3,FALSE),"")</f>
        <v>64</v>
      </c>
      <c r="H401" t="str">
        <f>VLOOKUP(D401,Sales_Reps!$A$2:$C$31,3,FALSE)</f>
        <v>South</v>
      </c>
      <c r="I401" s="44">
        <f t="shared" si="15"/>
        <v>45597</v>
      </c>
      <c r="L401" t="str">
        <f>Orders!K401</f>
        <v>Hyderabad</v>
      </c>
      <c r="M401">
        <f>Orders!G401</f>
        <v>2760</v>
      </c>
      <c r="N401">
        <f>IFERROR(VLOOKUP(Orders!D401,Products!$A$2:$D$61,4,FALSE),"")</f>
        <v>1435</v>
      </c>
      <c r="O401">
        <f t="shared" si="16"/>
        <v>0.48007246376811596</v>
      </c>
      <c r="Q401" t="str">
        <f>Orders!D401</f>
        <v>PROD-021</v>
      </c>
    </row>
    <row r="402" spans="1:17" x14ac:dyDescent="0.3">
      <c r="A402" t="str">
        <f>Orders!A402</f>
        <v>ORD-00401</v>
      </c>
      <c r="B402">
        <f>Orders!B402</f>
        <v>45462</v>
      </c>
      <c r="C402">
        <f>Orders!I402</f>
        <v>5636.4</v>
      </c>
      <c r="D402" t="str">
        <f>Orders!E402</f>
        <v>R012</v>
      </c>
      <c r="E402" t="str">
        <f>IFERROR(VLOOKUP(Orders!D402,Products!$A$2:$C$61,3,FALSE),"Unknown")</f>
        <v>Electronics</v>
      </c>
      <c r="F402" t="str">
        <f>IFERROR(VLOOKUP(Orders!C402,Customers!$A$2:$E$301,5,FALSE),"Unknown")</f>
        <v>Unknown</v>
      </c>
      <c r="G402" t="str">
        <f>IFERROR(VLOOKUP(Orders!C402,Customers!$A$2:$C$301,3,FALSE),"")</f>
        <v/>
      </c>
      <c r="H402" t="str">
        <f>VLOOKUP(D402,Sales_Reps!$A$2:$C$31,3,FALSE)</f>
        <v>South</v>
      </c>
      <c r="I402" s="44">
        <f t="shared" si="15"/>
        <v>45444</v>
      </c>
      <c r="L402" t="str">
        <f>Orders!K402</f>
        <v>Mumbai</v>
      </c>
      <c r="M402">
        <f>Orders!G402</f>
        <v>1220</v>
      </c>
      <c r="N402">
        <f>IFERROR(VLOOKUP(Orders!D402,Products!$A$2:$D$61,4,FALSE),"")</f>
        <v>517</v>
      </c>
      <c r="O402">
        <f t="shared" si="16"/>
        <v>0.57622950819672136</v>
      </c>
      <c r="Q402" t="str">
        <f>Orders!D402</f>
        <v>PROD-009</v>
      </c>
    </row>
    <row r="403" spans="1:17" x14ac:dyDescent="0.3">
      <c r="A403" t="str">
        <f>Orders!A403</f>
        <v>ORD-00402</v>
      </c>
      <c r="B403">
        <f>Orders!B403</f>
        <v>45622</v>
      </c>
      <c r="C403">
        <f>Orders!I403</f>
        <v>22326</v>
      </c>
      <c r="D403" t="str">
        <f>Orders!E403</f>
        <v>R028</v>
      </c>
      <c r="E403" t="str">
        <f>IFERROR(VLOOKUP(Orders!D403,Products!$A$2:$C$61,3,FALSE),"Unknown")</f>
        <v>Beauty</v>
      </c>
      <c r="F403" t="str">
        <f>IFERROR(VLOOKUP(Orders!C403,Customers!$A$2:$E$301,5,FALSE),"Unknown")</f>
        <v>Retail</v>
      </c>
      <c r="G403">
        <f>IFERROR(VLOOKUP(Orders!C403,Customers!$A$2:$C$301,3,FALSE),"")</f>
        <v>41</v>
      </c>
      <c r="H403" t="str">
        <f>VLOOKUP(D403,Sales_Reps!$A$2:$C$31,3,FALSE)</f>
        <v>West</v>
      </c>
      <c r="I403" s="44">
        <f t="shared" si="15"/>
        <v>45597</v>
      </c>
      <c r="L403" t="str">
        <f>Orders!K403</f>
        <v>Chennai</v>
      </c>
      <c r="M403">
        <f>Orders!G403</f>
        <v>4880</v>
      </c>
      <c r="N403">
        <f>IFERROR(VLOOKUP(Orders!D403,Products!$A$2:$D$61,4,FALSE),"")</f>
        <v>2768</v>
      </c>
      <c r="O403">
        <f t="shared" si="16"/>
        <v>0.43278688524590164</v>
      </c>
      <c r="Q403" t="str">
        <f>Orders!D403</f>
        <v>PROD-046</v>
      </c>
    </row>
    <row r="404" spans="1:17" x14ac:dyDescent="0.3">
      <c r="A404" t="str">
        <f>Orders!A404</f>
        <v>ORD-00403</v>
      </c>
      <c r="B404">
        <f>Orders!B404</f>
        <v>45596</v>
      </c>
      <c r="C404">
        <f>Orders!I404</f>
        <v>20512.8</v>
      </c>
      <c r="D404" t="str">
        <f>Orders!E404</f>
        <v>R022</v>
      </c>
      <c r="E404" t="str">
        <f>IFERROR(VLOOKUP(Orders!D404,Products!$A$2:$C$61,3,FALSE),"Unknown")</f>
        <v>Grocery</v>
      </c>
      <c r="F404" t="str">
        <f>IFERROR(VLOOKUP(Orders!C404,Customers!$A$2:$E$301,5,FALSE),"Unknown")</f>
        <v>SMB</v>
      </c>
      <c r="G404">
        <f>IFERROR(VLOOKUP(Orders!C404,Customers!$A$2:$C$301,3,FALSE),"")</f>
        <v>64</v>
      </c>
      <c r="H404" t="str">
        <f>VLOOKUP(D404,Sales_Reps!$A$2:$C$31,3,FALSE)</f>
        <v>East</v>
      </c>
      <c r="I404" s="44">
        <f t="shared" si="15"/>
        <v>45566</v>
      </c>
      <c r="L404" t="str">
        <f>Orders!K404</f>
        <v>Bengaluru</v>
      </c>
      <c r="M404">
        <f>Orders!G404</f>
        <v>4070</v>
      </c>
      <c r="N404">
        <f>IFERROR(VLOOKUP(Orders!D404,Products!$A$2:$D$61,4,FALSE),"")</f>
        <v>2027</v>
      </c>
      <c r="O404">
        <f t="shared" si="16"/>
        <v>0.50196560196560192</v>
      </c>
      <c r="Q404" t="str">
        <f>Orders!D404</f>
        <v>PROD-026</v>
      </c>
    </row>
    <row r="405" spans="1:17" x14ac:dyDescent="0.3">
      <c r="A405" t="str">
        <f>Orders!A405</f>
        <v>ORD-00404</v>
      </c>
      <c r="B405">
        <f>Orders!B405</f>
        <v>45506</v>
      </c>
      <c r="C405">
        <f>Orders!I405</f>
        <v>6828.4</v>
      </c>
      <c r="D405" t="str">
        <f>Orders!E405</f>
        <v>R028</v>
      </c>
      <c r="E405" t="str">
        <f>IFERROR(VLOOKUP(Orders!D405,Products!$A$2:$C$61,3,FALSE),"Unknown")</f>
        <v>Electronics</v>
      </c>
      <c r="F405" t="str">
        <f>IFERROR(VLOOKUP(Orders!C405,Customers!$A$2:$E$301,5,FALSE),"Unknown")</f>
        <v>SMB</v>
      </c>
      <c r="G405">
        <f>IFERROR(VLOOKUP(Orders!C405,Customers!$A$2:$C$301,3,FALSE),"")</f>
        <v>65</v>
      </c>
      <c r="H405" t="str">
        <f>VLOOKUP(D405,Sales_Reps!$A$2:$C$31,3,FALSE)</f>
        <v>West</v>
      </c>
      <c r="I405" s="44">
        <f t="shared" si="15"/>
        <v>45505</v>
      </c>
      <c r="L405" t="str">
        <f>Orders!K405</f>
        <v>Hyderabad</v>
      </c>
      <c r="M405">
        <f>Orders!G405</f>
        <v>3970</v>
      </c>
      <c r="N405">
        <f>IFERROR(VLOOKUP(Orders!D405,Products!$A$2:$D$61,4,FALSE),"")</f>
        <v>2865</v>
      </c>
      <c r="O405">
        <f t="shared" si="16"/>
        <v>0.27833753148614609</v>
      </c>
      <c r="Q405" t="str">
        <f>Orders!D405</f>
        <v>PROD-006</v>
      </c>
    </row>
    <row r="406" spans="1:17" x14ac:dyDescent="0.3">
      <c r="A406" t="str">
        <f>Orders!A406</f>
        <v>ORD-00405</v>
      </c>
      <c r="B406">
        <f>Orders!B406</f>
        <v>45349</v>
      </c>
      <c r="C406">
        <f>Orders!I406</f>
        <v>21522.06</v>
      </c>
      <c r="D406" t="str">
        <f>Orders!E406</f>
        <v>R018</v>
      </c>
      <c r="E406" t="str">
        <f>IFERROR(VLOOKUP(Orders!D406,Products!$A$2:$C$61,3,FALSE),"Unknown")</f>
        <v>Electronics</v>
      </c>
      <c r="F406" t="str">
        <f>IFERROR(VLOOKUP(Orders!C406,Customers!$A$2:$E$301,5,FALSE),"Unknown")</f>
        <v>Corporate</v>
      </c>
      <c r="G406">
        <f>IFERROR(VLOOKUP(Orders!C406,Customers!$A$2:$C$301,3,FALSE),"")</f>
        <v>55</v>
      </c>
      <c r="H406" t="str">
        <f>VLOOKUP(D406,Sales_Reps!$A$2:$C$31,3,FALSE)</f>
        <v>East</v>
      </c>
      <c r="I406" s="44">
        <f t="shared" si="15"/>
        <v>45323</v>
      </c>
      <c r="L406" t="str">
        <f>Orders!K406</f>
        <v>Delhi</v>
      </c>
      <c r="M406">
        <f>Orders!G406</f>
        <v>2660</v>
      </c>
      <c r="N406">
        <f>IFERROR(VLOOKUP(Orders!D406,Products!$A$2:$D$61,4,FALSE),"")</f>
        <v>1259</v>
      </c>
      <c r="O406">
        <f t="shared" si="16"/>
        <v>0.52669172932330832</v>
      </c>
      <c r="Q406" t="str">
        <f>Orders!D406</f>
        <v>PROD-008</v>
      </c>
    </row>
    <row r="407" spans="1:17" x14ac:dyDescent="0.3">
      <c r="A407" t="str">
        <f>Orders!A407</f>
        <v>ORD-00406</v>
      </c>
      <c r="B407">
        <f>Orders!B407</f>
        <v>45407</v>
      </c>
      <c r="C407">
        <f>Orders!I407</f>
        <v>23140.26</v>
      </c>
      <c r="D407" t="str">
        <f>Orders!E407</f>
        <v>R022</v>
      </c>
      <c r="E407" t="str">
        <f>IFERROR(VLOOKUP(Orders!D407,Products!$A$2:$C$61,3,FALSE),"Unknown")</f>
        <v>Sports</v>
      </c>
      <c r="F407" t="str">
        <f>IFERROR(VLOOKUP(Orders!C407,Customers!$A$2:$E$301,5,FALSE),"Unknown")</f>
        <v>Retail</v>
      </c>
      <c r="G407">
        <f>IFERROR(VLOOKUP(Orders!C407,Customers!$A$2:$C$301,3,FALSE),"")</f>
        <v>36</v>
      </c>
      <c r="H407" t="str">
        <f>VLOOKUP(D407,Sales_Reps!$A$2:$C$31,3,FALSE)</f>
        <v>East</v>
      </c>
      <c r="I407" s="44">
        <f t="shared" si="15"/>
        <v>45383</v>
      </c>
      <c r="L407" t="str">
        <f>Orders!K407</f>
        <v>Pune</v>
      </c>
      <c r="M407">
        <f>Orders!G407</f>
        <v>2860</v>
      </c>
      <c r="N407">
        <f>IFERROR(VLOOKUP(Orders!D407,Products!$A$2:$D$61,4,FALSE),"")</f>
        <v>2028</v>
      </c>
      <c r="O407">
        <f t="shared" si="16"/>
        <v>0.29090909090909089</v>
      </c>
      <c r="Q407" t="str">
        <f>Orders!D407</f>
        <v>PROD-055</v>
      </c>
    </row>
    <row r="408" spans="1:17" x14ac:dyDescent="0.3">
      <c r="A408" t="str">
        <f>Orders!A408</f>
        <v>ORD-00407</v>
      </c>
      <c r="B408">
        <f>Orders!B408</f>
        <v>45591</v>
      </c>
      <c r="C408">
        <f>Orders!I408</f>
        <v>6533.1</v>
      </c>
      <c r="D408" t="str">
        <f>Orders!E408</f>
        <v>R007</v>
      </c>
      <c r="E408" t="str">
        <f>IFERROR(VLOOKUP(Orders!D408,Products!$A$2:$C$61,3,FALSE),"Unknown")</f>
        <v>Electronics</v>
      </c>
      <c r="F408" t="str">
        <f>IFERROR(VLOOKUP(Orders!C408,Customers!$A$2:$E$301,5,FALSE),"Unknown")</f>
        <v>Retail</v>
      </c>
      <c r="G408">
        <f>IFERROR(VLOOKUP(Orders!C408,Customers!$A$2:$C$301,3,FALSE),"")</f>
        <v>35</v>
      </c>
      <c r="H408" t="str">
        <f>VLOOKUP(D408,Sales_Reps!$A$2:$C$31,3,FALSE)</f>
        <v>North</v>
      </c>
      <c r="I408" s="44">
        <f t="shared" si="15"/>
        <v>45566</v>
      </c>
      <c r="L408" t="str">
        <f>Orders!K408</f>
        <v>Delhi</v>
      </c>
      <c r="M408">
        <f>Orders!G408</f>
        <v>1220</v>
      </c>
      <c r="N408">
        <f>IFERROR(VLOOKUP(Orders!D408,Products!$A$2:$D$61,4,FALSE),"")</f>
        <v>517</v>
      </c>
      <c r="O408">
        <f t="shared" si="16"/>
        <v>0.57622950819672136</v>
      </c>
      <c r="Q408" t="str">
        <f>Orders!D408</f>
        <v>PROD-009</v>
      </c>
    </row>
    <row r="409" spans="1:17" x14ac:dyDescent="0.3">
      <c r="A409" t="str">
        <f>Orders!A409</f>
        <v>ORD-00408</v>
      </c>
      <c r="B409">
        <f>Orders!B409</f>
        <v>45584</v>
      </c>
      <c r="C409">
        <f>Orders!I409</f>
        <v>2138.34</v>
      </c>
      <c r="D409" t="str">
        <f>Orders!E409</f>
        <v>R026</v>
      </c>
      <c r="E409" t="str">
        <f>IFERROR(VLOOKUP(Orders!D409,Products!$A$2:$C$61,3,FALSE),"Unknown")</f>
        <v>Grocery</v>
      </c>
      <c r="F409" t="str">
        <f>IFERROR(VLOOKUP(Orders!C409,Customers!$A$2:$E$301,5,FALSE),"Unknown")</f>
        <v>Corporate</v>
      </c>
      <c r="G409">
        <f>IFERROR(VLOOKUP(Orders!C409,Customers!$A$2:$C$301,3,FALSE),"")</f>
        <v>31</v>
      </c>
      <c r="H409" t="str">
        <f>VLOOKUP(D409,Sales_Reps!$A$2:$C$31,3,FALSE)</f>
        <v>West</v>
      </c>
      <c r="I409" s="44">
        <f t="shared" si="15"/>
        <v>45566</v>
      </c>
      <c r="L409" t="str">
        <f>Orders!K409</f>
        <v>Delhi</v>
      </c>
      <c r="M409">
        <f>Orders!G409</f>
        <v>2270</v>
      </c>
      <c r="N409">
        <f>IFERROR(VLOOKUP(Orders!D409,Products!$A$2:$D$61,4,FALSE),"")</f>
        <v>1412</v>
      </c>
      <c r="O409">
        <f t="shared" si="16"/>
        <v>0.37797356828193834</v>
      </c>
      <c r="Q409" t="str">
        <f>Orders!D409</f>
        <v>PROD-022</v>
      </c>
    </row>
    <row r="410" spans="1:17" x14ac:dyDescent="0.3">
      <c r="A410" t="str">
        <f>Orders!A410</f>
        <v>ORD-00409</v>
      </c>
      <c r="B410">
        <f>Orders!B410</f>
        <v>45581</v>
      </c>
      <c r="C410">
        <f>Orders!I410</f>
        <v>1289.6400000000001</v>
      </c>
      <c r="D410" t="str">
        <f>Orders!E410</f>
        <v>R002</v>
      </c>
      <c r="E410" t="str">
        <f>IFERROR(VLOOKUP(Orders!D410,Products!$A$2:$C$61,3,FALSE),"Unknown")</f>
        <v>Home</v>
      </c>
      <c r="F410" t="str">
        <f>IFERROR(VLOOKUP(Orders!C410,Customers!$A$2:$E$301,5,FALSE),"Unknown")</f>
        <v>SMB</v>
      </c>
      <c r="G410">
        <f>IFERROR(VLOOKUP(Orders!C410,Customers!$A$2:$C$301,3,FALSE),"")</f>
        <v>65</v>
      </c>
      <c r="H410" t="str">
        <f>VLOOKUP(D410,Sales_Reps!$A$2:$C$31,3,FALSE)</f>
        <v>North</v>
      </c>
      <c r="I410" s="44">
        <f t="shared" si="15"/>
        <v>45566</v>
      </c>
      <c r="L410" t="str">
        <f>Orders!K410</f>
        <v>Mumbai</v>
      </c>
      <c r="M410">
        <f>Orders!G410</f>
        <v>660</v>
      </c>
      <c r="N410">
        <f>IFERROR(VLOOKUP(Orders!D410,Products!$A$2:$D$61,4,FALSE),"")</f>
        <v>329</v>
      </c>
      <c r="O410">
        <f t="shared" si="16"/>
        <v>0.50151515151515147</v>
      </c>
      <c r="Q410" t="str">
        <f>Orders!D410</f>
        <v>PROD-037</v>
      </c>
    </row>
    <row r="411" spans="1:17" x14ac:dyDescent="0.3">
      <c r="A411" t="str">
        <f>Orders!A411</f>
        <v>ORD-00410</v>
      </c>
      <c r="B411">
        <f>Orders!B411</f>
        <v>45441</v>
      </c>
      <c r="C411">
        <f>Orders!I411</f>
        <v>2983.04</v>
      </c>
      <c r="D411" t="str">
        <f>Orders!E411</f>
        <v>R014</v>
      </c>
      <c r="E411" t="str">
        <f>IFERROR(VLOOKUP(Orders!D411,Products!$A$2:$C$61,3,FALSE),"Unknown")</f>
        <v>Apparel</v>
      </c>
      <c r="F411" t="str">
        <f>IFERROR(VLOOKUP(Orders!C411,Customers!$A$2:$E$301,5,FALSE),"Unknown")</f>
        <v>Corporate</v>
      </c>
      <c r="G411">
        <f>IFERROR(VLOOKUP(Orders!C411,Customers!$A$2:$C$301,3,FALSE),"")</f>
        <v>38</v>
      </c>
      <c r="H411" t="str">
        <f>VLOOKUP(D411,Sales_Reps!$A$2:$C$31,3,FALSE)</f>
        <v>South</v>
      </c>
      <c r="I411" s="44">
        <f t="shared" si="15"/>
        <v>45413</v>
      </c>
      <c r="L411" t="str">
        <f>Orders!K411</f>
        <v>Chennai</v>
      </c>
      <c r="M411">
        <f>Orders!G411</f>
        <v>3160</v>
      </c>
      <c r="N411">
        <f>IFERROR(VLOOKUP(Orders!D411,Products!$A$2:$D$61,4,FALSE),"")</f>
        <v>1886</v>
      </c>
      <c r="O411">
        <f t="shared" si="16"/>
        <v>0.4031645569620253</v>
      </c>
      <c r="Q411" t="str">
        <f>Orders!D411</f>
        <v>PROD-012</v>
      </c>
    </row>
    <row r="412" spans="1:17" x14ac:dyDescent="0.3">
      <c r="A412" t="str">
        <f>Orders!A412</f>
        <v>ORD-00411</v>
      </c>
      <c r="B412">
        <f>Orders!B412</f>
        <v>45408</v>
      </c>
      <c r="C412">
        <f>Orders!I412</f>
        <v>2574</v>
      </c>
      <c r="D412" t="str">
        <f>Orders!E412</f>
        <v>R013</v>
      </c>
      <c r="E412" t="str">
        <f>IFERROR(VLOOKUP(Orders!D412,Products!$A$2:$C$61,3,FALSE),"Unknown")</f>
        <v>Electronics</v>
      </c>
      <c r="F412" t="str">
        <f>IFERROR(VLOOKUP(Orders!C412,Customers!$A$2:$E$301,5,FALSE),"Unknown")</f>
        <v>Retail</v>
      </c>
      <c r="G412">
        <f>IFERROR(VLOOKUP(Orders!C412,Customers!$A$2:$C$301,3,FALSE),"")</f>
        <v>36</v>
      </c>
      <c r="H412" t="str">
        <f>VLOOKUP(D412,Sales_Reps!$A$2:$C$31,3,FALSE)</f>
        <v>South</v>
      </c>
      <c r="I412" s="44">
        <f t="shared" si="15"/>
        <v>45383</v>
      </c>
      <c r="L412" t="str">
        <f>Orders!K412</f>
        <v>Chennai</v>
      </c>
      <c r="M412">
        <f>Orders!G412</f>
        <v>2600</v>
      </c>
      <c r="N412">
        <f>IFERROR(VLOOKUP(Orders!D412,Products!$A$2:$D$61,4,FALSE),"")</f>
        <v>1052</v>
      </c>
      <c r="O412">
        <f t="shared" si="16"/>
        <v>0.5953846153846154</v>
      </c>
      <c r="Q412" t="str">
        <f>Orders!D412</f>
        <v>PROD-002</v>
      </c>
    </row>
    <row r="413" spans="1:17" x14ac:dyDescent="0.3">
      <c r="A413" t="str">
        <f>Orders!A413</f>
        <v>ORD-00412</v>
      </c>
      <c r="B413">
        <f>Orders!B413</f>
        <v>45515</v>
      </c>
      <c r="C413">
        <f>Orders!I413</f>
        <v>14991.72</v>
      </c>
      <c r="D413" t="str">
        <f>Orders!E413</f>
        <v>R014</v>
      </c>
      <c r="E413" t="str">
        <f>IFERROR(VLOOKUP(Orders!D413,Products!$A$2:$C$61,3,FALSE),"Unknown")</f>
        <v>Home</v>
      </c>
      <c r="F413" t="str">
        <f>IFERROR(VLOOKUP(Orders!C413,Customers!$A$2:$E$301,5,FALSE),"Unknown")</f>
        <v>Retail</v>
      </c>
      <c r="G413">
        <f>IFERROR(VLOOKUP(Orders!C413,Customers!$A$2:$C$301,3,FALSE),"")</f>
        <v>32</v>
      </c>
      <c r="H413" t="str">
        <f>VLOOKUP(D413,Sales_Reps!$A$2:$C$31,3,FALSE)</f>
        <v>South</v>
      </c>
      <c r="I413" s="44">
        <f t="shared" si="15"/>
        <v>45505</v>
      </c>
      <c r="L413" t="str">
        <f>Orders!K413</f>
        <v>Chennai</v>
      </c>
      <c r="M413">
        <f>Orders!G413</f>
        <v>4610</v>
      </c>
      <c r="N413">
        <f>IFERROR(VLOOKUP(Orders!D413,Products!$A$2:$D$61,4,FALSE),"")</f>
        <v>1850</v>
      </c>
      <c r="O413">
        <f t="shared" si="16"/>
        <v>0.59869848156182215</v>
      </c>
      <c r="Q413" t="str">
        <f>Orders!D413</f>
        <v>PROD-039</v>
      </c>
    </row>
    <row r="414" spans="1:17" x14ac:dyDescent="0.3">
      <c r="A414" t="str">
        <f>Orders!A414</f>
        <v>ORD-00413</v>
      </c>
      <c r="B414">
        <f>Orders!B414</f>
        <v>45412</v>
      </c>
      <c r="C414">
        <f>Orders!I414</f>
        <v>9860.76</v>
      </c>
      <c r="D414" t="str">
        <f>Orders!E414</f>
        <v>R018</v>
      </c>
      <c r="E414" t="str">
        <f>IFERROR(VLOOKUP(Orders!D414,Products!$A$2:$C$61,3,FALSE),"Unknown")</f>
        <v>Apparel</v>
      </c>
      <c r="F414" t="str">
        <f>IFERROR(VLOOKUP(Orders!C414,Customers!$A$2:$E$301,5,FALSE),"Unknown")</f>
        <v>Retail</v>
      </c>
      <c r="G414">
        <f>IFERROR(VLOOKUP(Orders!C414,Customers!$A$2:$C$301,3,FALSE),"")</f>
        <v>62</v>
      </c>
      <c r="H414" t="str">
        <f>VLOOKUP(D414,Sales_Reps!$A$2:$C$31,3,FALSE)</f>
        <v>East</v>
      </c>
      <c r="I414" s="44">
        <f t="shared" si="15"/>
        <v>45383</v>
      </c>
      <c r="L414" t="str">
        <f>Orders!K414</f>
        <v>Pune</v>
      </c>
      <c r="M414">
        <f>Orders!G414</f>
        <v>3640</v>
      </c>
      <c r="N414">
        <f>IFERROR(VLOOKUP(Orders!D414,Products!$A$2:$D$61,4,FALSE),"")</f>
        <v>2611</v>
      </c>
      <c r="O414">
        <f t="shared" si="16"/>
        <v>0.28269230769230769</v>
      </c>
      <c r="Q414" t="str">
        <f>Orders!D414</f>
        <v>PROD-013</v>
      </c>
    </row>
    <row r="415" spans="1:17" x14ac:dyDescent="0.3">
      <c r="A415" t="str">
        <f>Orders!A415</f>
        <v>ORD-00414</v>
      </c>
      <c r="B415">
        <f>Orders!B415</f>
        <v>45448</v>
      </c>
      <c r="C415">
        <f>Orders!I415</f>
        <v>14198.4</v>
      </c>
      <c r="D415" t="str">
        <f>Orders!E415</f>
        <v>R004</v>
      </c>
      <c r="E415" t="str">
        <f>IFERROR(VLOOKUP(Orders!D415,Products!$A$2:$C$61,3,FALSE),"Unknown")</f>
        <v>Apparel</v>
      </c>
      <c r="F415" t="str">
        <f>IFERROR(VLOOKUP(Orders!C415,Customers!$A$2:$E$301,5,FALSE),"Unknown")</f>
        <v>SMB</v>
      </c>
      <c r="G415">
        <f>IFERROR(VLOOKUP(Orders!C415,Customers!$A$2:$C$301,3,FALSE),"")</f>
        <v>29</v>
      </c>
      <c r="H415" t="str">
        <f>VLOOKUP(D415,Sales_Reps!$A$2:$C$31,3,FALSE)</f>
        <v>North</v>
      </c>
      <c r="I415" s="44">
        <f t="shared" si="15"/>
        <v>45444</v>
      </c>
      <c r="L415" t="str">
        <f>Orders!K415</f>
        <v>Delhi</v>
      </c>
      <c r="M415">
        <f>Orders!G415</f>
        <v>2720</v>
      </c>
      <c r="N415">
        <f>IFERROR(VLOOKUP(Orders!D415,Products!$A$2:$D$61,4,FALSE),"")</f>
        <v>1962</v>
      </c>
      <c r="O415">
        <f t="shared" si="16"/>
        <v>0.2786764705882353</v>
      </c>
      <c r="Q415" t="str">
        <f>Orders!D415</f>
        <v>PROD-015</v>
      </c>
    </row>
    <row r="416" spans="1:17" x14ac:dyDescent="0.3">
      <c r="A416" t="str">
        <f>Orders!A416</f>
        <v>ORD-00415</v>
      </c>
      <c r="B416">
        <f>Orders!B416</f>
        <v>45644</v>
      </c>
      <c r="C416">
        <f>Orders!I416</f>
        <v>16027.2</v>
      </c>
      <c r="D416" t="str">
        <f>Orders!E416</f>
        <v>R008</v>
      </c>
      <c r="E416" t="str">
        <f>IFERROR(VLOOKUP(Orders!D416,Products!$A$2:$C$61,3,FALSE),"Unknown")</f>
        <v>Sports</v>
      </c>
      <c r="F416" t="str">
        <f>IFERROR(VLOOKUP(Orders!C416,Customers!$A$2:$E$301,5,FALSE),"Unknown")</f>
        <v>Retail</v>
      </c>
      <c r="G416">
        <f>IFERROR(VLOOKUP(Orders!C416,Customers!$A$2:$C$301,3,FALSE),"")</f>
        <v>45</v>
      </c>
      <c r="H416" t="str">
        <f>VLOOKUP(D416,Sales_Reps!$A$2:$C$31,3,FALSE)</f>
        <v>North</v>
      </c>
      <c r="I416" s="44">
        <f t="shared" si="15"/>
        <v>45627</v>
      </c>
      <c r="L416" t="str">
        <f>Orders!K416</f>
        <v>Delhi</v>
      </c>
      <c r="M416">
        <f>Orders!G416</f>
        <v>3780</v>
      </c>
      <c r="N416">
        <f>IFERROR(VLOOKUP(Orders!D416,Products!$A$2:$D$61,4,FALSE),"")</f>
        <v>1860</v>
      </c>
      <c r="O416">
        <f t="shared" si="16"/>
        <v>0.50793650793650791</v>
      </c>
      <c r="Q416" t="str">
        <f>Orders!D416</f>
        <v>PROD-059</v>
      </c>
    </row>
    <row r="417" spans="1:17" x14ac:dyDescent="0.3">
      <c r="A417" t="str">
        <f>Orders!A417</f>
        <v>ORD-00416</v>
      </c>
      <c r="B417">
        <f>Orders!B417</f>
        <v>45407</v>
      </c>
      <c r="C417">
        <f>Orders!I417</f>
        <v>7014.15</v>
      </c>
      <c r="D417" t="str">
        <f>Orders!E417</f>
        <v>R030</v>
      </c>
      <c r="E417" t="str">
        <f>IFERROR(VLOOKUP(Orders!D417,Products!$A$2:$C$61,3,FALSE),"Unknown")</f>
        <v>Home</v>
      </c>
      <c r="F417" t="str">
        <f>IFERROR(VLOOKUP(Orders!C417,Customers!$A$2:$E$301,5,FALSE),"Unknown")</f>
        <v>Retail</v>
      </c>
      <c r="G417">
        <f>IFERROR(VLOOKUP(Orders!C417,Customers!$A$2:$C$301,3,FALSE),"")</f>
        <v>52</v>
      </c>
      <c r="H417" t="str">
        <f>VLOOKUP(D417,Sales_Reps!$A$2:$C$31,3,FALSE)</f>
        <v>West</v>
      </c>
      <c r="I417" s="44">
        <f t="shared" si="15"/>
        <v>45383</v>
      </c>
      <c r="L417" t="str">
        <f>Orders!K417</f>
        <v>Hyderabad</v>
      </c>
      <c r="M417">
        <f>Orders!G417</f>
        <v>1090</v>
      </c>
      <c r="N417">
        <f>IFERROR(VLOOKUP(Orders!D417,Products!$A$2:$D$61,4,FALSE),"")</f>
        <v>464</v>
      </c>
      <c r="O417">
        <f t="shared" si="16"/>
        <v>0.57431192660550456</v>
      </c>
      <c r="Q417" t="str">
        <f>Orders!D417</f>
        <v>PROD-035</v>
      </c>
    </row>
    <row r="418" spans="1:17" x14ac:dyDescent="0.3">
      <c r="A418" t="str">
        <f>Orders!A418</f>
        <v>ORD-00417</v>
      </c>
      <c r="B418">
        <f>Orders!B418</f>
        <v>45581</v>
      </c>
      <c r="C418">
        <f>Orders!I418</f>
        <v>4663.0200000000004</v>
      </c>
      <c r="D418" t="str">
        <f>Orders!E418</f>
        <v>R028</v>
      </c>
      <c r="E418" t="str">
        <f>IFERROR(VLOOKUP(Orders!D418,Products!$A$2:$C$61,3,FALSE),"Unknown")</f>
        <v>Home</v>
      </c>
      <c r="F418" t="str">
        <f>IFERROR(VLOOKUP(Orders!C418,Customers!$A$2:$E$301,5,FALSE),"Unknown")</f>
        <v>Retail</v>
      </c>
      <c r="G418">
        <f>IFERROR(VLOOKUP(Orders!C418,Customers!$A$2:$C$301,3,FALSE),"")</f>
        <v>26</v>
      </c>
      <c r="H418" t="str">
        <f>VLOOKUP(D418,Sales_Reps!$A$2:$C$31,3,FALSE)</f>
        <v>West</v>
      </c>
      <c r="I418" s="44">
        <f t="shared" si="15"/>
        <v>45566</v>
      </c>
      <c r="L418" t="str">
        <f>Orders!K418</f>
        <v>Chennai</v>
      </c>
      <c r="M418">
        <f>Orders!G418</f>
        <v>1090</v>
      </c>
      <c r="N418">
        <f>IFERROR(VLOOKUP(Orders!D418,Products!$A$2:$D$61,4,FALSE),"")</f>
        <v>464</v>
      </c>
      <c r="O418">
        <f t="shared" si="16"/>
        <v>0.57431192660550456</v>
      </c>
      <c r="Q418" t="str">
        <f>Orders!D418</f>
        <v>PROD-035</v>
      </c>
    </row>
    <row r="419" spans="1:17" x14ac:dyDescent="0.3">
      <c r="A419" t="str">
        <f>Orders!A419</f>
        <v>ORD-00418</v>
      </c>
      <c r="B419">
        <f>Orders!B419</f>
        <v>45366</v>
      </c>
      <c r="C419">
        <f>Orders!I419</f>
        <v>9412.5</v>
      </c>
      <c r="D419" t="str">
        <f>Orders!E419</f>
        <v>R030</v>
      </c>
      <c r="E419" t="str">
        <f>IFERROR(VLOOKUP(Orders!D419,Products!$A$2:$C$61,3,FALSE),"Unknown")</f>
        <v>Apparel</v>
      </c>
      <c r="F419" t="str">
        <f>IFERROR(VLOOKUP(Orders!C419,Customers!$A$2:$E$301,5,FALSE),"Unknown")</f>
        <v>Retail</v>
      </c>
      <c r="G419">
        <f>IFERROR(VLOOKUP(Orders!C419,Customers!$A$2:$C$301,3,FALSE),"")</f>
        <v>44</v>
      </c>
      <c r="H419" t="str">
        <f>VLOOKUP(D419,Sales_Reps!$A$2:$C$31,3,FALSE)</f>
        <v>West</v>
      </c>
      <c r="I419" s="44">
        <f t="shared" si="15"/>
        <v>45352</v>
      </c>
      <c r="L419" t="str">
        <f>Orders!K419</f>
        <v>Mumbai</v>
      </c>
      <c r="M419">
        <f>Orders!G419</f>
        <v>2510</v>
      </c>
      <c r="N419">
        <f>IFERROR(VLOOKUP(Orders!D419,Products!$A$2:$D$61,4,FALSE),"")</f>
        <v>1075</v>
      </c>
      <c r="O419">
        <f t="shared" si="16"/>
        <v>0.57171314741035861</v>
      </c>
      <c r="Q419" t="str">
        <f>Orders!D419</f>
        <v>PROD-017</v>
      </c>
    </row>
    <row r="420" spans="1:17" x14ac:dyDescent="0.3">
      <c r="A420" t="str">
        <f>Orders!A420</f>
        <v>ORD-00419</v>
      </c>
      <c r="B420">
        <f>Orders!B420</f>
        <v>45577</v>
      </c>
      <c r="C420">
        <f>Orders!I420</f>
        <v>14689</v>
      </c>
      <c r="D420" t="str">
        <f>Orders!E420</f>
        <v>R010</v>
      </c>
      <c r="E420" t="str">
        <f>IFERROR(VLOOKUP(Orders!D420,Products!$A$2:$C$61,3,FALSE),"Unknown")</f>
        <v>Electronics</v>
      </c>
      <c r="F420" t="str">
        <f>IFERROR(VLOOKUP(Orders!C420,Customers!$A$2:$E$301,5,FALSE),"Unknown")</f>
        <v>Retail</v>
      </c>
      <c r="G420">
        <f>IFERROR(VLOOKUP(Orders!C420,Customers!$A$2:$C$301,3,FALSE),"")</f>
        <v>43</v>
      </c>
      <c r="H420" t="str">
        <f>VLOOKUP(D420,Sales_Reps!$A$2:$C$31,3,FALSE)</f>
        <v>South</v>
      </c>
      <c r="I420" s="44">
        <f t="shared" si="15"/>
        <v>45566</v>
      </c>
      <c r="L420" t="str">
        <f>Orders!K420</f>
        <v>Pune</v>
      </c>
      <c r="M420">
        <f>Orders!G420</f>
        <v>3970</v>
      </c>
      <c r="N420">
        <f>IFERROR(VLOOKUP(Orders!D420,Products!$A$2:$D$61,4,FALSE),"")</f>
        <v>2865</v>
      </c>
      <c r="O420">
        <f t="shared" si="16"/>
        <v>0.27833753148614609</v>
      </c>
      <c r="Q420" t="str">
        <f>Orders!D420</f>
        <v>PROD-006</v>
      </c>
    </row>
    <row r="421" spans="1:17" x14ac:dyDescent="0.3">
      <c r="A421" t="str">
        <f>Orders!A421</f>
        <v>ORD-00420</v>
      </c>
      <c r="B421">
        <f>Orders!B421</f>
        <v>45333</v>
      </c>
      <c r="C421">
        <f>Orders!I421</f>
        <v>30879.09</v>
      </c>
      <c r="D421" t="str">
        <f>Orders!E421</f>
        <v>R001</v>
      </c>
      <c r="E421" t="str">
        <f>IFERROR(VLOOKUP(Orders!D421,Products!$A$2:$C$61,3,FALSE),"Unknown")</f>
        <v>Grocery</v>
      </c>
      <c r="F421" t="str">
        <f>IFERROR(VLOOKUP(Orders!C421,Customers!$A$2:$E$301,5,FALSE),"Unknown")</f>
        <v>Retail</v>
      </c>
      <c r="G421">
        <f>IFERROR(VLOOKUP(Orders!C421,Customers!$A$2:$C$301,3,FALSE),"")</f>
        <v>44</v>
      </c>
      <c r="H421" t="str">
        <f>VLOOKUP(D421,Sales_Reps!$A$2:$C$31,3,FALSE)</f>
        <v>North</v>
      </c>
      <c r="I421" s="44">
        <f t="shared" si="15"/>
        <v>45323</v>
      </c>
      <c r="L421" t="str">
        <f>Orders!K421</f>
        <v>Mumbai</v>
      </c>
      <c r="M421">
        <f>Orders!G421</f>
        <v>4070</v>
      </c>
      <c r="N421">
        <f>IFERROR(VLOOKUP(Orders!D421,Products!$A$2:$D$61,4,FALSE),"")</f>
        <v>2027</v>
      </c>
      <c r="O421">
        <f t="shared" si="16"/>
        <v>0.50196560196560192</v>
      </c>
      <c r="Q421" t="str">
        <f>Orders!D421</f>
        <v>PROD-026</v>
      </c>
    </row>
    <row r="422" spans="1:17" x14ac:dyDescent="0.3">
      <c r="A422" t="str">
        <f>Orders!A422</f>
        <v>ORD-00421</v>
      </c>
      <c r="B422">
        <f>Orders!B422</f>
        <v>45418</v>
      </c>
      <c r="C422">
        <f>Orders!I422</f>
        <v>30140.1</v>
      </c>
      <c r="D422" t="str">
        <f>Orders!E422</f>
        <v>R004</v>
      </c>
      <c r="E422" t="str">
        <f>IFERROR(VLOOKUP(Orders!D422,Products!$A$2:$C$61,3,FALSE),"Unknown")</f>
        <v>Home</v>
      </c>
      <c r="F422" t="str">
        <f>IFERROR(VLOOKUP(Orders!C422,Customers!$A$2:$E$301,5,FALSE),"Unknown")</f>
        <v>Retail</v>
      </c>
      <c r="G422">
        <f>IFERROR(VLOOKUP(Orders!C422,Customers!$A$2:$C$301,3,FALSE),"")</f>
        <v>24</v>
      </c>
      <c r="H422" t="str">
        <f>VLOOKUP(D422,Sales_Reps!$A$2:$C$31,3,FALSE)</f>
        <v>North</v>
      </c>
      <c r="I422" s="44">
        <f t="shared" si="15"/>
        <v>45413</v>
      </c>
      <c r="L422" t="str">
        <f>Orders!K422</f>
        <v>Chennai</v>
      </c>
      <c r="M422">
        <f>Orders!G422</f>
        <v>5490</v>
      </c>
      <c r="N422">
        <f>IFERROR(VLOOKUP(Orders!D422,Products!$A$2:$D$61,4,FALSE),"")</f>
        <v>2549</v>
      </c>
      <c r="O422">
        <f t="shared" si="16"/>
        <v>0.53570127504553733</v>
      </c>
      <c r="Q422" t="str">
        <f>Orders!D422</f>
        <v>PROD-038</v>
      </c>
    </row>
    <row r="423" spans="1:17" x14ac:dyDescent="0.3">
      <c r="A423" t="str">
        <f>Orders!A423</f>
        <v>ORD-00422</v>
      </c>
      <c r="B423">
        <f>Orders!B423</f>
        <v>45615</v>
      </c>
      <c r="C423">
        <f>Orders!I423</f>
        <v>8762.76</v>
      </c>
      <c r="D423" t="str">
        <f>Orders!E423</f>
        <v>R022</v>
      </c>
      <c r="E423" t="str">
        <f>IFERROR(VLOOKUP(Orders!D423,Products!$A$2:$C$61,3,FALSE),"Unknown")</f>
        <v>Sports</v>
      </c>
      <c r="F423" t="str">
        <f>IFERROR(VLOOKUP(Orders!C423,Customers!$A$2:$E$301,5,FALSE),"Unknown")</f>
        <v>Retail</v>
      </c>
      <c r="G423">
        <f>IFERROR(VLOOKUP(Orders!C423,Customers!$A$2:$C$301,3,FALSE),"")</f>
        <v>52</v>
      </c>
      <c r="H423" t="str">
        <f>VLOOKUP(D423,Sales_Reps!$A$2:$C$31,3,FALSE)</f>
        <v>East</v>
      </c>
      <c r="I423" s="44">
        <f t="shared" si="15"/>
        <v>45597</v>
      </c>
      <c r="L423" t="str">
        <f>Orders!K423</f>
        <v>Bengaluru</v>
      </c>
      <c r="M423">
        <f>Orders!G423</f>
        <v>1010</v>
      </c>
      <c r="N423">
        <f>IFERROR(VLOOKUP(Orders!D423,Products!$A$2:$D$61,4,FALSE),"")</f>
        <v>516</v>
      </c>
      <c r="O423">
        <f t="shared" si="16"/>
        <v>0.4891089108910891</v>
      </c>
      <c r="Q423" t="str">
        <f>Orders!D423</f>
        <v>PROD-054</v>
      </c>
    </row>
    <row r="424" spans="1:17" x14ac:dyDescent="0.3">
      <c r="A424" t="str">
        <f>Orders!A424</f>
        <v>ORD-00423</v>
      </c>
      <c r="B424">
        <f>Orders!B424</f>
        <v>45631</v>
      </c>
      <c r="C424">
        <f>Orders!I424</f>
        <v>19588.32</v>
      </c>
      <c r="D424" t="str">
        <f>Orders!E424</f>
        <v>R008</v>
      </c>
      <c r="E424" t="str">
        <f>IFERROR(VLOOKUP(Orders!D424,Products!$A$2:$C$61,3,FALSE),"Unknown")</f>
        <v>Grocery</v>
      </c>
      <c r="F424" t="str">
        <f>IFERROR(VLOOKUP(Orders!C424,Customers!$A$2:$E$301,5,FALSE),"Unknown")</f>
        <v>Retail</v>
      </c>
      <c r="G424">
        <f>IFERROR(VLOOKUP(Orders!C424,Customers!$A$2:$C$301,3,FALSE),"")</f>
        <v>37</v>
      </c>
      <c r="H424" t="str">
        <f>VLOOKUP(D424,Sales_Reps!$A$2:$C$31,3,FALSE)</f>
        <v>North</v>
      </c>
      <c r="I424" s="44">
        <f t="shared" si="15"/>
        <v>45627</v>
      </c>
      <c r="L424" t="str">
        <f>Orders!K424</f>
        <v>Bengaluru</v>
      </c>
      <c r="M424">
        <f>Orders!G424</f>
        <v>3660</v>
      </c>
      <c r="N424">
        <f>IFERROR(VLOOKUP(Orders!D424,Products!$A$2:$D$61,4,FALSE),"")</f>
        <v>2214</v>
      </c>
      <c r="O424">
        <f t="shared" si="16"/>
        <v>0.39508196721311473</v>
      </c>
      <c r="Q424" t="str">
        <f>Orders!D424</f>
        <v>PROD-028</v>
      </c>
    </row>
    <row r="425" spans="1:17" x14ac:dyDescent="0.3">
      <c r="A425" t="str">
        <f>Orders!A425</f>
        <v>ORD-00424</v>
      </c>
      <c r="B425">
        <f>Orders!B425</f>
        <v>45524</v>
      </c>
      <c r="C425">
        <f>Orders!I425</f>
        <v>18485.099999999999</v>
      </c>
      <c r="D425" t="str">
        <f>Orders!E425</f>
        <v>R016</v>
      </c>
      <c r="E425" t="str">
        <f>IFERROR(VLOOKUP(Orders!D425,Products!$A$2:$C$61,3,FALSE),"Unknown")</f>
        <v>Beauty</v>
      </c>
      <c r="F425" t="str">
        <f>IFERROR(VLOOKUP(Orders!C425,Customers!$A$2:$E$301,5,FALSE),"Unknown")</f>
        <v>Retail</v>
      </c>
      <c r="G425">
        <f>IFERROR(VLOOKUP(Orders!C425,Customers!$A$2:$C$301,3,FALSE),"")</f>
        <v>22</v>
      </c>
      <c r="H425" t="str">
        <f>VLOOKUP(D425,Sales_Reps!$A$2:$C$31,3,FALSE)</f>
        <v>South</v>
      </c>
      <c r="I425" s="44">
        <f t="shared" si="15"/>
        <v>45505</v>
      </c>
      <c r="L425" t="str">
        <f>Orders!K425</f>
        <v>Pune</v>
      </c>
      <c r="M425">
        <f>Orders!G425</f>
        <v>3450</v>
      </c>
      <c r="N425">
        <f>IFERROR(VLOOKUP(Orders!D425,Products!$A$2:$D$61,4,FALSE),"")</f>
        <v>2420</v>
      </c>
      <c r="O425">
        <f t="shared" si="16"/>
        <v>0.29855072463768118</v>
      </c>
      <c r="Q425" t="str">
        <f>Orders!D425</f>
        <v>PROD-047</v>
      </c>
    </row>
    <row r="426" spans="1:17" x14ac:dyDescent="0.3">
      <c r="A426" t="str">
        <f>Orders!A426</f>
        <v>ORD-00425</v>
      </c>
      <c r="B426">
        <f>Orders!B426</f>
        <v>45379</v>
      </c>
      <c r="C426">
        <f>Orders!I426</f>
        <v>31176.2</v>
      </c>
      <c r="D426" t="str">
        <f>Orders!E426</f>
        <v>R011</v>
      </c>
      <c r="E426" t="str">
        <f>IFERROR(VLOOKUP(Orders!D426,Products!$A$2:$C$61,3,FALSE),"Unknown")</f>
        <v>Grocery</v>
      </c>
      <c r="F426" t="str">
        <f>IFERROR(VLOOKUP(Orders!C426,Customers!$A$2:$E$301,5,FALSE),"Unknown")</f>
        <v>Retail</v>
      </c>
      <c r="G426">
        <f>IFERROR(VLOOKUP(Orders!C426,Customers!$A$2:$C$301,3,FALSE),"")</f>
        <v>37</v>
      </c>
      <c r="H426" t="str">
        <f>VLOOKUP(D426,Sales_Reps!$A$2:$C$31,3,FALSE)</f>
        <v>South</v>
      </c>
      <c r="I426" s="44">
        <f t="shared" si="15"/>
        <v>45352</v>
      </c>
      <c r="L426" t="str">
        <f>Orders!K426</f>
        <v>Chennai</v>
      </c>
      <c r="M426">
        <f>Orders!G426</f>
        <v>4070</v>
      </c>
      <c r="N426">
        <f>IFERROR(VLOOKUP(Orders!D426,Products!$A$2:$D$61,4,FALSE),"")</f>
        <v>2027</v>
      </c>
      <c r="O426">
        <f t="shared" si="16"/>
        <v>0.50196560196560192</v>
      </c>
      <c r="Q426" t="str">
        <f>Orders!D426</f>
        <v>PROD-026</v>
      </c>
    </row>
    <row r="427" spans="1:17" x14ac:dyDescent="0.3">
      <c r="A427" t="str">
        <f>Orders!A427</f>
        <v>ORD-00426</v>
      </c>
      <c r="B427">
        <f>Orders!B427</f>
        <v>45454</v>
      </c>
      <c r="C427">
        <f>Orders!I427</f>
        <v>27246.240000000002</v>
      </c>
      <c r="D427" t="str">
        <f>Orders!E427</f>
        <v>R025</v>
      </c>
      <c r="E427" t="str">
        <f>IFERROR(VLOOKUP(Orders!D427,Products!$A$2:$C$61,3,FALSE),"Unknown")</f>
        <v>Electronics</v>
      </c>
      <c r="F427" t="str">
        <f>IFERROR(VLOOKUP(Orders!C427,Customers!$A$2:$E$301,5,FALSE),"Unknown")</f>
        <v>Corporate</v>
      </c>
      <c r="G427">
        <f>IFERROR(VLOOKUP(Orders!C427,Customers!$A$2:$C$301,3,FALSE),"")</f>
        <v>41</v>
      </c>
      <c r="H427" t="str">
        <f>VLOOKUP(D427,Sales_Reps!$A$2:$C$31,3,FALSE)</f>
        <v>West</v>
      </c>
      <c r="I427" s="44">
        <f t="shared" si="15"/>
        <v>45444</v>
      </c>
      <c r="L427" t="str">
        <f>Orders!K427</f>
        <v>Bengaluru</v>
      </c>
      <c r="M427">
        <f>Orders!G427</f>
        <v>3570</v>
      </c>
      <c r="N427">
        <f>IFERROR(VLOOKUP(Orders!D427,Products!$A$2:$D$61,4,FALSE),"")</f>
        <v>1665</v>
      </c>
      <c r="O427">
        <f t="shared" si="16"/>
        <v>0.53361344537815125</v>
      </c>
      <c r="Q427" t="str">
        <f>Orders!D427</f>
        <v>PROD-003</v>
      </c>
    </row>
    <row r="428" spans="1:17" x14ac:dyDescent="0.3">
      <c r="A428" t="str">
        <f>Orders!A428</f>
        <v>ORD-00427</v>
      </c>
      <c r="B428">
        <f>Orders!B428</f>
        <v>45562</v>
      </c>
      <c r="C428">
        <f>Orders!I428</f>
        <v>54270.8</v>
      </c>
      <c r="D428" t="str">
        <f>Orders!E428</f>
        <v>R005</v>
      </c>
      <c r="E428" t="str">
        <f>IFERROR(VLOOKUP(Orders!D428,Products!$A$2:$C$61,3,FALSE),"Unknown")</f>
        <v>Sports</v>
      </c>
      <c r="F428" t="str">
        <f>IFERROR(VLOOKUP(Orders!C428,Customers!$A$2:$E$301,5,FALSE),"Unknown")</f>
        <v>Corporate</v>
      </c>
      <c r="G428">
        <f>IFERROR(VLOOKUP(Orders!C428,Customers!$A$2:$C$301,3,FALSE),"")</f>
        <v>57</v>
      </c>
      <c r="H428" t="str">
        <f>VLOOKUP(D428,Sales_Reps!$A$2:$C$31,3,FALSE)</f>
        <v>North</v>
      </c>
      <c r="I428" s="44">
        <f t="shared" si="15"/>
        <v>45536</v>
      </c>
      <c r="L428" t="str">
        <f>Orders!K428</f>
        <v>Bengaluru</v>
      </c>
      <c r="M428">
        <f>Orders!G428</f>
        <v>6940</v>
      </c>
      <c r="N428">
        <f>IFERROR(VLOOKUP(Orders!D428,Products!$A$2:$D$61,4,FALSE),"")</f>
        <v>2827</v>
      </c>
      <c r="O428">
        <f t="shared" si="16"/>
        <v>0.5926512968299712</v>
      </c>
      <c r="Q428" t="str">
        <f>Orders!D428</f>
        <v>PROD-056</v>
      </c>
    </row>
    <row r="429" spans="1:17" x14ac:dyDescent="0.3">
      <c r="A429" t="str">
        <f>Orders!A429</f>
        <v>ORD-00428</v>
      </c>
      <c r="B429">
        <f>Orders!B429</f>
        <v>45489</v>
      </c>
      <c r="C429">
        <f>Orders!I429</f>
        <v>11241.45</v>
      </c>
      <c r="D429" t="str">
        <f>Orders!E429</f>
        <v>R014</v>
      </c>
      <c r="E429" t="str">
        <f>IFERROR(VLOOKUP(Orders!D429,Products!$A$2:$C$61,3,FALSE),"Unknown")</f>
        <v>Beauty</v>
      </c>
      <c r="F429" t="str">
        <f>IFERROR(VLOOKUP(Orders!C429,Customers!$A$2:$E$301,5,FALSE),"Unknown")</f>
        <v>SMB</v>
      </c>
      <c r="G429">
        <f>IFERROR(VLOOKUP(Orders!C429,Customers!$A$2:$C$301,3,FALSE),"")</f>
        <v>60</v>
      </c>
      <c r="H429" t="str">
        <f>VLOOKUP(D429,Sales_Reps!$A$2:$C$31,3,FALSE)</f>
        <v>South</v>
      </c>
      <c r="I429" s="44">
        <f t="shared" si="15"/>
        <v>45474</v>
      </c>
      <c r="L429" t="str">
        <f>Orders!K429</f>
        <v>Pune</v>
      </c>
      <c r="M429">
        <f>Orders!G429</f>
        <v>1650</v>
      </c>
      <c r="N429">
        <f>IFERROR(VLOOKUP(Orders!D429,Products!$A$2:$D$61,4,FALSE),"")</f>
        <v>1222</v>
      </c>
      <c r="O429">
        <f t="shared" si="16"/>
        <v>0.2593939393939394</v>
      </c>
      <c r="Q429" t="str">
        <f>Orders!D429</f>
        <v>PROD-044</v>
      </c>
    </row>
    <row r="430" spans="1:17" x14ac:dyDescent="0.3">
      <c r="A430" t="str">
        <f>Orders!A430</f>
        <v>ORD-00429</v>
      </c>
      <c r="B430">
        <f>Orders!B430</f>
        <v>45624</v>
      </c>
      <c r="C430">
        <f>Orders!I430</f>
        <v>10696.4</v>
      </c>
      <c r="D430" t="str">
        <f>Orders!E430</f>
        <v>R014</v>
      </c>
      <c r="E430" t="str">
        <f>IFERROR(VLOOKUP(Orders!D430,Products!$A$2:$C$61,3,FALSE),"Unknown")</f>
        <v>Electronics</v>
      </c>
      <c r="F430" t="str">
        <f>IFERROR(VLOOKUP(Orders!C430,Customers!$A$2:$E$301,5,FALSE),"Unknown")</f>
        <v>Corporate</v>
      </c>
      <c r="G430">
        <f>IFERROR(VLOOKUP(Orders!C430,Customers!$A$2:$C$301,3,FALSE),"")</f>
        <v>41</v>
      </c>
      <c r="H430" t="str">
        <f>VLOOKUP(D430,Sales_Reps!$A$2:$C$31,3,FALSE)</f>
        <v>South</v>
      </c>
      <c r="I430" s="44">
        <f t="shared" si="15"/>
        <v>45597</v>
      </c>
      <c r="L430" t="str">
        <f>Orders!K430</f>
        <v>Bengaluru</v>
      </c>
      <c r="M430">
        <f>Orders!G430</f>
        <v>1430</v>
      </c>
      <c r="N430">
        <f>IFERROR(VLOOKUP(Orders!D430,Products!$A$2:$D$61,4,FALSE),"")</f>
        <v>861</v>
      </c>
      <c r="O430">
        <f t="shared" si="16"/>
        <v>0.39790209790209791</v>
      </c>
      <c r="Q430" t="str">
        <f>Orders!D430</f>
        <v>PROD-007</v>
      </c>
    </row>
    <row r="431" spans="1:17" x14ac:dyDescent="0.3">
      <c r="A431" t="str">
        <f>Orders!A431</f>
        <v>ORD-00430</v>
      </c>
      <c r="B431">
        <f>Orders!B431</f>
        <v>45480</v>
      </c>
      <c r="C431">
        <f>Orders!I431</f>
        <v>15980.16</v>
      </c>
      <c r="D431" t="str">
        <f>Orders!E431</f>
        <v>R010</v>
      </c>
      <c r="E431" t="str">
        <f>IFERROR(VLOOKUP(Orders!D431,Products!$A$2:$C$61,3,FALSE),"Unknown")</f>
        <v>Grocery</v>
      </c>
      <c r="F431" t="str">
        <f>IFERROR(VLOOKUP(Orders!C431,Customers!$A$2:$E$301,5,FALSE),"Unknown")</f>
        <v>Corporate</v>
      </c>
      <c r="G431">
        <f>IFERROR(VLOOKUP(Orders!C431,Customers!$A$2:$C$301,3,FALSE),"")</f>
        <v>31</v>
      </c>
      <c r="H431" t="str">
        <f>VLOOKUP(D431,Sales_Reps!$A$2:$C$31,3,FALSE)</f>
        <v>South</v>
      </c>
      <c r="I431" s="44">
        <f t="shared" si="15"/>
        <v>45474</v>
      </c>
      <c r="L431" t="str">
        <f>Orders!K431</f>
        <v>Pune</v>
      </c>
      <c r="M431">
        <f>Orders!G431</f>
        <v>4060</v>
      </c>
      <c r="N431">
        <f>IFERROR(VLOOKUP(Orders!D431,Products!$A$2:$D$61,4,FALSE),"")</f>
        <v>2911</v>
      </c>
      <c r="O431">
        <f t="shared" si="16"/>
        <v>0.28300492610837441</v>
      </c>
      <c r="Q431" t="str">
        <f>Orders!D431</f>
        <v>PROD-025</v>
      </c>
    </row>
    <row r="432" spans="1:17" x14ac:dyDescent="0.3">
      <c r="A432" t="str">
        <f>Orders!A432</f>
        <v>ORD-00431</v>
      </c>
      <c r="B432">
        <f>Orders!B432</f>
        <v>45420</v>
      </c>
      <c r="C432">
        <f>Orders!I432</f>
        <v>2763.9</v>
      </c>
      <c r="D432" t="str">
        <f>Orders!E432</f>
        <v>R005</v>
      </c>
      <c r="E432" t="str">
        <f>IFERROR(VLOOKUP(Orders!D432,Products!$A$2:$C$61,3,FALSE),"Unknown")</f>
        <v>Home</v>
      </c>
      <c r="F432" t="str">
        <f>IFERROR(VLOOKUP(Orders!C432,Customers!$A$2:$E$301,5,FALSE),"Unknown")</f>
        <v>Retail</v>
      </c>
      <c r="G432">
        <f>IFERROR(VLOOKUP(Orders!C432,Customers!$A$2:$C$301,3,FALSE),"")</f>
        <v>52</v>
      </c>
      <c r="H432" t="str">
        <f>VLOOKUP(D432,Sales_Reps!$A$2:$C$31,3,FALSE)</f>
        <v>North</v>
      </c>
      <c r="I432" s="44">
        <f t="shared" si="15"/>
        <v>45413</v>
      </c>
      <c r="L432" t="str">
        <f>Orders!K432</f>
        <v>Mumbai</v>
      </c>
      <c r="M432">
        <f>Orders!G432</f>
        <v>370</v>
      </c>
      <c r="N432">
        <f>IFERROR(VLOOKUP(Orders!D432,Products!$A$2:$D$61,4,FALSE),"")</f>
        <v>288</v>
      </c>
      <c r="O432">
        <f t="shared" si="16"/>
        <v>0.22162162162162163</v>
      </c>
      <c r="Q432" t="str">
        <f>Orders!D432</f>
        <v>PROD-032</v>
      </c>
    </row>
    <row r="433" spans="1:17" x14ac:dyDescent="0.3">
      <c r="A433" t="str">
        <f>Orders!A433</f>
        <v>ORD-00432</v>
      </c>
      <c r="B433">
        <f>Orders!B433</f>
        <v>45322</v>
      </c>
      <c r="C433">
        <f>Orders!I433</f>
        <v>1170.4000000000001</v>
      </c>
      <c r="D433" t="str">
        <f>Orders!E433</f>
        <v>R010</v>
      </c>
      <c r="E433" t="str">
        <f>IFERROR(VLOOKUP(Orders!D433,Products!$A$2:$C$61,3,FALSE),"Unknown")</f>
        <v>Beauty</v>
      </c>
      <c r="F433" t="str">
        <f>IFERROR(VLOOKUP(Orders!C433,Customers!$A$2:$E$301,5,FALSE),"Unknown")</f>
        <v>Corporate</v>
      </c>
      <c r="G433">
        <f>IFERROR(VLOOKUP(Orders!C433,Customers!$A$2:$C$301,3,FALSE),"")</f>
        <v>52</v>
      </c>
      <c r="H433" t="str">
        <f>VLOOKUP(D433,Sales_Reps!$A$2:$C$31,3,FALSE)</f>
        <v>South</v>
      </c>
      <c r="I433" s="44">
        <f t="shared" si="15"/>
        <v>45292</v>
      </c>
      <c r="L433" t="str">
        <f>Orders!K433</f>
        <v>Pune</v>
      </c>
      <c r="M433">
        <f>Orders!G433</f>
        <v>1540</v>
      </c>
      <c r="N433">
        <f>IFERROR(VLOOKUP(Orders!D433,Products!$A$2:$D$61,4,FALSE),"")</f>
        <v>647</v>
      </c>
      <c r="O433">
        <f t="shared" si="16"/>
        <v>0.57987012987012987</v>
      </c>
      <c r="Q433" t="str">
        <f>Orders!D433</f>
        <v>PROD-041</v>
      </c>
    </row>
    <row r="434" spans="1:17" x14ac:dyDescent="0.3">
      <c r="A434" t="str">
        <f>Orders!A434</f>
        <v>ORD-00433</v>
      </c>
      <c r="B434">
        <f>Orders!B434</f>
        <v>45382</v>
      </c>
      <c r="C434">
        <f>Orders!I434</f>
        <v>21598.2</v>
      </c>
      <c r="D434" t="str">
        <f>Orders!E434</f>
        <v>R025</v>
      </c>
      <c r="E434" t="str">
        <f>IFERROR(VLOOKUP(Orders!D434,Products!$A$2:$C$61,3,FALSE),"Unknown")</f>
        <v>Electronics</v>
      </c>
      <c r="F434" t="str">
        <f>IFERROR(VLOOKUP(Orders!C434,Customers!$A$2:$E$301,5,FALSE),"Unknown")</f>
        <v>SMB</v>
      </c>
      <c r="G434">
        <f>IFERROR(VLOOKUP(Orders!C434,Customers!$A$2:$C$301,3,FALSE),"")</f>
        <v>24</v>
      </c>
      <c r="H434" t="str">
        <f>VLOOKUP(D434,Sales_Reps!$A$2:$C$31,3,FALSE)</f>
        <v>West</v>
      </c>
      <c r="I434" s="44">
        <f t="shared" si="15"/>
        <v>45352</v>
      </c>
      <c r="L434" t="str">
        <f>Orders!K434</f>
        <v>Pune</v>
      </c>
      <c r="M434">
        <f>Orders!G434</f>
        <v>2600</v>
      </c>
      <c r="N434">
        <f>IFERROR(VLOOKUP(Orders!D434,Products!$A$2:$D$61,4,FALSE),"")</f>
        <v>1052</v>
      </c>
      <c r="O434">
        <f t="shared" si="16"/>
        <v>0.5953846153846154</v>
      </c>
      <c r="Q434" t="str">
        <f>Orders!D434</f>
        <v>PROD-002</v>
      </c>
    </row>
    <row r="435" spans="1:17" x14ac:dyDescent="0.3">
      <c r="A435" t="str">
        <f>Orders!A435</f>
        <v>ORD-00434</v>
      </c>
      <c r="B435">
        <f>Orders!B435</f>
        <v>45497</v>
      </c>
      <c r="C435">
        <f>Orders!I435</f>
        <v>19337.04</v>
      </c>
      <c r="D435" t="str">
        <f>Orders!E435</f>
        <v>R015</v>
      </c>
      <c r="E435" t="str">
        <f>IFERROR(VLOOKUP(Orders!D435,Products!$A$2:$C$61,3,FALSE),"Unknown")</f>
        <v>Apparel</v>
      </c>
      <c r="F435" t="str">
        <f>IFERROR(VLOOKUP(Orders!C435,Customers!$A$2:$E$301,5,FALSE),"Unknown")</f>
        <v>SMB</v>
      </c>
      <c r="G435">
        <f>IFERROR(VLOOKUP(Orders!C435,Customers!$A$2:$C$301,3,FALSE),"")</f>
        <v>26</v>
      </c>
      <c r="H435" t="str">
        <f>VLOOKUP(D435,Sales_Reps!$A$2:$C$31,3,FALSE)</f>
        <v>South</v>
      </c>
      <c r="I435" s="44">
        <f t="shared" si="15"/>
        <v>45474</v>
      </c>
      <c r="L435" t="str">
        <f>Orders!K435</f>
        <v>Chennai</v>
      </c>
      <c r="M435">
        <f>Orders!G435</f>
        <v>2510</v>
      </c>
      <c r="N435">
        <f>IFERROR(VLOOKUP(Orders!D435,Products!$A$2:$D$61,4,FALSE),"")</f>
        <v>1075</v>
      </c>
      <c r="O435">
        <f t="shared" si="16"/>
        <v>0.57171314741035861</v>
      </c>
      <c r="Q435" t="str">
        <f>Orders!D435</f>
        <v>PROD-017</v>
      </c>
    </row>
    <row r="436" spans="1:17" x14ac:dyDescent="0.3">
      <c r="A436" t="str">
        <f>Orders!A436</f>
        <v>ORD-00435</v>
      </c>
      <c r="B436">
        <f>Orders!B436</f>
        <v>45510</v>
      </c>
      <c r="C436">
        <f>Orders!I436</f>
        <v>29293.68</v>
      </c>
      <c r="D436" t="str">
        <f>Orders!E436</f>
        <v>R003</v>
      </c>
      <c r="E436" t="str">
        <f>IFERROR(VLOOKUP(Orders!D436,Products!$A$2:$C$61,3,FALSE),"Unknown")</f>
        <v>Electronics</v>
      </c>
      <c r="F436" t="str">
        <f>IFERROR(VLOOKUP(Orders!C436,Customers!$A$2:$E$301,5,FALSE),"Unknown")</f>
        <v>Corporate</v>
      </c>
      <c r="G436">
        <f>IFERROR(VLOOKUP(Orders!C436,Customers!$A$2:$C$301,3,FALSE),"")</f>
        <v>31</v>
      </c>
      <c r="H436" t="str">
        <f>VLOOKUP(D436,Sales_Reps!$A$2:$C$31,3,FALSE)</f>
        <v>North</v>
      </c>
      <c r="I436" s="44">
        <f t="shared" si="15"/>
        <v>45505</v>
      </c>
      <c r="L436" t="str">
        <f>Orders!K436</f>
        <v>Pune</v>
      </c>
      <c r="M436">
        <f>Orders!G436</f>
        <v>5330</v>
      </c>
      <c r="N436">
        <f>IFERROR(VLOOKUP(Orders!D436,Products!$A$2:$D$61,4,FALSE),"")</f>
        <v>2405</v>
      </c>
      <c r="O436">
        <f t="shared" si="16"/>
        <v>0.54878048780487809</v>
      </c>
      <c r="Q436" t="str">
        <f>Orders!D436</f>
        <v>PROD-001</v>
      </c>
    </row>
    <row r="437" spans="1:17" x14ac:dyDescent="0.3">
      <c r="A437" t="str">
        <f>Orders!A437</f>
        <v>ORD-00436</v>
      </c>
      <c r="B437">
        <f>Orders!B437</f>
        <v>45522</v>
      </c>
      <c r="C437">
        <f>Orders!I437</f>
        <v>22783.8</v>
      </c>
      <c r="D437" t="str">
        <f>Orders!E437</f>
        <v>R014</v>
      </c>
      <c r="E437" t="str">
        <f>IFERROR(VLOOKUP(Orders!D437,Products!$A$2:$C$61,3,FALSE),"Unknown")</f>
        <v>Home</v>
      </c>
      <c r="F437" t="str">
        <f>IFERROR(VLOOKUP(Orders!C437,Customers!$A$2:$E$301,5,FALSE),"Unknown")</f>
        <v>Retail</v>
      </c>
      <c r="G437">
        <f>IFERROR(VLOOKUP(Orders!C437,Customers!$A$2:$C$301,3,FALSE),"")</f>
        <v>55</v>
      </c>
      <c r="H437" t="str">
        <f>VLOOKUP(D437,Sales_Reps!$A$2:$C$31,3,FALSE)</f>
        <v>South</v>
      </c>
      <c r="I437" s="44">
        <f t="shared" si="15"/>
        <v>45505</v>
      </c>
      <c r="L437" t="str">
        <f>Orders!K437</f>
        <v>Bengaluru</v>
      </c>
      <c r="M437">
        <f>Orders!G437</f>
        <v>5080</v>
      </c>
      <c r="N437">
        <f>IFERROR(VLOOKUP(Orders!D437,Products!$A$2:$D$61,4,FALSE),"")</f>
        <v>2459</v>
      </c>
      <c r="O437">
        <f t="shared" si="16"/>
        <v>0.51594488188976373</v>
      </c>
      <c r="Q437" t="str">
        <f>Orders!D437</f>
        <v>PROD-034</v>
      </c>
    </row>
    <row r="438" spans="1:17" x14ac:dyDescent="0.3">
      <c r="A438" t="str">
        <f>Orders!A438</f>
        <v>ORD-00437</v>
      </c>
      <c r="B438">
        <f>Orders!B438</f>
        <v>45381</v>
      </c>
      <c r="C438">
        <f>Orders!I438</f>
        <v>9316.23</v>
      </c>
      <c r="D438" t="str">
        <f>Orders!E438</f>
        <v>R025</v>
      </c>
      <c r="E438" t="str">
        <f>IFERROR(VLOOKUP(Orders!D438,Products!$A$2:$C$61,3,FALSE),"Unknown")</f>
        <v>Grocery</v>
      </c>
      <c r="F438" t="str">
        <f>IFERROR(VLOOKUP(Orders!C438,Customers!$A$2:$E$301,5,FALSE),"Unknown")</f>
        <v>SMB</v>
      </c>
      <c r="G438">
        <f>IFERROR(VLOOKUP(Orders!C438,Customers!$A$2:$C$301,3,FALSE),"")</f>
        <v>42</v>
      </c>
      <c r="H438" t="str">
        <f>VLOOKUP(D438,Sales_Reps!$A$2:$C$31,3,FALSE)</f>
        <v>West</v>
      </c>
      <c r="I438" s="44">
        <f t="shared" si="15"/>
        <v>45352</v>
      </c>
      <c r="L438" t="str">
        <f>Orders!K438</f>
        <v>Bengaluru</v>
      </c>
      <c r="M438">
        <f>Orders!G438</f>
        <v>4070</v>
      </c>
      <c r="N438">
        <f>IFERROR(VLOOKUP(Orders!D438,Products!$A$2:$D$61,4,FALSE),"")</f>
        <v>2027</v>
      </c>
      <c r="O438">
        <f t="shared" si="16"/>
        <v>0.50196560196560192</v>
      </c>
      <c r="Q438" t="str">
        <f>Orders!D438</f>
        <v>PROD-026</v>
      </c>
    </row>
    <row r="439" spans="1:17" x14ac:dyDescent="0.3">
      <c r="A439" t="str">
        <f>Orders!A439</f>
        <v>ORD-00438</v>
      </c>
      <c r="B439">
        <f>Orders!B439</f>
        <v>45511</v>
      </c>
      <c r="C439">
        <f>Orders!I439</f>
        <v>2013.76</v>
      </c>
      <c r="D439" t="str">
        <f>Orders!E439</f>
        <v>R013</v>
      </c>
      <c r="E439" t="str">
        <f>IFERROR(VLOOKUP(Orders!D439,Products!$A$2:$C$61,3,FALSE),"Unknown")</f>
        <v>Apparel</v>
      </c>
      <c r="F439" t="str">
        <f>IFERROR(VLOOKUP(Orders!C439,Customers!$A$2:$E$301,5,FALSE),"Unknown")</f>
        <v>Corporate</v>
      </c>
      <c r="G439">
        <f>IFERROR(VLOOKUP(Orders!C439,Customers!$A$2:$C$301,3,FALSE),"")</f>
        <v>56</v>
      </c>
      <c r="H439" t="str">
        <f>VLOOKUP(D439,Sales_Reps!$A$2:$C$31,3,FALSE)</f>
        <v>South</v>
      </c>
      <c r="I439" s="44">
        <f t="shared" si="15"/>
        <v>45505</v>
      </c>
      <c r="L439" t="str">
        <f>Orders!K439</f>
        <v>Hyderabad</v>
      </c>
      <c r="M439">
        <f>Orders!G439</f>
        <v>620</v>
      </c>
      <c r="N439">
        <f>IFERROR(VLOOKUP(Orders!D439,Products!$A$2:$D$61,4,FALSE),"")</f>
        <v>396</v>
      </c>
      <c r="O439">
        <f t="shared" si="16"/>
        <v>0.36129032258064514</v>
      </c>
      <c r="Q439" t="str">
        <f>Orders!D439</f>
        <v>PROD-016</v>
      </c>
    </row>
    <row r="440" spans="1:17" x14ac:dyDescent="0.3">
      <c r="A440" t="str">
        <f>Orders!A440</f>
        <v>ORD-00439</v>
      </c>
      <c r="B440">
        <f>Orders!B440</f>
        <v>45628</v>
      </c>
      <c r="C440">
        <f>Orders!I440</f>
        <v>23047.200000000001</v>
      </c>
      <c r="D440" t="str">
        <f>Orders!E440</f>
        <v>R017</v>
      </c>
      <c r="E440" t="str">
        <f>IFERROR(VLOOKUP(Orders!D440,Products!$A$2:$C$61,3,FALSE),"Unknown")</f>
        <v>Electronics</v>
      </c>
      <c r="F440" t="str">
        <f>IFERROR(VLOOKUP(Orders!C440,Customers!$A$2:$E$301,5,FALSE),"Unknown")</f>
        <v>SMB</v>
      </c>
      <c r="G440">
        <f>IFERROR(VLOOKUP(Orders!C440,Customers!$A$2:$C$301,3,FALSE),"")</f>
        <v>59</v>
      </c>
      <c r="H440" t="str">
        <f>VLOOKUP(D440,Sales_Reps!$A$2:$C$31,3,FALSE)</f>
        <v>East</v>
      </c>
      <c r="I440" s="44">
        <f t="shared" si="15"/>
        <v>45627</v>
      </c>
      <c r="L440" t="str">
        <f>Orders!K440</f>
        <v>Pune</v>
      </c>
      <c r="M440">
        <f>Orders!G440</f>
        <v>2640</v>
      </c>
      <c r="N440">
        <f>IFERROR(VLOOKUP(Orders!D440,Products!$A$2:$D$61,4,FALSE),"")</f>
        <v>1149</v>
      </c>
      <c r="O440">
        <f t="shared" si="16"/>
        <v>0.56477272727272732</v>
      </c>
      <c r="Q440" t="str">
        <f>Orders!D440</f>
        <v>PROD-010</v>
      </c>
    </row>
    <row r="441" spans="1:17" x14ac:dyDescent="0.3">
      <c r="A441" t="str">
        <f>Orders!A441</f>
        <v>ORD-00440</v>
      </c>
      <c r="B441">
        <f>Orders!B441</f>
        <v>45326</v>
      </c>
      <c r="C441">
        <f>Orders!I441</f>
        <v>5779.4</v>
      </c>
      <c r="D441" t="str">
        <f>Orders!E441</f>
        <v>R030</v>
      </c>
      <c r="E441" t="str">
        <f>IFERROR(VLOOKUP(Orders!D441,Products!$A$2:$C$61,3,FALSE),"Unknown")</f>
        <v>Grocery</v>
      </c>
      <c r="F441" t="str">
        <f>IFERROR(VLOOKUP(Orders!C441,Customers!$A$2:$E$301,5,FALSE),"Unknown")</f>
        <v>SMB</v>
      </c>
      <c r="G441">
        <f>IFERROR(VLOOKUP(Orders!C441,Customers!$A$2:$C$301,3,FALSE),"")</f>
        <v>43</v>
      </c>
      <c r="H441" t="str">
        <f>VLOOKUP(D441,Sales_Reps!$A$2:$C$31,3,FALSE)</f>
        <v>West</v>
      </c>
      <c r="I441" s="44">
        <f t="shared" si="15"/>
        <v>45323</v>
      </c>
      <c r="L441" t="str">
        <f>Orders!K441</f>
        <v>Bengaluru</v>
      </c>
      <c r="M441">
        <f>Orders!G441</f>
        <v>4070</v>
      </c>
      <c r="N441">
        <f>IFERROR(VLOOKUP(Orders!D441,Products!$A$2:$D$61,4,FALSE),"")</f>
        <v>2027</v>
      </c>
      <c r="O441">
        <f t="shared" si="16"/>
        <v>0.50196560196560192</v>
      </c>
      <c r="Q441" t="str">
        <f>Orders!D441</f>
        <v>PROD-026</v>
      </c>
    </row>
    <row r="442" spans="1:17" x14ac:dyDescent="0.3">
      <c r="A442" t="str">
        <f>Orders!A442</f>
        <v>ORD-00441</v>
      </c>
      <c r="B442">
        <f>Orders!B442</f>
        <v>45561</v>
      </c>
      <c r="C442">
        <f>Orders!I442</f>
        <v>6027.68</v>
      </c>
      <c r="D442" t="str">
        <f>Orders!E442</f>
        <v>R007</v>
      </c>
      <c r="E442" t="str">
        <f>IFERROR(VLOOKUP(Orders!D442,Products!$A$2:$C$61,3,FALSE),"Unknown")</f>
        <v>Sports</v>
      </c>
      <c r="F442" t="str">
        <f>IFERROR(VLOOKUP(Orders!C442,Customers!$A$2:$E$301,5,FALSE),"Unknown")</f>
        <v>Corporate</v>
      </c>
      <c r="G442">
        <f>IFERROR(VLOOKUP(Orders!C442,Customers!$A$2:$C$301,3,FALSE),"")</f>
        <v>41</v>
      </c>
      <c r="H442" t="str">
        <f>VLOOKUP(D442,Sales_Reps!$A$2:$C$31,3,FALSE)</f>
        <v>North</v>
      </c>
      <c r="I442" s="44">
        <f t="shared" si="15"/>
        <v>45536</v>
      </c>
      <c r="L442" t="str">
        <f>Orders!K442</f>
        <v>Chennai</v>
      </c>
      <c r="M442">
        <f>Orders!G442</f>
        <v>1010</v>
      </c>
      <c r="N442">
        <f>IFERROR(VLOOKUP(Orders!D442,Products!$A$2:$D$61,4,FALSE),"")</f>
        <v>516</v>
      </c>
      <c r="O442">
        <f t="shared" si="16"/>
        <v>0.4891089108910891</v>
      </c>
      <c r="Q442" t="str">
        <f>Orders!D442</f>
        <v>PROD-054</v>
      </c>
    </row>
    <row r="443" spans="1:17" x14ac:dyDescent="0.3">
      <c r="A443" t="str">
        <f>Orders!A443</f>
        <v>ORD-00442</v>
      </c>
      <c r="B443">
        <f>Orders!B443</f>
        <v>45629</v>
      </c>
      <c r="C443">
        <f>Orders!I443</f>
        <v>24596</v>
      </c>
      <c r="D443" t="str">
        <f>Orders!E443</f>
        <v>R005</v>
      </c>
      <c r="E443" t="str">
        <f>IFERROR(VLOOKUP(Orders!D443,Products!$A$2:$C$61,3,FALSE),"Unknown")</f>
        <v>Home</v>
      </c>
      <c r="F443" t="str">
        <f>IFERROR(VLOOKUP(Orders!C443,Customers!$A$2:$E$301,5,FALSE),"Unknown")</f>
        <v>Corporate</v>
      </c>
      <c r="G443">
        <f>IFERROR(VLOOKUP(Orders!C443,Customers!$A$2:$C$301,3,FALSE),"")</f>
        <v>29</v>
      </c>
      <c r="H443" t="str">
        <f>VLOOKUP(D443,Sales_Reps!$A$2:$C$31,3,FALSE)</f>
        <v>North</v>
      </c>
      <c r="I443" s="44">
        <f t="shared" si="15"/>
        <v>45627</v>
      </c>
      <c r="L443" t="str">
        <f>Orders!K443</f>
        <v>Pune</v>
      </c>
      <c r="M443">
        <f>Orders!G443</f>
        <v>3250</v>
      </c>
      <c r="N443">
        <f>IFERROR(VLOOKUP(Orders!D443,Products!$A$2:$D$61,4,FALSE),"")</f>
        <v>1556</v>
      </c>
      <c r="O443">
        <f t="shared" si="16"/>
        <v>0.52123076923076928</v>
      </c>
      <c r="Q443" t="str">
        <f>Orders!D443</f>
        <v>PROD-036</v>
      </c>
    </row>
    <row r="444" spans="1:17" x14ac:dyDescent="0.3">
      <c r="A444" t="str">
        <f>Orders!A444</f>
        <v>ORD-00443</v>
      </c>
      <c r="B444">
        <f>Orders!B444</f>
        <v>45460</v>
      </c>
      <c r="C444">
        <f>Orders!I444</f>
        <v>8078.07</v>
      </c>
      <c r="D444" t="str">
        <f>Orders!E444</f>
        <v>R009</v>
      </c>
      <c r="E444" t="str">
        <f>IFERROR(VLOOKUP(Orders!D444,Products!$A$2:$C$61,3,FALSE),"Unknown")</f>
        <v>Electronics</v>
      </c>
      <c r="F444" t="str">
        <f>IFERROR(VLOOKUP(Orders!C444,Customers!$A$2:$E$301,5,FALSE),"Unknown")</f>
        <v>Corporate</v>
      </c>
      <c r="G444">
        <f>IFERROR(VLOOKUP(Orders!C444,Customers!$A$2:$C$301,3,FALSE),"")</f>
        <v>48</v>
      </c>
      <c r="H444" t="str">
        <f>VLOOKUP(D444,Sales_Reps!$A$2:$C$31,3,FALSE)</f>
        <v>South</v>
      </c>
      <c r="I444" s="44">
        <f t="shared" si="15"/>
        <v>45444</v>
      </c>
      <c r="L444" t="str">
        <f>Orders!K444</f>
        <v>Pune</v>
      </c>
      <c r="M444">
        <f>Orders!G444</f>
        <v>1430</v>
      </c>
      <c r="N444">
        <f>IFERROR(VLOOKUP(Orders!D444,Products!$A$2:$D$61,4,FALSE),"")</f>
        <v>861</v>
      </c>
      <c r="O444">
        <f t="shared" si="16"/>
        <v>0.39790209790209791</v>
      </c>
      <c r="Q444" t="str">
        <f>Orders!D444</f>
        <v>PROD-007</v>
      </c>
    </row>
    <row r="445" spans="1:17" x14ac:dyDescent="0.3">
      <c r="A445" t="str">
        <f>Orders!A445</f>
        <v>ORD-00444</v>
      </c>
      <c r="B445">
        <f>Orders!B445</f>
        <v>45597</v>
      </c>
      <c r="C445">
        <f>Orders!I445</f>
        <v>23103</v>
      </c>
      <c r="D445" t="str">
        <f>Orders!E445</f>
        <v>R018</v>
      </c>
      <c r="E445" t="str">
        <f>IFERROR(VLOOKUP(Orders!D445,Products!$A$2:$C$61,3,FALSE),"Unknown")</f>
        <v>Beauty</v>
      </c>
      <c r="F445" t="str">
        <f>IFERROR(VLOOKUP(Orders!C445,Customers!$A$2:$E$301,5,FALSE),"Unknown")</f>
        <v>SMB</v>
      </c>
      <c r="G445">
        <f>IFERROR(VLOOKUP(Orders!C445,Customers!$A$2:$C$301,3,FALSE),"")</f>
        <v>44</v>
      </c>
      <c r="H445" t="str">
        <f>VLOOKUP(D445,Sales_Reps!$A$2:$C$31,3,FALSE)</f>
        <v>East</v>
      </c>
      <c r="I445" s="44">
        <f t="shared" si="15"/>
        <v>45597</v>
      </c>
      <c r="L445" t="str">
        <f>Orders!K445</f>
        <v>Bengaluru</v>
      </c>
      <c r="M445">
        <f>Orders!G445</f>
        <v>3020</v>
      </c>
      <c r="N445">
        <f>IFERROR(VLOOKUP(Orders!D445,Products!$A$2:$D$61,4,FALSE),"")</f>
        <v>1626</v>
      </c>
      <c r="O445">
        <f t="shared" si="16"/>
        <v>0.46158940397350995</v>
      </c>
      <c r="Q445" t="str">
        <f>Orders!D445</f>
        <v>PROD-045</v>
      </c>
    </row>
    <row r="446" spans="1:17" x14ac:dyDescent="0.3">
      <c r="A446" t="str">
        <f>Orders!A446</f>
        <v>ORD-00445</v>
      </c>
      <c r="B446">
        <f>Orders!B446</f>
        <v>45324</v>
      </c>
      <c r="C446">
        <f>Orders!I446</f>
        <v>4181.5200000000004</v>
      </c>
      <c r="D446" t="str">
        <f>Orders!E446</f>
        <v>R002</v>
      </c>
      <c r="E446" t="str">
        <f>IFERROR(VLOOKUP(Orders!D446,Products!$A$2:$C$61,3,FALSE),"Unknown")</f>
        <v>Electronics</v>
      </c>
      <c r="F446" t="str">
        <f>IFERROR(VLOOKUP(Orders!C446,Customers!$A$2:$E$301,5,FALSE),"Unknown")</f>
        <v>Unknown</v>
      </c>
      <c r="G446" t="str">
        <f>IFERROR(VLOOKUP(Orders!C446,Customers!$A$2:$C$301,3,FALSE),"")</f>
        <v/>
      </c>
      <c r="H446" t="str">
        <f>VLOOKUP(D446,Sales_Reps!$A$2:$C$31,3,FALSE)</f>
        <v>North</v>
      </c>
      <c r="I446" s="44">
        <f t="shared" si="15"/>
        <v>45323</v>
      </c>
      <c r="L446" t="str">
        <f>Orders!K446</f>
        <v>Chennai</v>
      </c>
      <c r="M446">
        <f>Orders!G446</f>
        <v>2660</v>
      </c>
      <c r="N446">
        <f>IFERROR(VLOOKUP(Orders!D446,Products!$A$2:$D$61,4,FALSE),"")</f>
        <v>1259</v>
      </c>
      <c r="O446">
        <f t="shared" si="16"/>
        <v>0.52669172932330832</v>
      </c>
      <c r="Q446" t="str">
        <f>Orders!D446</f>
        <v>PROD-008</v>
      </c>
    </row>
    <row r="447" spans="1:17" x14ac:dyDescent="0.3">
      <c r="A447" t="str">
        <f>Orders!A447</f>
        <v>ORD-00446</v>
      </c>
      <c r="B447">
        <f>Orders!B447</f>
        <v>45490</v>
      </c>
      <c r="C447">
        <f>Orders!I447</f>
        <v>28452.9</v>
      </c>
      <c r="D447" t="str">
        <f>Orders!E447</f>
        <v>R019</v>
      </c>
      <c r="E447" t="str">
        <f>IFERROR(VLOOKUP(Orders!D447,Products!$A$2:$C$61,3,FALSE),"Unknown")</f>
        <v>Electronics</v>
      </c>
      <c r="F447" t="str">
        <f>IFERROR(VLOOKUP(Orders!C447,Customers!$A$2:$E$301,5,FALSE),"Unknown")</f>
        <v>Retail</v>
      </c>
      <c r="G447">
        <f>IFERROR(VLOOKUP(Orders!C447,Customers!$A$2:$C$301,3,FALSE),"")</f>
        <v>31</v>
      </c>
      <c r="H447" t="str">
        <f>VLOOKUP(D447,Sales_Reps!$A$2:$C$31,3,FALSE)</f>
        <v>East</v>
      </c>
      <c r="I447" s="44">
        <f t="shared" si="15"/>
        <v>45474</v>
      </c>
      <c r="L447" t="str">
        <f>Orders!K447</f>
        <v>Delhi</v>
      </c>
      <c r="M447">
        <f>Orders!G447</f>
        <v>3570</v>
      </c>
      <c r="N447">
        <f>IFERROR(VLOOKUP(Orders!D447,Products!$A$2:$D$61,4,FALSE),"")</f>
        <v>1665</v>
      </c>
      <c r="O447">
        <f t="shared" si="16"/>
        <v>0.53361344537815125</v>
      </c>
      <c r="Q447" t="str">
        <f>Orders!D447</f>
        <v>PROD-003</v>
      </c>
    </row>
    <row r="448" spans="1:17" x14ac:dyDescent="0.3">
      <c r="A448" t="str">
        <f>Orders!A448</f>
        <v>ORD-00447</v>
      </c>
      <c r="B448">
        <f>Orders!B448</f>
        <v>45330</v>
      </c>
      <c r="C448">
        <f>Orders!I448</f>
        <v>9634.6</v>
      </c>
      <c r="D448" t="str">
        <f>Orders!E448</f>
        <v>R010</v>
      </c>
      <c r="E448" t="str">
        <f>IFERROR(VLOOKUP(Orders!D448,Products!$A$2:$C$61,3,FALSE),"Unknown")</f>
        <v>Beauty</v>
      </c>
      <c r="F448" t="str">
        <f>IFERROR(VLOOKUP(Orders!C448,Customers!$A$2:$E$301,5,FALSE),"Unknown")</f>
        <v>Corporate</v>
      </c>
      <c r="G448">
        <f>IFERROR(VLOOKUP(Orders!C448,Customers!$A$2:$C$301,3,FALSE),"")</f>
        <v>47</v>
      </c>
      <c r="H448" t="str">
        <f>VLOOKUP(D448,Sales_Reps!$A$2:$C$31,3,FALSE)</f>
        <v>South</v>
      </c>
      <c r="I448" s="44">
        <f t="shared" si="15"/>
        <v>45323</v>
      </c>
      <c r="L448" t="str">
        <f>Orders!K448</f>
        <v>Pune</v>
      </c>
      <c r="M448">
        <f>Orders!G448</f>
        <v>3350</v>
      </c>
      <c r="N448">
        <f>IFERROR(VLOOKUP(Orders!D448,Products!$A$2:$D$61,4,FALSE),"")</f>
        <v>1728</v>
      </c>
      <c r="O448">
        <f t="shared" si="16"/>
        <v>0.48417910447761192</v>
      </c>
      <c r="Q448" t="str">
        <f>Orders!D448</f>
        <v>PROD-043</v>
      </c>
    </row>
    <row r="449" spans="1:17" x14ac:dyDescent="0.3">
      <c r="A449" t="str">
        <f>Orders!A449</f>
        <v>ORD-00448</v>
      </c>
      <c r="B449">
        <f>Orders!B449</f>
        <v>45336</v>
      </c>
      <c r="C449">
        <f>Orders!I449</f>
        <v>2145.1999999999998</v>
      </c>
      <c r="D449" t="str">
        <f>Orders!E449</f>
        <v>R021</v>
      </c>
      <c r="E449" t="str">
        <f>IFERROR(VLOOKUP(Orders!D449,Products!$A$2:$C$61,3,FALSE),"Unknown")</f>
        <v>Apparel</v>
      </c>
      <c r="F449" t="str">
        <f>IFERROR(VLOOKUP(Orders!C449,Customers!$A$2:$E$301,5,FALSE),"Unknown")</f>
        <v>Corporate</v>
      </c>
      <c r="G449">
        <f>IFERROR(VLOOKUP(Orders!C449,Customers!$A$2:$C$301,3,FALSE),"")</f>
        <v>46</v>
      </c>
      <c r="H449" t="str">
        <f>VLOOKUP(D449,Sales_Reps!$A$2:$C$31,3,FALSE)</f>
        <v>East</v>
      </c>
      <c r="I449" s="44">
        <f t="shared" si="15"/>
        <v>45323</v>
      </c>
      <c r="L449" t="str">
        <f>Orders!K449</f>
        <v>Delhi</v>
      </c>
      <c r="M449">
        <f>Orders!G449</f>
        <v>2480</v>
      </c>
      <c r="N449">
        <f>IFERROR(VLOOKUP(Orders!D449,Products!$A$2:$D$61,4,FALSE),"")</f>
        <v>1173</v>
      </c>
      <c r="O449">
        <f t="shared" si="16"/>
        <v>0.52701612903225803</v>
      </c>
      <c r="Q449" t="str">
        <f>Orders!D449</f>
        <v>PROD-019</v>
      </c>
    </row>
    <row r="450" spans="1:17" x14ac:dyDescent="0.3">
      <c r="A450" t="str">
        <f>Orders!A450</f>
        <v>ORD-00449</v>
      </c>
      <c r="B450">
        <f>Orders!B450</f>
        <v>45649</v>
      </c>
      <c r="C450">
        <f>Orders!I450</f>
        <v>39979.9</v>
      </c>
      <c r="D450" t="str">
        <f>Orders!E450</f>
        <v>R015</v>
      </c>
      <c r="E450" t="str">
        <f>IFERROR(VLOOKUP(Orders!D450,Products!$A$2:$C$61,3,FALSE),"Unknown")</f>
        <v>Sports</v>
      </c>
      <c r="F450" t="str">
        <f>IFERROR(VLOOKUP(Orders!C450,Customers!$A$2:$E$301,5,FALSE),"Unknown")</f>
        <v>SMB</v>
      </c>
      <c r="G450">
        <f>IFERROR(VLOOKUP(Orders!C450,Customers!$A$2:$C$301,3,FALSE),"")</f>
        <v>38</v>
      </c>
      <c r="H450" t="str">
        <f>VLOOKUP(D450,Sales_Reps!$A$2:$C$31,3,FALSE)</f>
        <v>South</v>
      </c>
      <c r="I450" s="44">
        <f t="shared" si="15"/>
        <v>45627</v>
      </c>
      <c r="L450" t="str">
        <f>Orders!K450</f>
        <v>Delhi</v>
      </c>
      <c r="M450">
        <f>Orders!G450</f>
        <v>5410</v>
      </c>
      <c r="N450">
        <f>IFERROR(VLOOKUP(Orders!D450,Products!$A$2:$D$61,4,FALSE),"")</f>
        <v>2265</v>
      </c>
      <c r="O450">
        <f t="shared" si="16"/>
        <v>0.58133086876155271</v>
      </c>
      <c r="Q450" t="str">
        <f>Orders!D450</f>
        <v>PROD-052</v>
      </c>
    </row>
    <row r="451" spans="1:17" x14ac:dyDescent="0.3">
      <c r="A451" t="str">
        <f>Orders!A451</f>
        <v>ORD-00450</v>
      </c>
      <c r="B451">
        <f>Orders!B451</f>
        <v>45586</v>
      </c>
      <c r="C451">
        <f>Orders!I451</f>
        <v>1254</v>
      </c>
      <c r="D451" t="str">
        <f>Orders!E451</f>
        <v>R023</v>
      </c>
      <c r="E451" t="str">
        <f>IFERROR(VLOOKUP(Orders!D451,Products!$A$2:$C$61,3,FALSE),"Unknown")</f>
        <v>Home</v>
      </c>
      <c r="F451" t="str">
        <f>IFERROR(VLOOKUP(Orders!C451,Customers!$A$2:$E$301,5,FALSE),"Unknown")</f>
        <v>Retail</v>
      </c>
      <c r="G451">
        <f>IFERROR(VLOOKUP(Orders!C451,Customers!$A$2:$C$301,3,FALSE),"")</f>
        <v>47</v>
      </c>
      <c r="H451" t="str">
        <f>VLOOKUP(D451,Sales_Reps!$A$2:$C$31,3,FALSE)</f>
        <v>East</v>
      </c>
      <c r="I451" s="44">
        <f t="shared" ref="I451:I514" si="17">DATE(YEAR(B451),MONTH(B451),1)</f>
        <v>45566</v>
      </c>
      <c r="L451" t="str">
        <f>Orders!K451</f>
        <v>Bengaluru</v>
      </c>
      <c r="M451">
        <f>Orders!G451</f>
        <v>660</v>
      </c>
      <c r="N451">
        <f>IFERROR(VLOOKUP(Orders!D451,Products!$A$2:$D$61,4,FALSE),"")</f>
        <v>329</v>
      </c>
      <c r="O451">
        <f t="shared" ref="O451:O514" si="18">IF(OR(N451="",M451&lt;=0),"",(M451-N451)/M451)</f>
        <v>0.50151515151515147</v>
      </c>
      <c r="Q451" t="str">
        <f>Orders!D451</f>
        <v>PROD-037</v>
      </c>
    </row>
    <row r="452" spans="1:17" x14ac:dyDescent="0.3">
      <c r="A452" t="str">
        <f>Orders!A452</f>
        <v>ORD-00451</v>
      </c>
      <c r="B452">
        <f>Orders!B452</f>
        <v>45647</v>
      </c>
      <c r="C452">
        <f>Orders!I452</f>
        <v>9090</v>
      </c>
      <c r="D452" t="str">
        <f>Orders!E452</f>
        <v>R007</v>
      </c>
      <c r="E452" t="str">
        <f>IFERROR(VLOOKUP(Orders!D452,Products!$A$2:$C$61,3,FALSE),"Unknown")</f>
        <v>Sports</v>
      </c>
      <c r="F452" t="str">
        <f>IFERROR(VLOOKUP(Orders!C452,Customers!$A$2:$E$301,5,FALSE),"Unknown")</f>
        <v>Corporate</v>
      </c>
      <c r="G452">
        <f>IFERROR(VLOOKUP(Orders!C452,Customers!$A$2:$C$301,3,FALSE),"")</f>
        <v>62</v>
      </c>
      <c r="H452" t="str">
        <f>VLOOKUP(D452,Sales_Reps!$A$2:$C$31,3,FALSE)</f>
        <v>North</v>
      </c>
      <c r="I452" s="44">
        <f t="shared" si="17"/>
        <v>45627</v>
      </c>
      <c r="L452" t="str">
        <f>Orders!K452</f>
        <v>Mumbai</v>
      </c>
      <c r="M452">
        <f>Orders!G452</f>
        <v>1010</v>
      </c>
      <c r="N452">
        <f>IFERROR(VLOOKUP(Orders!D452,Products!$A$2:$D$61,4,FALSE),"")</f>
        <v>516</v>
      </c>
      <c r="O452">
        <f t="shared" si="18"/>
        <v>0.4891089108910891</v>
      </c>
      <c r="Q452" t="str">
        <f>Orders!D452</f>
        <v>PROD-054</v>
      </c>
    </row>
    <row r="453" spans="1:17" x14ac:dyDescent="0.3">
      <c r="A453" t="str">
        <f>Orders!A453</f>
        <v>ORD-00452</v>
      </c>
      <c r="B453">
        <f>Orders!B453</f>
        <v>45496</v>
      </c>
      <c r="C453">
        <f>Orders!I453</f>
        <v>6258.57</v>
      </c>
      <c r="D453" t="str">
        <f>Orders!E453</f>
        <v>R001</v>
      </c>
      <c r="E453" t="str">
        <f>IFERROR(VLOOKUP(Orders!D453,Products!$A$2:$C$61,3,FALSE),"Unknown")</f>
        <v>Beauty</v>
      </c>
      <c r="F453" t="str">
        <f>IFERROR(VLOOKUP(Orders!C453,Customers!$A$2:$E$301,5,FALSE),"Unknown")</f>
        <v>Retail</v>
      </c>
      <c r="G453">
        <f>IFERROR(VLOOKUP(Orders!C453,Customers!$A$2:$C$301,3,FALSE),"")</f>
        <v>57</v>
      </c>
      <c r="H453" t="str">
        <f>VLOOKUP(D453,Sales_Reps!$A$2:$C$31,3,FALSE)</f>
        <v>North</v>
      </c>
      <c r="I453" s="44">
        <f t="shared" si="17"/>
        <v>45474</v>
      </c>
      <c r="L453" t="str">
        <f>Orders!K453</f>
        <v>Mumbai</v>
      </c>
      <c r="M453">
        <f>Orders!G453</f>
        <v>2290</v>
      </c>
      <c r="N453">
        <f>IFERROR(VLOOKUP(Orders!D453,Products!$A$2:$D$61,4,FALSE),"")</f>
        <v>1219</v>
      </c>
      <c r="O453">
        <f t="shared" si="18"/>
        <v>0.46768558951965067</v>
      </c>
      <c r="Q453" t="str">
        <f>Orders!D453</f>
        <v>PROD-042</v>
      </c>
    </row>
    <row r="454" spans="1:17" x14ac:dyDescent="0.3">
      <c r="A454" t="str">
        <f>Orders!A454</f>
        <v>ORD-00453</v>
      </c>
      <c r="B454">
        <f>Orders!B454</f>
        <v>45369</v>
      </c>
      <c r="C454">
        <f>Orders!I454</f>
        <v>23504.85</v>
      </c>
      <c r="D454" t="str">
        <f>Orders!E454</f>
        <v>R001</v>
      </c>
      <c r="E454" t="str">
        <f>IFERROR(VLOOKUP(Orders!D454,Products!$A$2:$C$61,3,FALSE),"Unknown")</f>
        <v>Beauty</v>
      </c>
      <c r="F454" t="str">
        <f>IFERROR(VLOOKUP(Orders!C454,Customers!$A$2:$E$301,5,FALSE),"Unknown")</f>
        <v>Retail</v>
      </c>
      <c r="G454">
        <f>IFERROR(VLOOKUP(Orders!C454,Customers!$A$2:$C$301,3,FALSE),"")</f>
        <v>24</v>
      </c>
      <c r="H454" t="str">
        <f>VLOOKUP(D454,Sales_Reps!$A$2:$C$31,3,FALSE)</f>
        <v>North</v>
      </c>
      <c r="I454" s="44">
        <f t="shared" si="17"/>
        <v>45352</v>
      </c>
      <c r="L454" t="str">
        <f>Orders!K454</f>
        <v>Delhi</v>
      </c>
      <c r="M454">
        <f>Orders!G454</f>
        <v>3450</v>
      </c>
      <c r="N454">
        <f>IFERROR(VLOOKUP(Orders!D454,Products!$A$2:$D$61,4,FALSE),"")</f>
        <v>2420</v>
      </c>
      <c r="O454">
        <f t="shared" si="18"/>
        <v>0.29855072463768118</v>
      </c>
      <c r="Q454" t="str">
        <f>Orders!D454</f>
        <v>PROD-047</v>
      </c>
    </row>
    <row r="455" spans="1:17" x14ac:dyDescent="0.3">
      <c r="A455" t="str">
        <f>Orders!A455</f>
        <v>ORD-00454</v>
      </c>
      <c r="B455">
        <f>Orders!B455</f>
        <v>45389</v>
      </c>
      <c r="C455">
        <f>Orders!I455</f>
        <v>28610.400000000001</v>
      </c>
      <c r="D455" t="str">
        <f>Orders!E455</f>
        <v>R003</v>
      </c>
      <c r="E455" t="str">
        <f>IFERROR(VLOOKUP(Orders!D455,Products!$A$2:$C$61,3,FALSE),"Unknown")</f>
        <v>Apparel</v>
      </c>
      <c r="F455" t="str">
        <f>IFERROR(VLOOKUP(Orders!C455,Customers!$A$2:$E$301,5,FALSE),"Unknown")</f>
        <v>Retail</v>
      </c>
      <c r="G455">
        <f>IFERROR(VLOOKUP(Orders!C455,Customers!$A$2:$C$301,3,FALSE),"")</f>
        <v>38</v>
      </c>
      <c r="H455" t="str">
        <f>VLOOKUP(D455,Sales_Reps!$A$2:$C$31,3,FALSE)</f>
        <v>North</v>
      </c>
      <c r="I455" s="44">
        <f t="shared" si="17"/>
        <v>45383</v>
      </c>
      <c r="L455" t="str">
        <f>Orders!K455</f>
        <v>Chennai</v>
      </c>
      <c r="M455">
        <f>Orders!G455</f>
        <v>3640</v>
      </c>
      <c r="N455">
        <f>IFERROR(VLOOKUP(Orders!D455,Products!$A$2:$D$61,4,FALSE),"")</f>
        <v>2611</v>
      </c>
      <c r="O455">
        <f t="shared" si="18"/>
        <v>0.28269230769230769</v>
      </c>
      <c r="Q455" t="str">
        <f>Orders!D455</f>
        <v>PROD-013</v>
      </c>
    </row>
    <row r="456" spans="1:17" x14ac:dyDescent="0.3">
      <c r="A456" t="str">
        <f>Orders!A456</f>
        <v>ORD-00455</v>
      </c>
      <c r="B456">
        <f>Orders!B456</f>
        <v>45336</v>
      </c>
      <c r="C456">
        <f>Orders!I456</f>
        <v>10448.200000000001</v>
      </c>
      <c r="D456" t="str">
        <f>Orders!E456</f>
        <v>R015</v>
      </c>
      <c r="E456" t="str">
        <f>IFERROR(VLOOKUP(Orders!D456,Products!$A$2:$C$61,3,FALSE),"Unknown")</f>
        <v>Grocery</v>
      </c>
      <c r="F456" t="str">
        <f>IFERROR(VLOOKUP(Orders!C456,Customers!$A$2:$E$301,5,FALSE),"Unknown")</f>
        <v>Corporate</v>
      </c>
      <c r="G456">
        <f>IFERROR(VLOOKUP(Orders!C456,Customers!$A$2:$C$301,3,FALSE),"")</f>
        <v>62</v>
      </c>
      <c r="H456" t="str">
        <f>VLOOKUP(D456,Sales_Reps!$A$2:$C$31,3,FALSE)</f>
        <v>South</v>
      </c>
      <c r="I456" s="44">
        <f t="shared" si="17"/>
        <v>45323</v>
      </c>
      <c r="L456" t="str">
        <f>Orders!K456</f>
        <v>Mumbai</v>
      </c>
      <c r="M456">
        <f>Orders!G456</f>
        <v>2380</v>
      </c>
      <c r="N456">
        <f>IFERROR(VLOOKUP(Orders!D456,Products!$A$2:$D$61,4,FALSE),"")</f>
        <v>1182</v>
      </c>
      <c r="O456">
        <f t="shared" si="18"/>
        <v>0.50336134453781511</v>
      </c>
      <c r="Q456" t="str">
        <f>Orders!D456</f>
        <v>PROD-023</v>
      </c>
    </row>
    <row r="457" spans="1:17" x14ac:dyDescent="0.3">
      <c r="A457" t="str">
        <f>Orders!A457</f>
        <v>ORD-00456</v>
      </c>
      <c r="B457">
        <f>Orders!B457</f>
        <v>45505</v>
      </c>
      <c r="C457">
        <f>Orders!I457</f>
        <v>37978.199999999997</v>
      </c>
      <c r="D457" t="str">
        <f>Orders!E457</f>
        <v>R017</v>
      </c>
      <c r="E457" t="str">
        <f>IFERROR(VLOOKUP(Orders!D457,Products!$A$2:$C$61,3,FALSE),"Unknown")</f>
        <v>Sports</v>
      </c>
      <c r="F457" t="str">
        <f>IFERROR(VLOOKUP(Orders!C457,Customers!$A$2:$E$301,5,FALSE),"Unknown")</f>
        <v>Retail</v>
      </c>
      <c r="G457">
        <f>IFERROR(VLOOKUP(Orders!C457,Customers!$A$2:$C$301,3,FALSE),"")</f>
        <v>38</v>
      </c>
      <c r="H457" t="str">
        <f>VLOOKUP(D457,Sales_Reps!$A$2:$C$31,3,FALSE)</f>
        <v>East</v>
      </c>
      <c r="I457" s="44">
        <f t="shared" si="17"/>
        <v>45505</v>
      </c>
      <c r="L457" t="str">
        <f>Orders!K457</f>
        <v>Hyderabad</v>
      </c>
      <c r="M457">
        <f>Orders!G457</f>
        <v>5410</v>
      </c>
      <c r="N457">
        <f>IFERROR(VLOOKUP(Orders!D457,Products!$A$2:$D$61,4,FALSE),"")</f>
        <v>2265</v>
      </c>
      <c r="O457">
        <f t="shared" si="18"/>
        <v>0.58133086876155271</v>
      </c>
      <c r="Q457" t="str">
        <f>Orders!D457</f>
        <v>PROD-052</v>
      </c>
    </row>
    <row r="458" spans="1:17" x14ac:dyDescent="0.3">
      <c r="A458" t="str">
        <f>Orders!A458</f>
        <v>ORD-00457</v>
      </c>
      <c r="B458">
        <f>Orders!B458</f>
        <v>45375</v>
      </c>
      <c r="C458">
        <f>Orders!I458</f>
        <v>4484.7</v>
      </c>
      <c r="D458" t="str">
        <f>Orders!E458</f>
        <v>R021</v>
      </c>
      <c r="E458" t="str">
        <f>IFERROR(VLOOKUP(Orders!D458,Products!$A$2:$C$61,3,FALSE),"Unknown")</f>
        <v>Beauty</v>
      </c>
      <c r="F458" t="str">
        <f>IFERROR(VLOOKUP(Orders!C458,Customers!$A$2:$E$301,5,FALSE),"Unknown")</f>
        <v>Corporate</v>
      </c>
      <c r="G458">
        <f>IFERROR(VLOOKUP(Orders!C458,Customers!$A$2:$C$301,3,FALSE),"")</f>
        <v>62</v>
      </c>
      <c r="H458" t="str">
        <f>VLOOKUP(D458,Sales_Reps!$A$2:$C$31,3,FALSE)</f>
        <v>East</v>
      </c>
      <c r="I458" s="44">
        <f t="shared" si="17"/>
        <v>45352</v>
      </c>
      <c r="L458" t="str">
        <f>Orders!K458</f>
        <v>Mumbai</v>
      </c>
      <c r="M458">
        <f>Orders!G458</f>
        <v>1650</v>
      </c>
      <c r="N458">
        <f>IFERROR(VLOOKUP(Orders!D458,Products!$A$2:$D$61,4,FALSE),"")</f>
        <v>1222</v>
      </c>
      <c r="O458">
        <f t="shared" si="18"/>
        <v>0.2593939393939394</v>
      </c>
      <c r="Q458" t="str">
        <f>Orders!D458</f>
        <v>PROD-044</v>
      </c>
    </row>
    <row r="459" spans="1:17" x14ac:dyDescent="0.3">
      <c r="A459" t="str">
        <f>Orders!A459</f>
        <v>ORD-00458</v>
      </c>
      <c r="B459">
        <f>Orders!B459</f>
        <v>45383</v>
      </c>
      <c r="C459">
        <f>Orders!I459</f>
        <v>14578.2</v>
      </c>
      <c r="D459" t="str">
        <f>Orders!E459</f>
        <v>R022</v>
      </c>
      <c r="E459" t="str">
        <f>IFERROR(VLOOKUP(Orders!D459,Products!$A$2:$C$61,3,FALSE),"Unknown")</f>
        <v>Electronics</v>
      </c>
      <c r="F459" t="str">
        <f>IFERROR(VLOOKUP(Orders!C459,Customers!$A$2:$E$301,5,FALSE),"Unknown")</f>
        <v>Retail</v>
      </c>
      <c r="G459">
        <f>IFERROR(VLOOKUP(Orders!C459,Customers!$A$2:$C$301,3,FALSE),"")</f>
        <v>22</v>
      </c>
      <c r="H459" t="str">
        <f>VLOOKUP(D459,Sales_Reps!$A$2:$C$31,3,FALSE)</f>
        <v>East</v>
      </c>
      <c r="I459" s="44">
        <f t="shared" si="17"/>
        <v>45383</v>
      </c>
      <c r="L459" t="str">
        <f>Orders!K459</f>
        <v>Mumbai</v>
      </c>
      <c r="M459">
        <f>Orders!G459</f>
        <v>2600</v>
      </c>
      <c r="N459">
        <f>IFERROR(VLOOKUP(Orders!D459,Products!$A$2:$D$61,4,FALSE),"")</f>
        <v>1052</v>
      </c>
      <c r="O459">
        <f t="shared" si="18"/>
        <v>0.5953846153846154</v>
      </c>
      <c r="Q459" t="str">
        <f>Orders!D459</f>
        <v>PROD-002</v>
      </c>
    </row>
    <row r="460" spans="1:17" x14ac:dyDescent="0.3">
      <c r="A460" t="str">
        <f>Orders!A460</f>
        <v>ORD-00135</v>
      </c>
      <c r="B460">
        <f>Orders!B460</f>
        <v>45474</v>
      </c>
      <c r="C460">
        <f>Orders!I460</f>
        <v>16005.92</v>
      </c>
      <c r="D460" t="str">
        <f>Orders!E460</f>
        <v>R002</v>
      </c>
      <c r="E460" t="str">
        <f>IFERROR(VLOOKUP(Orders!D460,Products!$A$2:$C$61,3,FALSE),"Unknown")</f>
        <v>Home</v>
      </c>
      <c r="F460" t="str">
        <f>IFERROR(VLOOKUP(Orders!C460,Customers!$A$2:$E$301,5,FALSE),"Unknown")</f>
        <v>SMB</v>
      </c>
      <c r="G460">
        <f>IFERROR(VLOOKUP(Orders!C460,Customers!$A$2:$C$301,3,FALSE),"")</f>
        <v>28</v>
      </c>
      <c r="H460" t="str">
        <f>VLOOKUP(D460,Sales_Reps!$A$2:$C$31,3,FALSE)</f>
        <v>North</v>
      </c>
      <c r="I460" s="44">
        <f t="shared" si="17"/>
        <v>45474</v>
      </c>
      <c r="L460" t="str">
        <f>Orders!K460</f>
        <v>Hyderabad</v>
      </c>
      <c r="M460">
        <f>Orders!G460</f>
        <v>4610</v>
      </c>
      <c r="N460">
        <f>IFERROR(VLOOKUP(Orders!D460,Products!$A$2:$D$61,4,FALSE),"")</f>
        <v>1850</v>
      </c>
      <c r="O460">
        <f t="shared" si="18"/>
        <v>0.59869848156182215</v>
      </c>
      <c r="Q460" t="str">
        <f>Orders!D460</f>
        <v>PROD-039</v>
      </c>
    </row>
    <row r="461" spans="1:17" x14ac:dyDescent="0.3">
      <c r="A461" t="str">
        <f>Orders!A461</f>
        <v>ORD-00460</v>
      </c>
      <c r="B461">
        <f>Orders!B461</f>
        <v>45361</v>
      </c>
      <c r="C461">
        <f>Orders!I461</f>
        <v>30785.58</v>
      </c>
      <c r="D461" t="str">
        <f>Orders!E461</f>
        <v>R021</v>
      </c>
      <c r="E461" t="str">
        <f>IFERROR(VLOOKUP(Orders!D461,Products!$A$2:$C$61,3,FALSE),"Unknown")</f>
        <v>Home</v>
      </c>
      <c r="F461" t="str">
        <f>IFERROR(VLOOKUP(Orders!C461,Customers!$A$2:$E$301,5,FALSE),"Unknown")</f>
        <v>Retail</v>
      </c>
      <c r="G461">
        <f>IFERROR(VLOOKUP(Orders!C461,Customers!$A$2:$C$301,3,FALSE),"")</f>
        <v>53</v>
      </c>
      <c r="H461" t="str">
        <f>VLOOKUP(D461,Sales_Reps!$A$2:$C$31,3,FALSE)</f>
        <v>East</v>
      </c>
      <c r="I461" s="44">
        <f t="shared" si="17"/>
        <v>45352</v>
      </c>
      <c r="L461" t="str">
        <f>Orders!K461</f>
        <v>Hyderabad</v>
      </c>
      <c r="M461">
        <f>Orders!G461</f>
        <v>4610</v>
      </c>
      <c r="N461">
        <f>IFERROR(VLOOKUP(Orders!D461,Products!$A$2:$D$61,4,FALSE),"")</f>
        <v>1850</v>
      </c>
      <c r="O461">
        <f t="shared" si="18"/>
        <v>0.59869848156182215</v>
      </c>
      <c r="Q461" t="str">
        <f>Orders!D461</f>
        <v>PROD-039</v>
      </c>
    </row>
    <row r="462" spans="1:17" x14ac:dyDescent="0.3">
      <c r="A462" t="str">
        <f>Orders!A462</f>
        <v>ORD-00461</v>
      </c>
      <c r="B462">
        <f>Orders!B462</f>
        <v>45550</v>
      </c>
      <c r="C462">
        <f>Orders!I462</f>
        <v>1323</v>
      </c>
      <c r="D462" t="str">
        <f>Orders!E462</f>
        <v>R014</v>
      </c>
      <c r="E462" t="str">
        <f>IFERROR(VLOOKUP(Orders!D462,Products!$A$2:$C$61,3,FALSE),"Unknown")</f>
        <v>Electronics</v>
      </c>
      <c r="F462" t="str">
        <f>IFERROR(VLOOKUP(Orders!C462,Customers!$A$2:$E$301,5,FALSE),"Unknown")</f>
        <v>Corporate</v>
      </c>
      <c r="G462">
        <f>IFERROR(VLOOKUP(Orders!C462,Customers!$A$2:$C$301,3,FALSE),"")</f>
        <v>44</v>
      </c>
      <c r="H462" t="str">
        <f>VLOOKUP(D462,Sales_Reps!$A$2:$C$31,3,FALSE)</f>
        <v>South</v>
      </c>
      <c r="I462" s="44">
        <f t="shared" si="17"/>
        <v>45536</v>
      </c>
      <c r="L462" t="str">
        <f>Orders!K462</f>
        <v>Chennai</v>
      </c>
      <c r="M462">
        <f>Orders!G462</f>
        <v>300</v>
      </c>
      <c r="N462">
        <f>IFERROR(VLOOKUP(Orders!D462,Products!$A$2:$D$61,4,FALSE),"")</f>
        <v>128</v>
      </c>
      <c r="O462">
        <f t="shared" si="18"/>
        <v>0.57333333333333336</v>
      </c>
      <c r="Q462" t="str">
        <f>Orders!D462</f>
        <v>PROD-005</v>
      </c>
    </row>
    <row r="463" spans="1:17" x14ac:dyDescent="0.3">
      <c r="A463" t="str">
        <f>Orders!A463</f>
        <v>ORD-00462</v>
      </c>
      <c r="B463">
        <f>Orders!B463</f>
        <v>45485</v>
      </c>
      <c r="C463">
        <f>Orders!I463</f>
        <v>8880.2999999999993</v>
      </c>
      <c r="D463" t="str">
        <f>Orders!E463</f>
        <v>R020</v>
      </c>
      <c r="E463" t="str">
        <f>IFERROR(VLOOKUP(Orders!D463,Products!$A$2:$C$61,3,FALSE),"Unknown")</f>
        <v>Apparel</v>
      </c>
      <c r="F463" t="str">
        <f>IFERROR(VLOOKUP(Orders!C463,Customers!$A$2:$E$301,5,FALSE),"Unknown")</f>
        <v>Retail</v>
      </c>
      <c r="G463">
        <f>IFERROR(VLOOKUP(Orders!C463,Customers!$A$2:$C$301,3,FALSE),"")</f>
        <v>22</v>
      </c>
      <c r="H463" t="str">
        <f>VLOOKUP(D463,Sales_Reps!$A$2:$C$31,3,FALSE)</f>
        <v>East</v>
      </c>
      <c r="I463" s="44">
        <f t="shared" si="17"/>
        <v>45474</v>
      </c>
      <c r="L463" t="str">
        <f>Orders!K463</f>
        <v>Chennai</v>
      </c>
      <c r="M463">
        <f>Orders!G463</f>
        <v>3450</v>
      </c>
      <c r="N463">
        <f>IFERROR(VLOOKUP(Orders!D463,Products!$A$2:$D$61,4,FALSE),"")</f>
        <v>1748</v>
      </c>
      <c r="O463">
        <f t="shared" si="18"/>
        <v>0.49333333333333335</v>
      </c>
      <c r="Q463" t="str">
        <f>Orders!D463</f>
        <v>PROD-011</v>
      </c>
    </row>
    <row r="464" spans="1:17" x14ac:dyDescent="0.3">
      <c r="A464" t="str">
        <f>Orders!A464</f>
        <v>ORD-00463</v>
      </c>
      <c r="B464">
        <f>Orders!B464</f>
        <v>45523</v>
      </c>
      <c r="C464">
        <f>Orders!I464</f>
        <v>4645.76</v>
      </c>
      <c r="D464" t="str">
        <f>Orders!E464</f>
        <v>R028</v>
      </c>
      <c r="E464" t="str">
        <f>IFERROR(VLOOKUP(Orders!D464,Products!$A$2:$C$61,3,FALSE),"Unknown")</f>
        <v>Apparel</v>
      </c>
      <c r="F464" t="str">
        <f>IFERROR(VLOOKUP(Orders!C464,Customers!$A$2:$E$301,5,FALSE),"Unknown")</f>
        <v>Corporate</v>
      </c>
      <c r="G464">
        <f>IFERROR(VLOOKUP(Orders!C464,Customers!$A$2:$C$301,3,FALSE),"")</f>
        <v>30</v>
      </c>
      <c r="H464" t="str">
        <f>VLOOKUP(D464,Sales_Reps!$A$2:$C$31,3,FALSE)</f>
        <v>West</v>
      </c>
      <c r="I464" s="44">
        <f t="shared" si="17"/>
        <v>45505</v>
      </c>
      <c r="L464" t="str">
        <f>Orders!K464</f>
        <v>Chennai</v>
      </c>
      <c r="M464">
        <f>Orders!G464</f>
        <v>2720</v>
      </c>
      <c r="N464">
        <f>IFERROR(VLOOKUP(Orders!D464,Products!$A$2:$D$61,4,FALSE),"")</f>
        <v>1962</v>
      </c>
      <c r="O464">
        <f t="shared" si="18"/>
        <v>0.2786764705882353</v>
      </c>
      <c r="Q464" t="str">
        <f>Orders!D464</f>
        <v>PROD-015</v>
      </c>
    </row>
    <row r="465" spans="1:17" x14ac:dyDescent="0.3">
      <c r="A465" t="str">
        <f>Orders!A465</f>
        <v>ORD-00464</v>
      </c>
      <c r="B465">
        <f>Orders!B465</f>
        <v>45626</v>
      </c>
      <c r="C465">
        <f>Orders!I465</f>
        <v>13518.12</v>
      </c>
      <c r="D465" t="str">
        <f>Orders!E465</f>
        <v>R017</v>
      </c>
      <c r="E465" t="str">
        <f>IFERROR(VLOOKUP(Orders!D465,Products!$A$2:$C$61,3,FALSE),"Unknown")</f>
        <v>Electronics</v>
      </c>
      <c r="F465" t="str">
        <f>IFERROR(VLOOKUP(Orders!C465,Customers!$A$2:$E$301,5,FALSE),"Unknown")</f>
        <v>Retail</v>
      </c>
      <c r="G465">
        <f>IFERROR(VLOOKUP(Orders!C465,Customers!$A$2:$C$301,3,FALSE),"")</f>
        <v>31</v>
      </c>
      <c r="H465" t="str">
        <f>VLOOKUP(D465,Sales_Reps!$A$2:$C$31,3,FALSE)</f>
        <v>East</v>
      </c>
      <c r="I465" s="44">
        <f t="shared" si="17"/>
        <v>45597</v>
      </c>
      <c r="L465" t="str">
        <f>Orders!K465</f>
        <v>Hyderabad</v>
      </c>
      <c r="M465">
        <f>Orders!G465</f>
        <v>2660</v>
      </c>
      <c r="N465">
        <f>IFERROR(VLOOKUP(Orders!D465,Products!$A$2:$D$61,4,FALSE),"")</f>
        <v>1259</v>
      </c>
      <c r="O465">
        <f t="shared" si="18"/>
        <v>0.52669172932330832</v>
      </c>
      <c r="Q465" t="str">
        <f>Orders!D465</f>
        <v>PROD-008</v>
      </c>
    </row>
    <row r="466" spans="1:17" x14ac:dyDescent="0.3">
      <c r="A466" t="str">
        <f>Orders!A466</f>
        <v>ORD-00465</v>
      </c>
      <c r="B466">
        <f>Orders!B466</f>
        <v>45302</v>
      </c>
      <c r="C466">
        <f>Orders!I466</f>
        <v>21969.599999999999</v>
      </c>
      <c r="D466" t="str">
        <f>Orders!E466</f>
        <v>R005</v>
      </c>
      <c r="E466" t="str">
        <f>IFERROR(VLOOKUP(Orders!D466,Products!$A$2:$C$61,3,FALSE),"Unknown")</f>
        <v>Sports</v>
      </c>
      <c r="F466" t="str">
        <f>IFERROR(VLOOKUP(Orders!C466,Customers!$A$2:$E$301,5,FALSE),"Unknown")</f>
        <v>Retail</v>
      </c>
      <c r="G466">
        <f>IFERROR(VLOOKUP(Orders!C466,Customers!$A$2:$C$301,3,FALSE),"")</f>
        <v>53</v>
      </c>
      <c r="H466" t="str">
        <f>VLOOKUP(D466,Sales_Reps!$A$2:$C$31,3,FALSE)</f>
        <v>North</v>
      </c>
      <c r="I466" s="44">
        <f t="shared" si="17"/>
        <v>45292</v>
      </c>
      <c r="L466" t="str">
        <f>Orders!K466</f>
        <v>Mumbai</v>
      </c>
      <c r="M466">
        <f>Orders!G466</f>
        <v>3450</v>
      </c>
      <c r="N466">
        <f>IFERROR(VLOOKUP(Orders!D466,Products!$A$2:$D$61,4,FALSE),"")</f>
        <v>2467</v>
      </c>
      <c r="O466">
        <f t="shared" si="18"/>
        <v>0.28492753623188405</v>
      </c>
      <c r="Q466" t="str">
        <f>Orders!D466</f>
        <v>PROD-051</v>
      </c>
    </row>
    <row r="467" spans="1:17" x14ac:dyDescent="0.3">
      <c r="A467" t="str">
        <f>Orders!A467</f>
        <v>ORD-00466</v>
      </c>
      <c r="B467">
        <f>Orders!B467</f>
        <v>45427</v>
      </c>
      <c r="C467">
        <f>Orders!I467</f>
        <v>10040.959999999999</v>
      </c>
      <c r="D467" t="str">
        <f>Orders!E467</f>
        <v>R016</v>
      </c>
      <c r="E467" t="str">
        <f>IFERROR(VLOOKUP(Orders!D467,Products!$A$2:$C$61,3,FALSE),"Unknown")</f>
        <v>Sports</v>
      </c>
      <c r="F467" t="str">
        <f>IFERROR(VLOOKUP(Orders!C467,Customers!$A$2:$E$301,5,FALSE),"Unknown")</f>
        <v>Corporate</v>
      </c>
      <c r="G467">
        <f>IFERROR(VLOOKUP(Orders!C467,Customers!$A$2:$C$301,3,FALSE),"")</f>
        <v>52</v>
      </c>
      <c r="H467" t="str">
        <f>VLOOKUP(D467,Sales_Reps!$A$2:$C$31,3,FALSE)</f>
        <v>South</v>
      </c>
      <c r="I467" s="44">
        <f t="shared" si="17"/>
        <v>45413</v>
      </c>
      <c r="L467" t="str">
        <f>Orders!K467</f>
        <v>Hyderabad</v>
      </c>
      <c r="M467">
        <f>Orders!G467</f>
        <v>5410</v>
      </c>
      <c r="N467">
        <f>IFERROR(VLOOKUP(Orders!D467,Products!$A$2:$D$61,4,FALSE),"")</f>
        <v>2265</v>
      </c>
      <c r="O467">
        <f t="shared" si="18"/>
        <v>0.58133086876155271</v>
      </c>
      <c r="Q467" t="str">
        <f>Orders!D467</f>
        <v>PROD-052</v>
      </c>
    </row>
    <row r="468" spans="1:17" x14ac:dyDescent="0.3">
      <c r="A468" t="str">
        <f>Orders!A468</f>
        <v>ORD-00467</v>
      </c>
      <c r="B468">
        <f>Orders!B468</f>
        <v>45315</v>
      </c>
      <c r="C468">
        <f>Orders!I468</f>
        <v>11122.38</v>
      </c>
      <c r="D468" t="str">
        <f>Orders!E468</f>
        <v>R013</v>
      </c>
      <c r="E468" t="str">
        <f>IFERROR(VLOOKUP(Orders!D468,Products!$A$2:$C$61,3,FALSE),"Unknown")</f>
        <v>Electronics</v>
      </c>
      <c r="F468" t="str">
        <f>IFERROR(VLOOKUP(Orders!C468,Customers!$A$2:$E$301,5,FALSE),"Unknown")</f>
        <v>Corporate</v>
      </c>
      <c r="G468">
        <f>IFERROR(VLOOKUP(Orders!C468,Customers!$A$2:$C$301,3,FALSE),"")</f>
        <v>30</v>
      </c>
      <c r="H468" t="str">
        <f>VLOOKUP(D468,Sales_Reps!$A$2:$C$31,3,FALSE)</f>
        <v>South</v>
      </c>
      <c r="I468" s="44">
        <f t="shared" si="17"/>
        <v>45292</v>
      </c>
      <c r="L468" t="str">
        <f>Orders!K468</f>
        <v>Chennai</v>
      </c>
      <c r="M468">
        <f>Orders!G468</f>
        <v>3870</v>
      </c>
      <c r="N468">
        <f>IFERROR(VLOOKUP(Orders!D468,Products!$A$2:$D$61,4,FALSE),"")</f>
        <v>1559</v>
      </c>
      <c r="O468">
        <f t="shared" si="18"/>
        <v>0.59715762273901807</v>
      </c>
      <c r="Q468" t="str">
        <f>Orders!D468</f>
        <v>PROD-004</v>
      </c>
    </row>
    <row r="469" spans="1:17" x14ac:dyDescent="0.3">
      <c r="A469" t="str">
        <f>Orders!A469</f>
        <v>ORD-00468</v>
      </c>
      <c r="B469">
        <f>Orders!B469</f>
        <v>45328</v>
      </c>
      <c r="C469">
        <f>Orders!I469</f>
        <v>18772.900000000001</v>
      </c>
      <c r="D469" t="str">
        <f>Orders!E469</f>
        <v>R005</v>
      </c>
      <c r="E469" t="str">
        <f>IFERROR(VLOOKUP(Orders!D469,Products!$A$2:$C$61,3,FALSE),"Unknown")</f>
        <v>Grocery</v>
      </c>
      <c r="F469" t="str">
        <f>IFERROR(VLOOKUP(Orders!C469,Customers!$A$2:$E$301,5,FALSE),"Unknown")</f>
        <v>SMB</v>
      </c>
      <c r="G469">
        <f>IFERROR(VLOOKUP(Orders!C469,Customers!$A$2:$C$301,3,FALSE),"")</f>
        <v>60</v>
      </c>
      <c r="H469" t="str">
        <f>VLOOKUP(D469,Sales_Reps!$A$2:$C$31,3,FALSE)</f>
        <v>North</v>
      </c>
      <c r="I469" s="44">
        <f t="shared" si="17"/>
        <v>45323</v>
      </c>
      <c r="L469" t="str">
        <f>Orders!K469</f>
        <v>Pune</v>
      </c>
      <c r="M469">
        <f>Orders!G469</f>
        <v>2270</v>
      </c>
      <c r="N469">
        <f>IFERROR(VLOOKUP(Orders!D469,Products!$A$2:$D$61,4,FALSE),"")</f>
        <v>1203</v>
      </c>
      <c r="O469">
        <f t="shared" si="18"/>
        <v>0.47004405286343615</v>
      </c>
      <c r="Q469" t="str">
        <f>Orders!D469</f>
        <v>PROD-024</v>
      </c>
    </row>
    <row r="470" spans="1:17" x14ac:dyDescent="0.3">
      <c r="A470" t="str">
        <f>Orders!A470</f>
        <v>ORD-00469</v>
      </c>
      <c r="B470">
        <f>Orders!B470</f>
        <v>45394</v>
      </c>
      <c r="C470">
        <f>Orders!I470</f>
        <v>4040.14</v>
      </c>
      <c r="D470" t="str">
        <f>Orders!E470</f>
        <v>R025</v>
      </c>
      <c r="E470" t="str">
        <f>IFERROR(VLOOKUP(Orders!D470,Products!$A$2:$C$61,3,FALSE),"Unknown")</f>
        <v>Electronics</v>
      </c>
      <c r="F470" t="str">
        <f>IFERROR(VLOOKUP(Orders!C470,Customers!$A$2:$E$301,5,FALSE),"Unknown")</f>
        <v>Retail</v>
      </c>
      <c r="G470">
        <f>IFERROR(VLOOKUP(Orders!C470,Customers!$A$2:$C$301,3,FALSE),"")</f>
        <v>46</v>
      </c>
      <c r="H470" t="str">
        <f>VLOOKUP(D470,Sales_Reps!$A$2:$C$31,3,FALSE)</f>
        <v>West</v>
      </c>
      <c r="I470" s="44">
        <f t="shared" si="17"/>
        <v>45383</v>
      </c>
      <c r="L470" t="str">
        <f>Orders!K470</f>
        <v>Bengaluru</v>
      </c>
      <c r="M470">
        <f>Orders!G470</f>
        <v>5330</v>
      </c>
      <c r="N470">
        <f>IFERROR(VLOOKUP(Orders!D470,Products!$A$2:$D$61,4,FALSE),"")</f>
        <v>2405</v>
      </c>
      <c r="O470">
        <f t="shared" si="18"/>
        <v>0.54878048780487809</v>
      </c>
      <c r="Q470" t="str">
        <f>Orders!D470</f>
        <v>PROD-001</v>
      </c>
    </row>
    <row r="471" spans="1:17" x14ac:dyDescent="0.3">
      <c r="A471" t="str">
        <f>Orders!A471</f>
        <v>ORD-00470</v>
      </c>
      <c r="B471">
        <f>Orders!B471</f>
        <v>45414</v>
      </c>
      <c r="C471">
        <f>Orders!I471</f>
        <v>5132.2</v>
      </c>
      <c r="D471" t="str">
        <f>Orders!E471</f>
        <v>R015</v>
      </c>
      <c r="E471" t="str">
        <f>IFERROR(VLOOKUP(Orders!D471,Products!$A$2:$C$61,3,FALSE),"Unknown")</f>
        <v>Beauty</v>
      </c>
      <c r="F471" t="str">
        <f>IFERROR(VLOOKUP(Orders!C471,Customers!$A$2:$E$301,5,FALSE),"Unknown")</f>
        <v>Corporate</v>
      </c>
      <c r="G471">
        <f>IFERROR(VLOOKUP(Orders!C471,Customers!$A$2:$C$301,3,FALSE),"")</f>
        <v>57</v>
      </c>
      <c r="H471" t="str">
        <f>VLOOKUP(D471,Sales_Reps!$A$2:$C$31,3,FALSE)</f>
        <v>South</v>
      </c>
      <c r="I471" s="44">
        <f t="shared" si="17"/>
        <v>45413</v>
      </c>
      <c r="L471" t="str">
        <f>Orders!K471</f>
        <v>Bengaluru</v>
      </c>
      <c r="M471">
        <f>Orders!G471</f>
        <v>3350</v>
      </c>
      <c r="N471">
        <f>IFERROR(VLOOKUP(Orders!D471,Products!$A$2:$D$61,4,FALSE),"")</f>
        <v>1728</v>
      </c>
      <c r="O471">
        <f t="shared" si="18"/>
        <v>0.48417910447761192</v>
      </c>
      <c r="Q471" t="str">
        <f>Orders!D471</f>
        <v>PROD-043</v>
      </c>
    </row>
    <row r="472" spans="1:17" x14ac:dyDescent="0.3">
      <c r="A472" t="str">
        <f>Orders!A472</f>
        <v>ORD-00471</v>
      </c>
      <c r="B472">
        <f>Orders!B472</f>
        <v>45393</v>
      </c>
      <c r="C472">
        <f>Orders!I472</f>
        <v>16129.82</v>
      </c>
      <c r="D472" t="str">
        <f>Orders!E472</f>
        <v>R006</v>
      </c>
      <c r="E472" t="str">
        <f>IFERROR(VLOOKUP(Orders!D472,Products!$A$2:$C$61,3,FALSE),"Unknown")</f>
        <v>Beauty</v>
      </c>
      <c r="F472" t="str">
        <f>IFERROR(VLOOKUP(Orders!C472,Customers!$A$2:$E$301,5,FALSE),"Unknown")</f>
        <v>Retail</v>
      </c>
      <c r="G472">
        <f>IFERROR(VLOOKUP(Orders!C472,Customers!$A$2:$C$301,3,FALSE),"")</f>
        <v>32</v>
      </c>
      <c r="H472" t="str">
        <f>VLOOKUP(D472,Sales_Reps!$A$2:$C$31,3,FALSE)</f>
        <v>North</v>
      </c>
      <c r="I472" s="44">
        <f t="shared" si="17"/>
        <v>45383</v>
      </c>
      <c r="L472" t="str">
        <f>Orders!K472</f>
        <v>Chennai</v>
      </c>
      <c r="M472">
        <f>Orders!G472</f>
        <v>3020</v>
      </c>
      <c r="N472">
        <f>IFERROR(VLOOKUP(Orders!D472,Products!$A$2:$D$61,4,FALSE),"")</f>
        <v>1626</v>
      </c>
      <c r="O472">
        <f t="shared" si="18"/>
        <v>0.46158940397350995</v>
      </c>
      <c r="Q472" t="str">
        <f>Orders!D472</f>
        <v>PROD-045</v>
      </c>
    </row>
    <row r="473" spans="1:17" x14ac:dyDescent="0.3">
      <c r="A473" t="str">
        <f>Orders!A473</f>
        <v>ORD-00472</v>
      </c>
      <c r="B473">
        <f>Orders!B473</f>
        <v>45535</v>
      </c>
      <c r="C473">
        <f>Orders!I473</f>
        <v>17076.64</v>
      </c>
      <c r="D473" t="str">
        <f>Orders!E473</f>
        <v>R020</v>
      </c>
      <c r="E473" t="str">
        <f>IFERROR(VLOOKUP(Orders!D473,Products!$A$2:$C$61,3,FALSE),"Unknown")</f>
        <v>Apparel</v>
      </c>
      <c r="F473" t="str">
        <f>IFERROR(VLOOKUP(Orders!C473,Customers!$A$2:$E$301,5,FALSE),"Unknown")</f>
        <v>SMB</v>
      </c>
      <c r="G473">
        <f>IFERROR(VLOOKUP(Orders!C473,Customers!$A$2:$C$301,3,FALSE),"")</f>
        <v>61</v>
      </c>
      <c r="H473" t="str">
        <f>VLOOKUP(D473,Sales_Reps!$A$2:$C$31,3,FALSE)</f>
        <v>East</v>
      </c>
      <c r="I473" s="44">
        <f t="shared" si="17"/>
        <v>45505</v>
      </c>
      <c r="L473" t="str">
        <f>Orders!K473</f>
        <v>Mumbai</v>
      </c>
      <c r="M473">
        <f>Orders!G473</f>
        <v>3160</v>
      </c>
      <c r="N473">
        <f>IFERROR(VLOOKUP(Orders!D473,Products!$A$2:$D$61,4,FALSE),"")</f>
        <v>1886</v>
      </c>
      <c r="O473">
        <f t="shared" si="18"/>
        <v>0.4031645569620253</v>
      </c>
      <c r="Q473" t="str">
        <f>Orders!D473</f>
        <v>PROD-012</v>
      </c>
    </row>
    <row r="474" spans="1:17" x14ac:dyDescent="0.3">
      <c r="A474" t="str">
        <f>Orders!A474</f>
        <v>ORD-00473</v>
      </c>
      <c r="B474">
        <f>Orders!B474</f>
        <v>45541</v>
      </c>
      <c r="C474">
        <f>Orders!I474</f>
        <v>669.28</v>
      </c>
      <c r="D474" t="str">
        <f>Orders!E474</f>
        <v>R020</v>
      </c>
      <c r="E474" t="str">
        <f>IFERROR(VLOOKUP(Orders!D474,Products!$A$2:$C$61,3,FALSE),"Unknown")</f>
        <v>Sports</v>
      </c>
      <c r="F474" t="str">
        <f>IFERROR(VLOOKUP(Orders!C474,Customers!$A$2:$E$301,5,FALSE),"Unknown")</f>
        <v>Retail</v>
      </c>
      <c r="G474">
        <f>IFERROR(VLOOKUP(Orders!C474,Customers!$A$2:$C$301,3,FALSE),"")</f>
        <v>35</v>
      </c>
      <c r="H474" t="str">
        <f>VLOOKUP(D474,Sales_Reps!$A$2:$C$31,3,FALSE)</f>
        <v>East</v>
      </c>
      <c r="I474" s="44">
        <f t="shared" si="17"/>
        <v>45536</v>
      </c>
      <c r="L474" t="str">
        <f>Orders!K474</f>
        <v>Bengaluru</v>
      </c>
      <c r="M474">
        <f>Orders!G474</f>
        <v>470</v>
      </c>
      <c r="N474">
        <f>IFERROR(VLOOKUP(Orders!D474,Products!$A$2:$D$61,4,FALSE),"")</f>
        <v>302</v>
      </c>
      <c r="O474">
        <f t="shared" si="18"/>
        <v>0.35744680851063831</v>
      </c>
      <c r="Q474" t="str">
        <f>Orders!D474</f>
        <v>PROD-053</v>
      </c>
    </row>
    <row r="475" spans="1:17" x14ac:dyDescent="0.3">
      <c r="A475" t="str">
        <f>Orders!A475</f>
        <v>ORD-00474</v>
      </c>
      <c r="B475">
        <f>Orders!B475</f>
        <v>45454</v>
      </c>
      <c r="C475">
        <f>Orders!I475</f>
        <v>4894.5</v>
      </c>
      <c r="D475" t="str">
        <f>Orders!E475</f>
        <v>R021</v>
      </c>
      <c r="E475" t="str">
        <f>IFERROR(VLOOKUP(Orders!D475,Products!$A$2:$C$61,3,FALSE),"Unknown")</f>
        <v>Home</v>
      </c>
      <c r="F475" t="str">
        <f>IFERROR(VLOOKUP(Orders!C475,Customers!$A$2:$E$301,5,FALSE),"Unknown")</f>
        <v>Retail</v>
      </c>
      <c r="G475">
        <f>IFERROR(VLOOKUP(Orders!C475,Customers!$A$2:$C$301,3,FALSE),"")</f>
        <v>37</v>
      </c>
      <c r="H475" t="str">
        <f>VLOOKUP(D475,Sales_Reps!$A$2:$C$31,3,FALSE)</f>
        <v>East</v>
      </c>
      <c r="I475" s="44">
        <f t="shared" si="17"/>
        <v>45444</v>
      </c>
      <c r="L475" t="str">
        <f>Orders!K475</f>
        <v>Mumbai</v>
      </c>
      <c r="M475">
        <f>Orders!G475</f>
        <v>3250</v>
      </c>
      <c r="N475">
        <f>IFERROR(VLOOKUP(Orders!D475,Products!$A$2:$D$61,4,FALSE),"")</f>
        <v>1556</v>
      </c>
      <c r="O475">
        <f t="shared" si="18"/>
        <v>0.52123076923076928</v>
      </c>
      <c r="Q475" t="str">
        <f>Orders!D475</f>
        <v>PROD-036</v>
      </c>
    </row>
    <row r="476" spans="1:17" x14ac:dyDescent="0.3">
      <c r="A476" t="str">
        <f>Orders!A476</f>
        <v>ORD-00475</v>
      </c>
      <c r="B476">
        <f>Orders!B476</f>
        <v>45631</v>
      </c>
      <c r="C476">
        <f>Orders!I476</f>
        <v>1914.96</v>
      </c>
      <c r="D476" t="str">
        <f>Orders!E476</f>
        <v>R023</v>
      </c>
      <c r="E476" t="str">
        <f>IFERROR(VLOOKUP(Orders!D476,Products!$A$2:$C$61,3,FALSE),"Unknown")</f>
        <v>Sports</v>
      </c>
      <c r="F476" t="str">
        <f>IFERROR(VLOOKUP(Orders!C476,Customers!$A$2:$E$301,5,FALSE),"Unknown")</f>
        <v>SMB</v>
      </c>
      <c r="G476">
        <f>IFERROR(VLOOKUP(Orders!C476,Customers!$A$2:$C$301,3,FALSE),"")</f>
        <v>54</v>
      </c>
      <c r="H476" t="str">
        <f>VLOOKUP(D476,Sales_Reps!$A$2:$C$31,3,FALSE)</f>
        <v>East</v>
      </c>
      <c r="I476" s="44">
        <f t="shared" si="17"/>
        <v>45627</v>
      </c>
      <c r="L476" t="str">
        <f>Orders!K476</f>
        <v>Pune</v>
      </c>
      <c r="M476">
        <f>Orders!G476</f>
        <v>1010</v>
      </c>
      <c r="N476">
        <f>IFERROR(VLOOKUP(Orders!D476,Products!$A$2:$D$61,4,FALSE),"")</f>
        <v>516</v>
      </c>
      <c r="O476">
        <f t="shared" si="18"/>
        <v>0.4891089108910891</v>
      </c>
      <c r="Q476" t="str">
        <f>Orders!D476</f>
        <v>PROD-054</v>
      </c>
    </row>
    <row r="477" spans="1:17" x14ac:dyDescent="0.3">
      <c r="A477" t="str">
        <f>Orders!A477</f>
        <v>ORD-00476</v>
      </c>
      <c r="B477">
        <f>Orders!B477</f>
        <v>45588</v>
      </c>
      <c r="C477">
        <f>Orders!I477</f>
        <v>2486.6999999999998</v>
      </c>
      <c r="D477" t="str">
        <f>Orders!E477</f>
        <v>R001</v>
      </c>
      <c r="E477" t="str">
        <f>IFERROR(VLOOKUP(Orders!D477,Products!$A$2:$C$61,3,FALSE),"Unknown")</f>
        <v>Electronics</v>
      </c>
      <c r="F477" t="str">
        <f>IFERROR(VLOOKUP(Orders!C477,Customers!$A$2:$E$301,5,FALSE),"Unknown")</f>
        <v>SMB</v>
      </c>
      <c r="G477">
        <f>IFERROR(VLOOKUP(Orders!C477,Customers!$A$2:$C$301,3,FALSE),"")</f>
        <v>43</v>
      </c>
      <c r="H477" t="str">
        <f>VLOOKUP(D477,Sales_Reps!$A$2:$C$31,3,FALSE)</f>
        <v>North</v>
      </c>
      <c r="I477" s="44">
        <f t="shared" si="17"/>
        <v>45566</v>
      </c>
      <c r="L477" t="str">
        <f>Orders!K477</f>
        <v>Mumbai</v>
      </c>
      <c r="M477">
        <f>Orders!G477</f>
        <v>300</v>
      </c>
      <c r="N477">
        <f>IFERROR(VLOOKUP(Orders!D477,Products!$A$2:$D$61,4,FALSE),"")</f>
        <v>128</v>
      </c>
      <c r="O477">
        <f t="shared" si="18"/>
        <v>0.57333333333333336</v>
      </c>
      <c r="Q477" t="str">
        <f>Orders!D477</f>
        <v>PROD-005</v>
      </c>
    </row>
    <row r="478" spans="1:17" x14ac:dyDescent="0.3">
      <c r="A478" t="str">
        <f>Orders!A478</f>
        <v>ORD-00477</v>
      </c>
      <c r="B478">
        <f>Orders!B478</f>
        <v>45469</v>
      </c>
      <c r="C478">
        <f>Orders!I478</f>
        <v>37587</v>
      </c>
      <c r="D478" t="str">
        <f>Orders!E478</f>
        <v>R006</v>
      </c>
      <c r="E478" t="str">
        <f>IFERROR(VLOOKUP(Orders!D478,Products!$A$2:$C$61,3,FALSE),"Unknown")</f>
        <v>Beauty</v>
      </c>
      <c r="F478" t="str">
        <f>IFERROR(VLOOKUP(Orders!C478,Customers!$A$2:$E$301,5,FALSE),"Unknown")</f>
        <v>Corporate</v>
      </c>
      <c r="G478">
        <f>IFERROR(VLOOKUP(Orders!C478,Customers!$A$2:$C$301,3,FALSE),"")</f>
        <v>52</v>
      </c>
      <c r="H478" t="str">
        <f>VLOOKUP(D478,Sales_Reps!$A$2:$C$31,3,FALSE)</f>
        <v>North</v>
      </c>
      <c r="I478" s="44">
        <f t="shared" si="17"/>
        <v>45444</v>
      </c>
      <c r="L478" t="str">
        <f>Orders!K478</f>
        <v>Pune</v>
      </c>
      <c r="M478">
        <f>Orders!G478</f>
        <v>5100</v>
      </c>
      <c r="N478">
        <f>IFERROR(VLOOKUP(Orders!D478,Products!$A$2:$D$61,4,FALSE),"")</f>
        <v>2237</v>
      </c>
      <c r="O478">
        <f t="shared" si="18"/>
        <v>0.56137254901960787</v>
      </c>
      <c r="Q478" t="str">
        <f>Orders!D478</f>
        <v>PROD-048</v>
      </c>
    </row>
    <row r="479" spans="1:17" x14ac:dyDescent="0.3">
      <c r="A479" t="str">
        <f>Orders!A479</f>
        <v>ORD-00478</v>
      </c>
      <c r="B479">
        <f>Orders!B479</f>
        <v>45552</v>
      </c>
      <c r="C479">
        <f>Orders!I479</f>
        <v>3065.25</v>
      </c>
      <c r="D479" t="str">
        <f>Orders!E479</f>
        <v>R028</v>
      </c>
      <c r="E479" t="str">
        <f>IFERROR(VLOOKUP(Orders!D479,Products!$A$2:$C$61,3,FALSE),"Unknown")</f>
        <v>Beauty</v>
      </c>
      <c r="F479" t="str">
        <f>IFERROR(VLOOKUP(Orders!C479,Customers!$A$2:$E$301,5,FALSE),"Unknown")</f>
        <v>Retail</v>
      </c>
      <c r="G479">
        <f>IFERROR(VLOOKUP(Orders!C479,Customers!$A$2:$C$301,3,FALSE),"")</f>
        <v>31</v>
      </c>
      <c r="H479" t="str">
        <f>VLOOKUP(D479,Sales_Reps!$A$2:$C$31,3,FALSE)</f>
        <v>West</v>
      </c>
      <c r="I479" s="44">
        <f t="shared" si="17"/>
        <v>45536</v>
      </c>
      <c r="L479" t="str">
        <f>Orders!K479</f>
        <v>Hyderabad</v>
      </c>
      <c r="M479">
        <f>Orders!G479</f>
        <v>3350</v>
      </c>
      <c r="N479">
        <f>IFERROR(VLOOKUP(Orders!D479,Products!$A$2:$D$61,4,FALSE),"")</f>
        <v>1728</v>
      </c>
      <c r="O479">
        <f t="shared" si="18"/>
        <v>0.48417910447761192</v>
      </c>
      <c r="Q479" t="str">
        <f>Orders!D479</f>
        <v>PROD-043</v>
      </c>
    </row>
    <row r="480" spans="1:17" x14ac:dyDescent="0.3">
      <c r="A480" t="str">
        <f>Orders!A480</f>
        <v>ORD-01195</v>
      </c>
      <c r="B480">
        <f>Orders!B480</f>
        <v>45554</v>
      </c>
      <c r="C480">
        <f>Orders!I480</f>
        <v>4829.5</v>
      </c>
      <c r="D480" t="str">
        <f>Orders!E480</f>
        <v>R022</v>
      </c>
      <c r="E480" t="str">
        <f>IFERROR(VLOOKUP(Orders!D480,Products!$A$2:$C$61,3,FALSE),"Unknown")</f>
        <v>Home</v>
      </c>
      <c r="F480" t="str">
        <f>IFERROR(VLOOKUP(Orders!C480,Customers!$A$2:$E$301,5,FALSE),"Unknown")</f>
        <v>Retail</v>
      </c>
      <c r="G480">
        <f>IFERROR(VLOOKUP(Orders!C480,Customers!$A$2:$C$301,3,FALSE),"")</f>
        <v>55</v>
      </c>
      <c r="H480" t="str">
        <f>VLOOKUP(D480,Sales_Reps!$A$2:$C$31,3,FALSE)</f>
        <v>East</v>
      </c>
      <c r="I480" s="44">
        <f t="shared" si="17"/>
        <v>45536</v>
      </c>
      <c r="L480" t="str">
        <f>Orders!K480</f>
        <v>Delhi</v>
      </c>
      <c r="M480">
        <f>Orders!G480</f>
        <v>3250</v>
      </c>
      <c r="N480">
        <f>IFERROR(VLOOKUP(Orders!D480,Products!$A$2:$D$61,4,FALSE),"")</f>
        <v>1556</v>
      </c>
      <c r="O480">
        <f t="shared" si="18"/>
        <v>0.52123076923076928</v>
      </c>
      <c r="Q480" t="str">
        <f>Orders!D480</f>
        <v>PROD-036</v>
      </c>
    </row>
    <row r="481" spans="1:17" x14ac:dyDescent="0.3">
      <c r="A481" t="str">
        <f>Orders!A481</f>
        <v>ORD-00480</v>
      </c>
      <c r="B481">
        <f>Orders!B481</f>
        <v>45352</v>
      </c>
      <c r="C481">
        <f>Orders!I481</f>
        <v>32208</v>
      </c>
      <c r="D481" t="str">
        <f>Orders!E481</f>
        <v>R008</v>
      </c>
      <c r="E481" t="str">
        <f>IFERROR(VLOOKUP(Orders!D481,Products!$A$2:$C$61,3,FALSE),"Unknown")</f>
        <v>Grocery</v>
      </c>
      <c r="F481" t="str">
        <f>IFERROR(VLOOKUP(Orders!C481,Customers!$A$2:$E$301,5,FALSE),"Unknown")</f>
        <v>Retail</v>
      </c>
      <c r="G481">
        <f>IFERROR(VLOOKUP(Orders!C481,Customers!$A$2:$C$301,3,FALSE),"")</f>
        <v>38</v>
      </c>
      <c r="H481" t="str">
        <f>VLOOKUP(D481,Sales_Reps!$A$2:$C$31,3,FALSE)</f>
        <v>North</v>
      </c>
      <c r="I481" s="44">
        <f t="shared" si="17"/>
        <v>45352</v>
      </c>
      <c r="L481" t="str">
        <f>Orders!K481</f>
        <v>Pune</v>
      </c>
      <c r="M481">
        <f>Orders!G481</f>
        <v>3660</v>
      </c>
      <c r="N481">
        <f>IFERROR(VLOOKUP(Orders!D481,Products!$A$2:$D$61,4,FALSE),"")</f>
        <v>2214</v>
      </c>
      <c r="O481">
        <f t="shared" si="18"/>
        <v>0.39508196721311473</v>
      </c>
      <c r="Q481" t="str">
        <f>Orders!D481</f>
        <v>PROD-028</v>
      </c>
    </row>
    <row r="482" spans="1:17" x14ac:dyDescent="0.3">
      <c r="A482" t="str">
        <f>Orders!A482</f>
        <v>ORD-00481</v>
      </c>
      <c r="B482">
        <f>Orders!B482</f>
        <v>45521</v>
      </c>
      <c r="C482">
        <f>Orders!I482</f>
        <v>1812</v>
      </c>
      <c r="D482" t="str">
        <f>Orders!E482</f>
        <v>R009</v>
      </c>
      <c r="E482" t="str">
        <f>IFERROR(VLOOKUP(Orders!D482,Products!$A$2:$C$61,3,FALSE),"Unknown")</f>
        <v>Sports</v>
      </c>
      <c r="F482" t="str">
        <f>IFERROR(VLOOKUP(Orders!C482,Customers!$A$2:$E$301,5,FALSE),"Unknown")</f>
        <v>Retail</v>
      </c>
      <c r="G482">
        <f>IFERROR(VLOOKUP(Orders!C482,Customers!$A$2:$C$301,3,FALSE),"")</f>
        <v>51</v>
      </c>
      <c r="H482" t="str">
        <f>VLOOKUP(D482,Sales_Reps!$A$2:$C$31,3,FALSE)</f>
        <v>South</v>
      </c>
      <c r="I482" s="44">
        <f t="shared" si="17"/>
        <v>45505</v>
      </c>
      <c r="L482" t="str">
        <f>Orders!K482</f>
        <v>Chennai</v>
      </c>
      <c r="M482">
        <f>Orders!G482</f>
        <v>2400</v>
      </c>
      <c r="N482">
        <f>IFERROR(VLOOKUP(Orders!D482,Products!$A$2:$D$61,4,FALSE),"")</f>
        <v>974</v>
      </c>
      <c r="O482">
        <f t="shared" si="18"/>
        <v>0.59416666666666662</v>
      </c>
      <c r="Q482" t="str">
        <f>Orders!D482</f>
        <v>PROD-058</v>
      </c>
    </row>
    <row r="483" spans="1:17" x14ac:dyDescent="0.3">
      <c r="A483" t="str">
        <f>Orders!A483</f>
        <v>ORD-00482</v>
      </c>
      <c r="B483">
        <f>Orders!B483</f>
        <v>45496</v>
      </c>
      <c r="C483">
        <f>Orders!I483</f>
        <v>889.44</v>
      </c>
      <c r="D483" t="str">
        <f>Orders!E483</f>
        <v>R010</v>
      </c>
      <c r="E483" t="str">
        <f>IFERROR(VLOOKUP(Orders!D483,Products!$A$2:$C$61,3,FALSE),"Unknown")</f>
        <v>Home</v>
      </c>
      <c r="F483" t="str">
        <f>IFERROR(VLOOKUP(Orders!C483,Customers!$A$2:$E$301,5,FALSE),"Unknown")</f>
        <v>Corporate</v>
      </c>
      <c r="G483">
        <f>IFERROR(VLOOKUP(Orders!C483,Customers!$A$2:$C$301,3,FALSE),"")</f>
        <v>31</v>
      </c>
      <c r="H483" t="str">
        <f>VLOOKUP(D483,Sales_Reps!$A$2:$C$31,3,FALSE)</f>
        <v>South</v>
      </c>
      <c r="I483" s="44">
        <f t="shared" si="17"/>
        <v>45474</v>
      </c>
      <c r="L483" t="str">
        <f>Orders!K483</f>
        <v>Delhi</v>
      </c>
      <c r="M483">
        <f>Orders!G483</f>
        <v>1090</v>
      </c>
      <c r="N483">
        <f>IFERROR(VLOOKUP(Orders!D483,Products!$A$2:$D$61,4,FALSE),"")</f>
        <v>464</v>
      </c>
      <c r="O483">
        <f t="shared" si="18"/>
        <v>0.57431192660550456</v>
      </c>
      <c r="Q483" t="str">
        <f>Orders!D483</f>
        <v>PROD-035</v>
      </c>
    </row>
    <row r="484" spans="1:17" x14ac:dyDescent="0.3">
      <c r="A484" t="str">
        <f>Orders!A484</f>
        <v>ORD-00483</v>
      </c>
      <c r="B484">
        <f>Orders!B484</f>
        <v>45404</v>
      </c>
      <c r="C484">
        <f>Orders!I484</f>
        <v>19073.88</v>
      </c>
      <c r="D484" t="str">
        <f>Orders!E484</f>
        <v>R015</v>
      </c>
      <c r="E484" t="str">
        <f>IFERROR(VLOOKUP(Orders!D484,Products!$A$2:$C$61,3,FALSE),"Unknown")</f>
        <v>Sports</v>
      </c>
      <c r="F484" t="str">
        <f>IFERROR(VLOOKUP(Orders!C484,Customers!$A$2:$E$301,5,FALSE),"Unknown")</f>
        <v>Retail</v>
      </c>
      <c r="G484">
        <f>IFERROR(VLOOKUP(Orders!C484,Customers!$A$2:$C$301,3,FALSE),"")</f>
        <v>22</v>
      </c>
      <c r="H484" t="str">
        <f>VLOOKUP(D484,Sales_Reps!$A$2:$C$31,3,FALSE)</f>
        <v>South</v>
      </c>
      <c r="I484" s="44">
        <f t="shared" si="17"/>
        <v>45383</v>
      </c>
      <c r="L484" t="str">
        <f>Orders!K484</f>
        <v>Chennai</v>
      </c>
      <c r="M484">
        <f>Orders!G484</f>
        <v>3780</v>
      </c>
      <c r="N484">
        <f>IFERROR(VLOOKUP(Orders!D484,Products!$A$2:$D$61,4,FALSE),"")</f>
        <v>1860</v>
      </c>
      <c r="O484">
        <f t="shared" si="18"/>
        <v>0.50793650793650791</v>
      </c>
      <c r="Q484" t="str">
        <f>Orders!D484</f>
        <v>PROD-059</v>
      </c>
    </row>
    <row r="485" spans="1:17" x14ac:dyDescent="0.3">
      <c r="A485" t="str">
        <f>Orders!A485</f>
        <v>ORD-00484</v>
      </c>
      <c r="B485">
        <f>Orders!B485</f>
        <v>45330</v>
      </c>
      <c r="C485">
        <f>Orders!I485</f>
        <v>8160.6</v>
      </c>
      <c r="D485" t="str">
        <f>Orders!E485</f>
        <v>R019</v>
      </c>
      <c r="E485" t="str">
        <f>IFERROR(VLOOKUP(Orders!D485,Products!$A$2:$C$61,3,FALSE),"Unknown")</f>
        <v>Beauty</v>
      </c>
      <c r="F485" t="str">
        <f>IFERROR(VLOOKUP(Orders!C485,Customers!$A$2:$E$301,5,FALSE),"Unknown")</f>
        <v>SMB</v>
      </c>
      <c r="G485">
        <f>IFERROR(VLOOKUP(Orders!C485,Customers!$A$2:$C$301,3,FALSE),"")</f>
        <v>49</v>
      </c>
      <c r="H485" t="str">
        <f>VLOOKUP(D485,Sales_Reps!$A$2:$C$31,3,FALSE)</f>
        <v>East</v>
      </c>
      <c r="I485" s="44">
        <f t="shared" si="17"/>
        <v>45323</v>
      </c>
      <c r="L485" t="str">
        <f>Orders!K485</f>
        <v>Pune</v>
      </c>
      <c r="M485">
        <f>Orders!G485</f>
        <v>3350</v>
      </c>
      <c r="N485">
        <f>IFERROR(VLOOKUP(Orders!D485,Products!$A$2:$D$61,4,FALSE),"")</f>
        <v>1728</v>
      </c>
      <c r="O485">
        <f t="shared" si="18"/>
        <v>0.48417910447761192</v>
      </c>
      <c r="Q485" t="str">
        <f>Orders!D485</f>
        <v>PROD-043</v>
      </c>
    </row>
    <row r="486" spans="1:17" x14ac:dyDescent="0.3">
      <c r="A486" t="str">
        <f>Orders!A486</f>
        <v>ORD-00485</v>
      </c>
      <c r="B486">
        <f>Orders!B486</f>
        <v>45323</v>
      </c>
      <c r="C486">
        <f>Orders!I486</f>
        <v>3129.84</v>
      </c>
      <c r="D486" t="str">
        <f>Orders!E486</f>
        <v>R030</v>
      </c>
      <c r="E486" t="str">
        <f>IFERROR(VLOOKUP(Orders!D486,Products!$A$2:$C$61,3,FALSE),"Unknown")</f>
        <v>Home</v>
      </c>
      <c r="F486" t="str">
        <f>IFERROR(VLOOKUP(Orders!C486,Customers!$A$2:$E$301,5,FALSE),"Unknown")</f>
        <v>Corporate</v>
      </c>
      <c r="G486">
        <f>IFERROR(VLOOKUP(Orders!C486,Customers!$A$2:$C$301,3,FALSE),"")</f>
        <v>57</v>
      </c>
      <c r="H486" t="str">
        <f>VLOOKUP(D486,Sales_Reps!$A$2:$C$31,3,FALSE)</f>
        <v>West</v>
      </c>
      <c r="I486" s="44">
        <f t="shared" si="17"/>
        <v>45323</v>
      </c>
      <c r="L486" t="str">
        <f>Orders!K486</f>
        <v>Bengaluru</v>
      </c>
      <c r="M486">
        <f>Orders!G486</f>
        <v>1080</v>
      </c>
      <c r="N486">
        <f>IFERROR(VLOOKUP(Orders!D486,Products!$A$2:$D$61,4,FALSE),"")</f>
        <v>519</v>
      </c>
      <c r="O486">
        <f t="shared" si="18"/>
        <v>0.51944444444444449</v>
      </c>
      <c r="Q486" t="str">
        <f>Orders!D486</f>
        <v>PROD-040</v>
      </c>
    </row>
    <row r="487" spans="1:17" x14ac:dyDescent="0.3">
      <c r="A487" t="str">
        <f>Orders!A487</f>
        <v>ORD-00486</v>
      </c>
      <c r="B487">
        <f>Orders!B487</f>
        <v>45519</v>
      </c>
      <c r="C487">
        <f>Orders!I487</f>
        <v>17655.66</v>
      </c>
      <c r="D487" t="str">
        <f>Orders!E487</f>
        <v>R022</v>
      </c>
      <c r="E487" t="str">
        <f>IFERROR(VLOOKUP(Orders!D487,Products!$A$2:$C$61,3,FALSE),"Unknown")</f>
        <v>Grocery</v>
      </c>
      <c r="F487" t="str">
        <f>IFERROR(VLOOKUP(Orders!C487,Customers!$A$2:$E$301,5,FALSE),"Unknown")</f>
        <v>SMB</v>
      </c>
      <c r="G487">
        <f>IFERROR(VLOOKUP(Orders!C487,Customers!$A$2:$C$301,3,FALSE),"")</f>
        <v>57</v>
      </c>
      <c r="H487" t="str">
        <f>VLOOKUP(D487,Sales_Reps!$A$2:$C$31,3,FALSE)</f>
        <v>East</v>
      </c>
      <c r="I487" s="44">
        <f t="shared" si="17"/>
        <v>45505</v>
      </c>
      <c r="L487" t="str">
        <f>Orders!K487</f>
        <v>Chennai</v>
      </c>
      <c r="M487">
        <f>Orders!G487</f>
        <v>4070</v>
      </c>
      <c r="N487">
        <f>IFERROR(VLOOKUP(Orders!D487,Products!$A$2:$D$61,4,FALSE),"")</f>
        <v>2027</v>
      </c>
      <c r="O487">
        <f t="shared" si="18"/>
        <v>0.50196560196560192</v>
      </c>
      <c r="Q487" t="str">
        <f>Orders!D487</f>
        <v>PROD-026</v>
      </c>
    </row>
    <row r="488" spans="1:17" x14ac:dyDescent="0.3">
      <c r="A488" t="str">
        <f>Orders!A488</f>
        <v>ORD-00487</v>
      </c>
      <c r="B488">
        <f>Orders!B488</f>
        <v>45514</v>
      </c>
      <c r="C488">
        <f>Orders!I488</f>
        <v>5782.7</v>
      </c>
      <c r="D488" t="str">
        <f>Orders!E488</f>
        <v>R026</v>
      </c>
      <c r="E488" t="str">
        <f>IFERROR(VLOOKUP(Orders!D488,Products!$A$2:$C$61,3,FALSE),"Unknown")</f>
        <v>Beauty</v>
      </c>
      <c r="F488" t="str">
        <f>IFERROR(VLOOKUP(Orders!C488,Customers!$A$2:$E$301,5,FALSE),"Unknown")</f>
        <v>Retail</v>
      </c>
      <c r="G488">
        <f>IFERROR(VLOOKUP(Orders!C488,Customers!$A$2:$C$301,3,FALSE),"")</f>
        <v>22</v>
      </c>
      <c r="H488" t="str">
        <f>VLOOKUP(D488,Sales_Reps!$A$2:$C$31,3,FALSE)</f>
        <v>West</v>
      </c>
      <c r="I488" s="44">
        <f t="shared" si="17"/>
        <v>45505</v>
      </c>
      <c r="L488" t="str">
        <f>Orders!K488</f>
        <v>Chennai</v>
      </c>
      <c r="M488">
        <f>Orders!G488</f>
        <v>1540</v>
      </c>
      <c r="N488">
        <f>IFERROR(VLOOKUP(Orders!D488,Products!$A$2:$D$61,4,FALSE),"")</f>
        <v>647</v>
      </c>
      <c r="O488">
        <f t="shared" si="18"/>
        <v>0.57987012987012987</v>
      </c>
      <c r="Q488" t="str">
        <f>Orders!D488</f>
        <v>PROD-041</v>
      </c>
    </row>
    <row r="489" spans="1:17" x14ac:dyDescent="0.3">
      <c r="A489" t="str">
        <f>Orders!A489</f>
        <v>ORD-00488</v>
      </c>
      <c r="B489">
        <f>Orders!B489</f>
        <v>45497</v>
      </c>
      <c r="C489">
        <f>Orders!I489</f>
        <v>11608.56</v>
      </c>
      <c r="D489" t="str">
        <f>Orders!E489</f>
        <v>R028</v>
      </c>
      <c r="E489" t="str">
        <f>IFERROR(VLOOKUP(Orders!D489,Products!$A$2:$C$61,3,FALSE),"Unknown")</f>
        <v>Grocery</v>
      </c>
      <c r="F489" t="str">
        <f>IFERROR(VLOOKUP(Orders!C489,Customers!$A$2:$E$301,5,FALSE),"Unknown")</f>
        <v>SMB</v>
      </c>
      <c r="G489">
        <f>IFERROR(VLOOKUP(Orders!C489,Customers!$A$2:$C$301,3,FALSE),"")</f>
        <v>28</v>
      </c>
      <c r="H489" t="str">
        <f>VLOOKUP(D489,Sales_Reps!$A$2:$C$31,3,FALSE)</f>
        <v>West</v>
      </c>
      <c r="I489" s="44">
        <f t="shared" si="17"/>
        <v>45474</v>
      </c>
      <c r="L489" t="str">
        <f>Orders!K489</f>
        <v>Bengaluru</v>
      </c>
      <c r="M489">
        <f>Orders!G489</f>
        <v>2760</v>
      </c>
      <c r="N489">
        <f>IFERROR(VLOOKUP(Orders!D489,Products!$A$2:$D$61,4,FALSE),"")</f>
        <v>1435</v>
      </c>
      <c r="O489">
        <f t="shared" si="18"/>
        <v>0.48007246376811596</v>
      </c>
      <c r="Q489" t="str">
        <f>Orders!D489</f>
        <v>PROD-021</v>
      </c>
    </row>
    <row r="490" spans="1:17" x14ac:dyDescent="0.3">
      <c r="A490" t="str">
        <f>Orders!A490</f>
        <v>ORD-00489</v>
      </c>
      <c r="B490">
        <f>Orders!B490</f>
        <v>45639</v>
      </c>
      <c r="C490">
        <f>Orders!I490</f>
        <v>24232.880000000001</v>
      </c>
      <c r="D490" t="str">
        <f>Orders!E490</f>
        <v>R022</v>
      </c>
      <c r="E490" t="str">
        <f>IFERROR(VLOOKUP(Orders!D490,Products!$A$2:$C$61,3,FALSE),"Unknown")</f>
        <v>Electronics</v>
      </c>
      <c r="F490" t="str">
        <f>IFERROR(VLOOKUP(Orders!C490,Customers!$A$2:$E$301,5,FALSE),"Unknown")</f>
        <v>Retail</v>
      </c>
      <c r="G490">
        <f>IFERROR(VLOOKUP(Orders!C490,Customers!$A$2:$C$301,3,FALSE),"")</f>
        <v>28</v>
      </c>
      <c r="H490" t="str">
        <f>VLOOKUP(D490,Sales_Reps!$A$2:$C$31,3,FALSE)</f>
        <v>East</v>
      </c>
      <c r="I490" s="44">
        <f t="shared" si="17"/>
        <v>45627</v>
      </c>
      <c r="L490" t="str">
        <f>Orders!K490</f>
        <v>Bengaluru</v>
      </c>
      <c r="M490">
        <f>Orders!G490</f>
        <v>3970</v>
      </c>
      <c r="N490">
        <f>IFERROR(VLOOKUP(Orders!D490,Products!$A$2:$D$61,4,FALSE),"")</f>
        <v>2865</v>
      </c>
      <c r="O490">
        <f t="shared" si="18"/>
        <v>0.27833753148614609</v>
      </c>
      <c r="Q490" t="str">
        <f>Orders!D490</f>
        <v>PROD-006</v>
      </c>
    </row>
    <row r="491" spans="1:17" x14ac:dyDescent="0.3">
      <c r="A491" t="str">
        <f>Orders!A491</f>
        <v>ORD-00490</v>
      </c>
      <c r="B491">
        <f>Orders!B491</f>
        <v>45562</v>
      </c>
      <c r="C491">
        <f>Orders!I491</f>
        <v>3194.7</v>
      </c>
      <c r="D491" t="str">
        <f>Orders!E491</f>
        <v>R021</v>
      </c>
      <c r="E491" t="str">
        <f>IFERROR(VLOOKUP(Orders!D491,Products!$A$2:$C$61,3,FALSE),"Unknown")</f>
        <v>Apparel</v>
      </c>
      <c r="F491" t="str">
        <f>IFERROR(VLOOKUP(Orders!C491,Customers!$A$2:$E$301,5,FALSE),"Unknown")</f>
        <v>Retail</v>
      </c>
      <c r="G491">
        <f>IFERROR(VLOOKUP(Orders!C491,Customers!$A$2:$C$301,3,FALSE),"")</f>
        <v>37</v>
      </c>
      <c r="H491" t="str">
        <f>VLOOKUP(D491,Sales_Reps!$A$2:$C$31,3,FALSE)</f>
        <v>East</v>
      </c>
      <c r="I491" s="44">
        <f t="shared" si="17"/>
        <v>45536</v>
      </c>
      <c r="L491" t="str">
        <f>Orders!K491</f>
        <v>Mumbai</v>
      </c>
      <c r="M491">
        <f>Orders!G491</f>
        <v>3450</v>
      </c>
      <c r="N491">
        <f>IFERROR(VLOOKUP(Orders!D491,Products!$A$2:$D$61,4,FALSE),"")</f>
        <v>1748</v>
      </c>
      <c r="O491">
        <f t="shared" si="18"/>
        <v>0.49333333333333335</v>
      </c>
      <c r="Q491" t="str">
        <f>Orders!D491</f>
        <v>PROD-011</v>
      </c>
    </row>
    <row r="492" spans="1:17" x14ac:dyDescent="0.3">
      <c r="A492" t="str">
        <f>Orders!A492</f>
        <v>ORD-00491</v>
      </c>
      <c r="B492">
        <f>Orders!B492</f>
        <v>45308</v>
      </c>
      <c r="C492">
        <f>Orders!I492</f>
        <v>9056.64</v>
      </c>
      <c r="D492" t="str">
        <f>Orders!E492</f>
        <v>R005</v>
      </c>
      <c r="E492" t="str">
        <f>IFERROR(VLOOKUP(Orders!D492,Products!$A$2:$C$61,3,FALSE),"Unknown")</f>
        <v>Apparel</v>
      </c>
      <c r="F492" t="str">
        <f>IFERROR(VLOOKUP(Orders!C492,Customers!$A$2:$E$301,5,FALSE),"Unknown")</f>
        <v>Corporate</v>
      </c>
      <c r="G492">
        <f>IFERROR(VLOOKUP(Orders!C492,Customers!$A$2:$C$301,3,FALSE),"")</f>
        <v>36</v>
      </c>
      <c r="H492" t="str">
        <f>VLOOKUP(D492,Sales_Reps!$A$2:$C$31,3,FALSE)</f>
        <v>North</v>
      </c>
      <c r="I492" s="44">
        <f t="shared" si="17"/>
        <v>45292</v>
      </c>
      <c r="L492" t="str">
        <f>Orders!K492</f>
        <v>Bengaluru</v>
      </c>
      <c r="M492">
        <f>Orders!G492</f>
        <v>3560</v>
      </c>
      <c r="N492">
        <f>IFERROR(VLOOKUP(Orders!D492,Products!$A$2:$D$61,4,FALSE),"")</f>
        <v>2629</v>
      </c>
      <c r="O492">
        <f t="shared" si="18"/>
        <v>0.26151685393258428</v>
      </c>
      <c r="Q492" t="str">
        <f>Orders!D492</f>
        <v>PROD-018</v>
      </c>
    </row>
    <row r="493" spans="1:17" x14ac:dyDescent="0.3">
      <c r="A493" t="str">
        <f>Orders!A493</f>
        <v>ORD-00492</v>
      </c>
      <c r="B493">
        <f>Orders!B493</f>
        <v>45428</v>
      </c>
      <c r="C493">
        <f>Orders!I493</f>
        <v>11581.08</v>
      </c>
      <c r="D493" t="str">
        <f>Orders!E493</f>
        <v>R030</v>
      </c>
      <c r="E493" t="str">
        <f>IFERROR(VLOOKUP(Orders!D493,Products!$A$2:$C$61,3,FALSE),"Unknown")</f>
        <v>Electronics</v>
      </c>
      <c r="F493" t="str">
        <f>IFERROR(VLOOKUP(Orders!C493,Customers!$A$2:$E$301,5,FALSE),"Unknown")</f>
        <v>Corporate</v>
      </c>
      <c r="G493">
        <f>IFERROR(VLOOKUP(Orders!C493,Customers!$A$2:$C$301,3,FALSE),"")</f>
        <v>29</v>
      </c>
      <c r="H493" t="str">
        <f>VLOOKUP(D493,Sales_Reps!$A$2:$C$31,3,FALSE)</f>
        <v>West</v>
      </c>
      <c r="I493" s="44">
        <f t="shared" si="17"/>
        <v>45413</v>
      </c>
      <c r="L493" t="str">
        <f>Orders!K493</f>
        <v>Pune</v>
      </c>
      <c r="M493">
        <f>Orders!G493</f>
        <v>3570</v>
      </c>
      <c r="N493">
        <f>IFERROR(VLOOKUP(Orders!D493,Products!$A$2:$D$61,4,FALSE),"")</f>
        <v>1665</v>
      </c>
      <c r="O493">
        <f t="shared" si="18"/>
        <v>0.53361344537815125</v>
      </c>
      <c r="Q493" t="str">
        <f>Orders!D493</f>
        <v>PROD-003</v>
      </c>
    </row>
    <row r="494" spans="1:17" x14ac:dyDescent="0.3">
      <c r="A494" t="str">
        <f>Orders!A494</f>
        <v>ORD-00493</v>
      </c>
      <c r="B494">
        <f>Orders!B494</f>
        <v>45472</v>
      </c>
      <c r="C494">
        <f>Orders!I494</f>
        <v>7430.4</v>
      </c>
      <c r="D494" t="str">
        <f>Orders!E494</f>
        <v>R025</v>
      </c>
      <c r="E494" t="str">
        <f>IFERROR(VLOOKUP(Orders!D494,Products!$A$2:$C$61,3,FALSE),"Unknown")</f>
        <v>Sports</v>
      </c>
      <c r="F494" t="str">
        <f>IFERROR(VLOOKUP(Orders!C494,Customers!$A$2:$E$301,5,FALSE),"Unknown")</f>
        <v>Retail</v>
      </c>
      <c r="G494">
        <f>IFERROR(VLOOKUP(Orders!C494,Customers!$A$2:$C$301,3,FALSE),"")</f>
        <v>59</v>
      </c>
      <c r="H494" t="str">
        <f>VLOOKUP(D494,Sales_Reps!$A$2:$C$31,3,FALSE)</f>
        <v>West</v>
      </c>
      <c r="I494" s="44">
        <f t="shared" si="17"/>
        <v>45444</v>
      </c>
      <c r="L494" t="str">
        <f>Orders!K494</f>
        <v>Pune</v>
      </c>
      <c r="M494">
        <f>Orders!G494</f>
        <v>960</v>
      </c>
      <c r="N494">
        <f>IFERROR(VLOOKUP(Orders!D494,Products!$A$2:$D$61,4,FALSE),"")</f>
        <v>705</v>
      </c>
      <c r="O494">
        <f t="shared" si="18"/>
        <v>0.265625</v>
      </c>
      <c r="Q494" t="str">
        <f>Orders!D494</f>
        <v>PROD-057</v>
      </c>
    </row>
    <row r="495" spans="1:17" x14ac:dyDescent="0.3">
      <c r="A495" t="str">
        <f>Orders!A495</f>
        <v>ORD-00494</v>
      </c>
      <c r="B495">
        <f>Orders!B495</f>
        <v>45406</v>
      </c>
      <c r="C495">
        <f>Orders!I495</f>
        <v>29187</v>
      </c>
      <c r="D495" t="str">
        <f>Orders!E495</f>
        <v>R016</v>
      </c>
      <c r="E495" t="str">
        <f>IFERROR(VLOOKUP(Orders!D495,Products!$A$2:$C$61,3,FALSE),"Unknown")</f>
        <v>Beauty</v>
      </c>
      <c r="F495" t="str">
        <f>IFERROR(VLOOKUP(Orders!C495,Customers!$A$2:$E$301,5,FALSE),"Unknown")</f>
        <v>Corporate</v>
      </c>
      <c r="G495">
        <f>IFERROR(VLOOKUP(Orders!C495,Customers!$A$2:$C$301,3,FALSE),"")</f>
        <v>52</v>
      </c>
      <c r="H495" t="str">
        <f>VLOOKUP(D495,Sales_Reps!$A$2:$C$31,3,FALSE)</f>
        <v>South</v>
      </c>
      <c r="I495" s="44">
        <f t="shared" si="17"/>
        <v>45383</v>
      </c>
      <c r="L495" t="str">
        <f>Orders!K495</f>
        <v>Pune</v>
      </c>
      <c r="M495">
        <f>Orders!G495</f>
        <v>3450</v>
      </c>
      <c r="N495">
        <f>IFERROR(VLOOKUP(Orders!D495,Products!$A$2:$D$61,4,FALSE),"")</f>
        <v>2420</v>
      </c>
      <c r="O495">
        <f t="shared" si="18"/>
        <v>0.29855072463768118</v>
      </c>
      <c r="Q495" t="str">
        <f>Orders!D495</f>
        <v>PROD-047</v>
      </c>
    </row>
    <row r="496" spans="1:17" x14ac:dyDescent="0.3">
      <c r="A496" t="str">
        <f>Orders!A496</f>
        <v>ORD-00495</v>
      </c>
      <c r="B496">
        <f>Orders!B496</f>
        <v>45457</v>
      </c>
      <c r="C496">
        <f>Orders!I496</f>
        <v>20167</v>
      </c>
      <c r="D496" t="str">
        <f>Orders!E496</f>
        <v>R012</v>
      </c>
      <c r="E496" t="str">
        <f>IFERROR(VLOOKUP(Orders!D496,Products!$A$2:$C$61,3,FALSE),"Unknown")</f>
        <v>Beauty</v>
      </c>
      <c r="F496" t="str">
        <f>IFERROR(VLOOKUP(Orders!C496,Customers!$A$2:$E$301,5,FALSE),"Unknown")</f>
        <v>Retail</v>
      </c>
      <c r="G496">
        <f>IFERROR(VLOOKUP(Orders!C496,Customers!$A$2:$C$301,3,FALSE),"")</f>
        <v>59</v>
      </c>
      <c r="H496" t="str">
        <f>VLOOKUP(D496,Sales_Reps!$A$2:$C$31,3,FALSE)</f>
        <v>South</v>
      </c>
      <c r="I496" s="44">
        <f t="shared" si="17"/>
        <v>45444</v>
      </c>
      <c r="L496" t="str">
        <f>Orders!K496</f>
        <v>Bengaluru</v>
      </c>
      <c r="M496">
        <f>Orders!G496</f>
        <v>3350</v>
      </c>
      <c r="N496">
        <f>IFERROR(VLOOKUP(Orders!D496,Products!$A$2:$D$61,4,FALSE),"")</f>
        <v>1728</v>
      </c>
      <c r="O496">
        <f t="shared" si="18"/>
        <v>0.48417910447761192</v>
      </c>
      <c r="Q496" t="str">
        <f>Orders!D496</f>
        <v>PROD-043</v>
      </c>
    </row>
    <row r="497" spans="1:17" x14ac:dyDescent="0.3">
      <c r="A497" t="str">
        <f>Orders!A497</f>
        <v>ORD-00496</v>
      </c>
      <c r="B497">
        <f>Orders!B497</f>
        <v>45298</v>
      </c>
      <c r="C497">
        <f>Orders!I497</f>
        <v>5178.24</v>
      </c>
      <c r="D497" t="str">
        <f>Orders!E497</f>
        <v>R004</v>
      </c>
      <c r="E497" t="str">
        <f>IFERROR(VLOOKUP(Orders!D497,Products!$A$2:$C$61,3,FALSE),"Unknown")</f>
        <v>Beauty</v>
      </c>
      <c r="F497" t="str">
        <f>IFERROR(VLOOKUP(Orders!C497,Customers!$A$2:$E$301,5,FALSE),"Unknown")</f>
        <v>Retail</v>
      </c>
      <c r="G497">
        <f>IFERROR(VLOOKUP(Orders!C497,Customers!$A$2:$C$301,3,FALSE),"")</f>
        <v>35</v>
      </c>
      <c r="H497" t="str">
        <f>VLOOKUP(D497,Sales_Reps!$A$2:$C$31,3,FALSE)</f>
        <v>North</v>
      </c>
      <c r="I497" s="44">
        <f t="shared" si="17"/>
        <v>45292</v>
      </c>
      <c r="L497" t="str">
        <f>Orders!K497</f>
        <v>Delhi</v>
      </c>
      <c r="M497">
        <f>Orders!G497</f>
        <v>960</v>
      </c>
      <c r="N497">
        <f>IFERROR(VLOOKUP(Orders!D497,Products!$A$2:$D$61,4,FALSE),"")</f>
        <v>675</v>
      </c>
      <c r="O497">
        <f t="shared" si="18"/>
        <v>0.296875</v>
      </c>
      <c r="Q497" t="str">
        <f>Orders!D497</f>
        <v>PROD-049</v>
      </c>
    </row>
    <row r="498" spans="1:17" x14ac:dyDescent="0.3">
      <c r="A498" t="str">
        <f>Orders!A498</f>
        <v>ORD-00497</v>
      </c>
      <c r="B498">
        <f>Orders!B498</f>
        <v>45337</v>
      </c>
      <c r="C498">
        <f>Orders!I498</f>
        <v>1640.1</v>
      </c>
      <c r="D498" t="str">
        <f>Orders!E498</f>
        <v>R016</v>
      </c>
      <c r="E498" t="str">
        <f>IFERROR(VLOOKUP(Orders!D498,Products!$A$2:$C$61,3,FALSE),"Unknown")</f>
        <v>Electronics</v>
      </c>
      <c r="F498" t="str">
        <f>IFERROR(VLOOKUP(Orders!C498,Customers!$A$2:$E$301,5,FALSE),"Unknown")</f>
        <v>SMB</v>
      </c>
      <c r="G498">
        <f>IFERROR(VLOOKUP(Orders!C498,Customers!$A$2:$C$301,3,FALSE),"")</f>
        <v>27</v>
      </c>
      <c r="H498" t="str">
        <f>VLOOKUP(D498,Sales_Reps!$A$2:$C$31,3,FALSE)</f>
        <v>South</v>
      </c>
      <c r="I498" s="44">
        <f t="shared" si="17"/>
        <v>45323</v>
      </c>
      <c r="L498" t="str">
        <f>Orders!K498</f>
        <v>Delhi</v>
      </c>
      <c r="M498">
        <f>Orders!G498</f>
        <v>300</v>
      </c>
      <c r="N498">
        <f>IFERROR(VLOOKUP(Orders!D498,Products!$A$2:$D$61,4,FALSE),"")</f>
        <v>128</v>
      </c>
      <c r="O498">
        <f t="shared" si="18"/>
        <v>0.57333333333333336</v>
      </c>
      <c r="Q498" t="str">
        <f>Orders!D498</f>
        <v>PROD-005</v>
      </c>
    </row>
    <row r="499" spans="1:17" x14ac:dyDescent="0.3">
      <c r="A499" t="str">
        <f>Orders!A499</f>
        <v>ORD-00498</v>
      </c>
      <c r="B499">
        <f>Orders!B499</f>
        <v>45389</v>
      </c>
      <c r="C499">
        <f>Orders!I499</f>
        <v>4436.32</v>
      </c>
      <c r="D499" t="str">
        <f>Orders!E499</f>
        <v>R019</v>
      </c>
      <c r="E499" t="str">
        <f>IFERROR(VLOOKUP(Orders!D499,Products!$A$2:$C$61,3,FALSE),"Unknown")</f>
        <v>Grocery</v>
      </c>
      <c r="F499" t="str">
        <f>IFERROR(VLOOKUP(Orders!C499,Customers!$A$2:$E$301,5,FALSE),"Unknown")</f>
        <v>Retail</v>
      </c>
      <c r="G499">
        <f>IFERROR(VLOOKUP(Orders!C499,Customers!$A$2:$C$301,3,FALSE),"")</f>
        <v>38</v>
      </c>
      <c r="H499" t="str">
        <f>VLOOKUP(D499,Sales_Reps!$A$2:$C$31,3,FALSE)</f>
        <v>East</v>
      </c>
      <c r="I499" s="44">
        <f t="shared" si="17"/>
        <v>45383</v>
      </c>
      <c r="L499" t="str">
        <f>Orders!K499</f>
        <v>Hyderabad</v>
      </c>
      <c r="M499">
        <f>Orders!G499</f>
        <v>2380</v>
      </c>
      <c r="N499">
        <f>IFERROR(VLOOKUP(Orders!D499,Products!$A$2:$D$61,4,FALSE),"")</f>
        <v>1182</v>
      </c>
      <c r="O499">
        <f t="shared" si="18"/>
        <v>0.50336134453781511</v>
      </c>
      <c r="Q499" t="str">
        <f>Orders!D499</f>
        <v>PROD-023</v>
      </c>
    </row>
    <row r="500" spans="1:17" x14ac:dyDescent="0.3">
      <c r="A500" t="str">
        <f>Orders!A500</f>
        <v>ORD-00499</v>
      </c>
      <c r="B500">
        <f>Orders!B500</f>
        <v>45298</v>
      </c>
      <c r="C500">
        <f>Orders!I500</f>
        <v>4080</v>
      </c>
      <c r="D500" t="str">
        <f>Orders!E500</f>
        <v>R024</v>
      </c>
      <c r="E500" t="str">
        <f>IFERROR(VLOOKUP(Orders!D500,Products!$A$2:$C$61,3,FALSE),"Unknown")</f>
        <v>Sports</v>
      </c>
      <c r="F500" t="str">
        <f>IFERROR(VLOOKUP(Orders!C500,Customers!$A$2:$E$301,5,FALSE),"Unknown")</f>
        <v>Retail</v>
      </c>
      <c r="G500">
        <f>IFERROR(VLOOKUP(Orders!C500,Customers!$A$2:$C$301,3,FALSE),"")</f>
        <v>29</v>
      </c>
      <c r="H500" t="str">
        <f>VLOOKUP(D500,Sales_Reps!$A$2:$C$31,3,FALSE)</f>
        <v>West</v>
      </c>
      <c r="I500" s="44">
        <f t="shared" si="17"/>
        <v>45292</v>
      </c>
      <c r="L500" t="str">
        <f>Orders!K500</f>
        <v>Bengaluru</v>
      </c>
      <c r="M500">
        <f>Orders!G500</f>
        <v>960</v>
      </c>
      <c r="N500">
        <f>IFERROR(VLOOKUP(Orders!D500,Products!$A$2:$D$61,4,FALSE),"")</f>
        <v>705</v>
      </c>
      <c r="O500">
        <f t="shared" si="18"/>
        <v>0.265625</v>
      </c>
      <c r="Q500" t="str">
        <f>Orders!D500</f>
        <v>PROD-057</v>
      </c>
    </row>
    <row r="501" spans="1:17" x14ac:dyDescent="0.3">
      <c r="A501" t="str">
        <f>Orders!A501</f>
        <v>ORD-00500</v>
      </c>
      <c r="B501">
        <f>Orders!B501</f>
        <v>45577</v>
      </c>
      <c r="C501">
        <f>Orders!I501</f>
        <v>28690.2</v>
      </c>
      <c r="D501" t="str">
        <f>Orders!E501</f>
        <v>R012</v>
      </c>
      <c r="E501" t="str">
        <f>IFERROR(VLOOKUP(Orders!D501,Products!$A$2:$C$61,3,FALSE),"Unknown")</f>
        <v>Sports</v>
      </c>
      <c r="F501" t="str">
        <f>IFERROR(VLOOKUP(Orders!C501,Customers!$A$2:$E$301,5,FALSE),"Unknown")</f>
        <v>SMB</v>
      </c>
      <c r="G501">
        <f>IFERROR(VLOOKUP(Orders!C501,Customers!$A$2:$C$301,3,FALSE),"")</f>
        <v>55</v>
      </c>
      <c r="H501" t="str">
        <f>VLOOKUP(D501,Sales_Reps!$A$2:$C$31,3,FALSE)</f>
        <v>South</v>
      </c>
      <c r="I501" s="44">
        <f t="shared" si="17"/>
        <v>45566</v>
      </c>
      <c r="L501" t="str">
        <f>Orders!K501</f>
        <v>Chennai</v>
      </c>
      <c r="M501">
        <f>Orders!G501</f>
        <v>3780</v>
      </c>
      <c r="N501">
        <f>IFERROR(VLOOKUP(Orders!D501,Products!$A$2:$D$61,4,FALSE),"")</f>
        <v>1860</v>
      </c>
      <c r="O501">
        <f t="shared" si="18"/>
        <v>0.50793650793650791</v>
      </c>
      <c r="Q501" t="str">
        <f>Orders!D501</f>
        <v>PROD-059</v>
      </c>
    </row>
    <row r="502" spans="1:17" x14ac:dyDescent="0.3">
      <c r="A502" t="str">
        <f>Orders!A502</f>
        <v>ORD-00501</v>
      </c>
      <c r="B502">
        <f>Orders!B502</f>
        <v>45355</v>
      </c>
      <c r="C502">
        <f>Orders!I502</f>
        <v>5285.28</v>
      </c>
      <c r="D502" t="str">
        <f>Orders!E502</f>
        <v>R020</v>
      </c>
      <c r="E502" t="str">
        <f>IFERROR(VLOOKUP(Orders!D502,Products!$A$2:$C$61,3,FALSE),"Unknown")</f>
        <v>Beauty</v>
      </c>
      <c r="F502" t="str">
        <f>IFERROR(VLOOKUP(Orders!C502,Customers!$A$2:$E$301,5,FALSE),"Unknown")</f>
        <v>Retail</v>
      </c>
      <c r="G502">
        <f>IFERROR(VLOOKUP(Orders!C502,Customers!$A$2:$C$301,3,FALSE),"")</f>
        <v>51</v>
      </c>
      <c r="H502" t="str">
        <f>VLOOKUP(D502,Sales_Reps!$A$2:$C$31,3,FALSE)</f>
        <v>East</v>
      </c>
      <c r="I502" s="44">
        <f t="shared" si="17"/>
        <v>45352</v>
      </c>
      <c r="L502" t="str">
        <f>Orders!K502</f>
        <v>Chennai</v>
      </c>
      <c r="M502">
        <f>Orders!G502</f>
        <v>1540</v>
      </c>
      <c r="N502">
        <f>IFERROR(VLOOKUP(Orders!D502,Products!$A$2:$D$61,4,FALSE),"")</f>
        <v>647</v>
      </c>
      <c r="O502">
        <f t="shared" si="18"/>
        <v>0.57987012987012987</v>
      </c>
      <c r="Q502" t="str">
        <f>Orders!D502</f>
        <v>PROD-041</v>
      </c>
    </row>
    <row r="503" spans="1:17" x14ac:dyDescent="0.3">
      <c r="A503" t="str">
        <f>Orders!A503</f>
        <v>ORD-00502</v>
      </c>
      <c r="B503">
        <f>Orders!B503</f>
        <v>45463</v>
      </c>
      <c r="C503">
        <f>Orders!I503</f>
        <v>19879.2</v>
      </c>
      <c r="D503" t="str">
        <f>Orders!E503</f>
        <v>R005</v>
      </c>
      <c r="E503" t="str">
        <f>IFERROR(VLOOKUP(Orders!D503,Products!$A$2:$C$61,3,FALSE),"Unknown")</f>
        <v>Apparel</v>
      </c>
      <c r="F503" t="str">
        <f>IFERROR(VLOOKUP(Orders!C503,Customers!$A$2:$E$301,5,FALSE),"Unknown")</f>
        <v>Retail</v>
      </c>
      <c r="G503">
        <f>IFERROR(VLOOKUP(Orders!C503,Customers!$A$2:$C$301,3,FALSE),"")</f>
        <v>52</v>
      </c>
      <c r="H503" t="str">
        <f>VLOOKUP(D503,Sales_Reps!$A$2:$C$31,3,FALSE)</f>
        <v>North</v>
      </c>
      <c r="I503" s="44">
        <f t="shared" si="17"/>
        <v>45444</v>
      </c>
      <c r="L503" t="str">
        <f>Orders!K503</f>
        <v>Bengaluru</v>
      </c>
      <c r="M503">
        <f>Orders!G503</f>
        <v>2510</v>
      </c>
      <c r="N503">
        <f>IFERROR(VLOOKUP(Orders!D503,Products!$A$2:$D$61,4,FALSE),"")</f>
        <v>1075</v>
      </c>
      <c r="O503">
        <f t="shared" si="18"/>
        <v>0.57171314741035861</v>
      </c>
      <c r="Q503" t="str">
        <f>Orders!D503</f>
        <v>PROD-017</v>
      </c>
    </row>
    <row r="504" spans="1:17" x14ac:dyDescent="0.3">
      <c r="A504" t="str">
        <f>Orders!A504</f>
        <v>ORD-00503</v>
      </c>
      <c r="B504">
        <f>Orders!B504</f>
        <v>45374</v>
      </c>
      <c r="C504">
        <f>Orders!I504</f>
        <v>26637.66</v>
      </c>
      <c r="D504" t="str">
        <f>Orders!E504</f>
        <v>R014</v>
      </c>
      <c r="E504" t="str">
        <f>IFERROR(VLOOKUP(Orders!D504,Products!$A$2:$C$61,3,FALSE),"Unknown")</f>
        <v>Grocery</v>
      </c>
      <c r="F504" t="str">
        <f>IFERROR(VLOOKUP(Orders!C504,Customers!$A$2:$E$301,5,FALSE),"Unknown")</f>
        <v>Retail</v>
      </c>
      <c r="G504">
        <f>IFERROR(VLOOKUP(Orders!C504,Customers!$A$2:$C$301,3,FALSE),"")</f>
        <v>44</v>
      </c>
      <c r="H504" t="str">
        <f>VLOOKUP(D504,Sales_Reps!$A$2:$C$31,3,FALSE)</f>
        <v>South</v>
      </c>
      <c r="I504" s="44">
        <f t="shared" si="17"/>
        <v>45352</v>
      </c>
      <c r="L504" t="str">
        <f>Orders!K504</f>
        <v>Hyderabad</v>
      </c>
      <c r="M504">
        <f>Orders!G504</f>
        <v>4060</v>
      </c>
      <c r="N504">
        <f>IFERROR(VLOOKUP(Orders!D504,Products!$A$2:$D$61,4,FALSE),"")</f>
        <v>2911</v>
      </c>
      <c r="O504">
        <f t="shared" si="18"/>
        <v>0.28300492610837441</v>
      </c>
      <c r="Q504" t="str">
        <f>Orders!D504</f>
        <v>PROD-025</v>
      </c>
    </row>
    <row r="505" spans="1:17" x14ac:dyDescent="0.3">
      <c r="A505" t="str">
        <f>Orders!A505</f>
        <v>ORD-00504</v>
      </c>
      <c r="B505">
        <f>Orders!B505</f>
        <v>45638</v>
      </c>
      <c r="C505">
        <f>Orders!I505</f>
        <v>7766.4</v>
      </c>
      <c r="D505" t="str">
        <f>Orders!E505</f>
        <v>R025</v>
      </c>
      <c r="E505" t="str">
        <f>IFERROR(VLOOKUP(Orders!D505,Products!$A$2:$C$61,3,FALSE),"Unknown")</f>
        <v>Sports</v>
      </c>
      <c r="F505" t="str">
        <f>IFERROR(VLOOKUP(Orders!C505,Customers!$A$2:$E$301,5,FALSE),"Unknown")</f>
        <v>SMB</v>
      </c>
      <c r="G505">
        <f>IFERROR(VLOOKUP(Orders!C505,Customers!$A$2:$C$301,3,FALSE),"")</f>
        <v>28</v>
      </c>
      <c r="H505" t="str">
        <f>VLOOKUP(D505,Sales_Reps!$A$2:$C$31,3,FALSE)</f>
        <v>West</v>
      </c>
      <c r="I505" s="44">
        <f t="shared" si="17"/>
        <v>45627</v>
      </c>
      <c r="L505" t="str">
        <f>Orders!K505</f>
        <v>Delhi</v>
      </c>
      <c r="M505">
        <f>Orders!G505</f>
        <v>2400</v>
      </c>
      <c r="N505">
        <f>IFERROR(VLOOKUP(Orders!D505,Products!$A$2:$D$61,4,FALSE),"")</f>
        <v>974</v>
      </c>
      <c r="O505">
        <f t="shared" si="18"/>
        <v>0.59416666666666662</v>
      </c>
      <c r="Q505" t="str">
        <f>Orders!D505</f>
        <v>PROD-058</v>
      </c>
    </row>
    <row r="506" spans="1:17" x14ac:dyDescent="0.3">
      <c r="A506" t="str">
        <f>Orders!A506</f>
        <v>ORD-00505</v>
      </c>
      <c r="B506">
        <f>Orders!B506</f>
        <v>45525</v>
      </c>
      <c r="C506">
        <f>Orders!I506</f>
        <v>35448.32</v>
      </c>
      <c r="D506" t="str">
        <f>Orders!E506</f>
        <v>R022</v>
      </c>
      <c r="E506" t="str">
        <f>IFERROR(VLOOKUP(Orders!D506,Products!$A$2:$C$61,3,FALSE),"Unknown")</f>
        <v>Beauty</v>
      </c>
      <c r="F506" t="str">
        <f>IFERROR(VLOOKUP(Orders!C506,Customers!$A$2:$E$301,5,FALSE),"Unknown")</f>
        <v>Corporate</v>
      </c>
      <c r="G506">
        <f>IFERROR(VLOOKUP(Orders!C506,Customers!$A$2:$C$301,3,FALSE),"")</f>
        <v>46</v>
      </c>
      <c r="H506" t="str">
        <f>VLOOKUP(D506,Sales_Reps!$A$2:$C$31,3,FALSE)</f>
        <v>East</v>
      </c>
      <c r="I506" s="44">
        <f t="shared" si="17"/>
        <v>45505</v>
      </c>
      <c r="L506" t="str">
        <f>Orders!K506</f>
        <v>Delhi</v>
      </c>
      <c r="M506">
        <f>Orders!G506</f>
        <v>4880</v>
      </c>
      <c r="N506">
        <f>IFERROR(VLOOKUP(Orders!D506,Products!$A$2:$D$61,4,FALSE),"")</f>
        <v>2768</v>
      </c>
      <c r="O506">
        <f t="shared" si="18"/>
        <v>0.43278688524590164</v>
      </c>
      <c r="Q506" t="str">
        <f>Orders!D506</f>
        <v>PROD-046</v>
      </c>
    </row>
    <row r="507" spans="1:17" x14ac:dyDescent="0.3">
      <c r="A507" t="str">
        <f>Orders!A507</f>
        <v>ORD-00506</v>
      </c>
      <c r="B507">
        <f>Orders!B507</f>
        <v>45586</v>
      </c>
      <c r="C507">
        <f>Orders!I507</f>
        <v>40805.1</v>
      </c>
      <c r="D507" t="str">
        <f>Orders!E507</f>
        <v>R019</v>
      </c>
      <c r="E507" t="str">
        <f>IFERROR(VLOOKUP(Orders!D507,Products!$A$2:$C$61,3,FALSE),"Unknown")</f>
        <v>Beauty</v>
      </c>
      <c r="F507" t="str">
        <f>IFERROR(VLOOKUP(Orders!C507,Customers!$A$2:$E$301,5,FALSE),"Unknown")</f>
        <v>Retail</v>
      </c>
      <c r="G507">
        <f>IFERROR(VLOOKUP(Orders!C507,Customers!$A$2:$C$301,3,FALSE),"")</f>
        <v>44</v>
      </c>
      <c r="H507" t="str">
        <f>VLOOKUP(D507,Sales_Reps!$A$2:$C$31,3,FALSE)</f>
        <v>East</v>
      </c>
      <c r="I507" s="44">
        <f t="shared" si="17"/>
        <v>45566</v>
      </c>
      <c r="L507" t="str">
        <f>Orders!K507</f>
        <v>Mumbai</v>
      </c>
      <c r="M507">
        <f>Orders!G507</f>
        <v>5100</v>
      </c>
      <c r="N507">
        <f>IFERROR(VLOOKUP(Orders!D507,Products!$A$2:$D$61,4,FALSE),"")</f>
        <v>2237</v>
      </c>
      <c r="O507">
        <f t="shared" si="18"/>
        <v>0.56137254901960787</v>
      </c>
      <c r="Q507" t="str">
        <f>Orders!D507</f>
        <v>PROD-048</v>
      </c>
    </row>
    <row r="508" spans="1:17" x14ac:dyDescent="0.3">
      <c r="A508" t="str">
        <f>Orders!A508</f>
        <v>ORD-00507</v>
      </c>
      <c r="B508">
        <f>Orders!B508</f>
        <v>45637</v>
      </c>
      <c r="C508">
        <f>Orders!I508</f>
        <v>999.6</v>
      </c>
      <c r="D508" t="str">
        <f>Orders!E508</f>
        <v>R028</v>
      </c>
      <c r="E508" t="str">
        <f>IFERROR(VLOOKUP(Orders!D508,Products!$A$2:$C$61,3,FALSE),"Unknown")</f>
        <v>Electronics</v>
      </c>
      <c r="F508" t="str">
        <f>IFERROR(VLOOKUP(Orders!C508,Customers!$A$2:$E$301,5,FALSE),"Unknown")</f>
        <v>SMB</v>
      </c>
      <c r="G508">
        <f>IFERROR(VLOOKUP(Orders!C508,Customers!$A$2:$C$301,3,FALSE),"")</f>
        <v>38</v>
      </c>
      <c r="H508" t="str">
        <f>VLOOKUP(D508,Sales_Reps!$A$2:$C$31,3,FALSE)</f>
        <v>West</v>
      </c>
      <c r="I508" s="44">
        <f t="shared" si="17"/>
        <v>45627</v>
      </c>
      <c r="L508" t="str">
        <f>Orders!K508</f>
        <v>Delhi</v>
      </c>
      <c r="M508">
        <f>Orders!G508</f>
        <v>300</v>
      </c>
      <c r="N508">
        <f>IFERROR(VLOOKUP(Orders!D508,Products!$A$2:$D$61,4,FALSE),"")</f>
        <v>128</v>
      </c>
      <c r="O508">
        <f t="shared" si="18"/>
        <v>0.57333333333333336</v>
      </c>
      <c r="Q508" t="str">
        <f>Orders!D508</f>
        <v>PROD-005</v>
      </c>
    </row>
    <row r="509" spans="1:17" x14ac:dyDescent="0.3">
      <c r="A509" t="str">
        <f>Orders!A509</f>
        <v>ORD-00508</v>
      </c>
      <c r="B509">
        <f>Orders!B509</f>
        <v>45443</v>
      </c>
      <c r="C509">
        <f>Orders!I509</f>
        <v>14388.96</v>
      </c>
      <c r="D509" t="str">
        <f>Orders!E509</f>
        <v>R014</v>
      </c>
      <c r="E509" t="str">
        <f>IFERROR(VLOOKUP(Orders!D509,Products!$A$2:$C$61,3,FALSE),"Unknown")</f>
        <v>Apparel</v>
      </c>
      <c r="F509" t="str">
        <f>IFERROR(VLOOKUP(Orders!C509,Customers!$A$2:$E$301,5,FALSE),"Unknown")</f>
        <v>Retail</v>
      </c>
      <c r="G509">
        <f>IFERROR(VLOOKUP(Orders!C509,Customers!$A$2:$C$301,3,FALSE),"")</f>
        <v>26</v>
      </c>
      <c r="H509" t="str">
        <f>VLOOKUP(D509,Sales_Reps!$A$2:$C$31,3,FALSE)</f>
        <v>South</v>
      </c>
      <c r="I509" s="44">
        <f t="shared" si="17"/>
        <v>45413</v>
      </c>
      <c r="L509" t="str">
        <f>Orders!K509</f>
        <v>Chennai</v>
      </c>
      <c r="M509">
        <f>Orders!G509</f>
        <v>2480</v>
      </c>
      <c r="N509">
        <f>IFERROR(VLOOKUP(Orders!D509,Products!$A$2:$D$61,4,FALSE),"")</f>
        <v>1173</v>
      </c>
      <c r="O509">
        <f t="shared" si="18"/>
        <v>0.52701612903225803</v>
      </c>
      <c r="Q509" t="str">
        <f>Orders!D509</f>
        <v>PROD-019</v>
      </c>
    </row>
    <row r="510" spans="1:17" x14ac:dyDescent="0.3">
      <c r="A510" t="str">
        <f>Orders!A510</f>
        <v>ORD-00509</v>
      </c>
      <c r="B510">
        <f>Orders!B510</f>
        <v>45569</v>
      </c>
      <c r="C510">
        <f>Orders!I510</f>
        <v>12721.5</v>
      </c>
      <c r="D510" t="str">
        <f>Orders!E510</f>
        <v>R023</v>
      </c>
      <c r="E510" t="str">
        <f>IFERROR(VLOOKUP(Orders!D510,Products!$A$2:$C$61,3,FALSE),"Unknown")</f>
        <v>Beauty</v>
      </c>
      <c r="F510" t="str">
        <f>IFERROR(VLOOKUP(Orders!C510,Customers!$A$2:$E$301,5,FALSE),"Unknown")</f>
        <v>Retail</v>
      </c>
      <c r="G510">
        <f>IFERROR(VLOOKUP(Orders!C510,Customers!$A$2:$C$301,3,FALSE),"")</f>
        <v>36</v>
      </c>
      <c r="H510" t="str">
        <f>VLOOKUP(D510,Sales_Reps!$A$2:$C$31,3,FALSE)</f>
        <v>East</v>
      </c>
      <c r="I510" s="44">
        <f t="shared" si="17"/>
        <v>45566</v>
      </c>
      <c r="L510" t="str">
        <f>Orders!K510</f>
        <v>Chennai</v>
      </c>
      <c r="M510">
        <f>Orders!G510</f>
        <v>1650</v>
      </c>
      <c r="N510">
        <f>IFERROR(VLOOKUP(Orders!D510,Products!$A$2:$D$61,4,FALSE),"")</f>
        <v>1222</v>
      </c>
      <c r="O510">
        <f t="shared" si="18"/>
        <v>0.2593939393939394</v>
      </c>
      <c r="Q510" t="str">
        <f>Orders!D510</f>
        <v>PROD-044</v>
      </c>
    </row>
    <row r="511" spans="1:17" x14ac:dyDescent="0.3">
      <c r="A511" t="str">
        <f>Orders!A511</f>
        <v>ORD-00510</v>
      </c>
      <c r="B511">
        <f>Orders!B511</f>
        <v>45319</v>
      </c>
      <c r="C511">
        <f>Orders!I511</f>
        <v>5894.07</v>
      </c>
      <c r="D511" t="str">
        <f>Orders!E511</f>
        <v>R012</v>
      </c>
      <c r="E511" t="str">
        <f>IFERROR(VLOOKUP(Orders!D511,Products!$A$2:$C$61,3,FALSE),"Unknown")</f>
        <v>Grocery</v>
      </c>
      <c r="F511" t="str">
        <f>IFERROR(VLOOKUP(Orders!C511,Customers!$A$2:$E$301,5,FALSE),"Unknown")</f>
        <v>Corporate</v>
      </c>
      <c r="G511">
        <f>IFERROR(VLOOKUP(Orders!C511,Customers!$A$2:$C$301,3,FALSE),"")</f>
        <v>54</v>
      </c>
      <c r="H511" t="str">
        <f>VLOOKUP(D511,Sales_Reps!$A$2:$C$31,3,FALSE)</f>
        <v>South</v>
      </c>
      <c r="I511" s="44">
        <f t="shared" si="17"/>
        <v>45292</v>
      </c>
      <c r="L511" t="str">
        <f>Orders!K511</f>
        <v>Hyderabad</v>
      </c>
      <c r="M511">
        <f>Orders!G511</f>
        <v>2210</v>
      </c>
      <c r="N511">
        <f>IFERROR(VLOOKUP(Orders!D511,Products!$A$2:$D$61,4,FALSE),"")</f>
        <v>1010</v>
      </c>
      <c r="O511">
        <f t="shared" si="18"/>
        <v>0.54298642533936647</v>
      </c>
      <c r="Q511" t="str">
        <f>Orders!D511</f>
        <v>PROD-029</v>
      </c>
    </row>
    <row r="512" spans="1:17" x14ac:dyDescent="0.3">
      <c r="A512" t="str">
        <f>Orders!A512</f>
        <v>ORD-00511</v>
      </c>
      <c r="B512">
        <f>Orders!B512</f>
        <v>45406</v>
      </c>
      <c r="C512">
        <f>Orders!I512</f>
        <v>21576</v>
      </c>
      <c r="D512" t="str">
        <f>Orders!E512</f>
        <v>R005</v>
      </c>
      <c r="E512" t="str">
        <f>IFERROR(VLOOKUP(Orders!D512,Products!$A$2:$C$61,3,FALSE),"Unknown")</f>
        <v>Apparel</v>
      </c>
      <c r="F512" t="str">
        <f>IFERROR(VLOOKUP(Orders!C512,Customers!$A$2:$E$301,5,FALSE),"Unknown")</f>
        <v>Retail</v>
      </c>
      <c r="G512">
        <f>IFERROR(VLOOKUP(Orders!C512,Customers!$A$2:$C$301,3,FALSE),"")</f>
        <v>54</v>
      </c>
      <c r="H512" t="str">
        <f>VLOOKUP(D512,Sales_Reps!$A$2:$C$31,3,FALSE)</f>
        <v>North</v>
      </c>
      <c r="I512" s="44">
        <f t="shared" si="17"/>
        <v>45383</v>
      </c>
      <c r="L512" t="str">
        <f>Orders!K512</f>
        <v>Pune</v>
      </c>
      <c r="M512">
        <f>Orders!G512</f>
        <v>2480</v>
      </c>
      <c r="N512">
        <f>IFERROR(VLOOKUP(Orders!D512,Products!$A$2:$D$61,4,FALSE),"")</f>
        <v>1173</v>
      </c>
      <c r="O512">
        <f t="shared" si="18"/>
        <v>0.52701612903225803</v>
      </c>
      <c r="Q512" t="str">
        <f>Orders!D512</f>
        <v>PROD-019</v>
      </c>
    </row>
    <row r="513" spans="1:17" x14ac:dyDescent="0.3">
      <c r="A513" t="str">
        <f>Orders!A513</f>
        <v>ORD-00512</v>
      </c>
      <c r="B513">
        <f>Orders!B513</f>
        <v>45629</v>
      </c>
      <c r="C513">
        <f>Orders!I513</f>
        <v>52926.9</v>
      </c>
      <c r="D513" t="str">
        <f>Orders!E513</f>
        <v>R023</v>
      </c>
      <c r="E513" t="str">
        <f>IFERROR(VLOOKUP(Orders!D513,Products!$A$2:$C$61,3,FALSE),"Unknown")</f>
        <v>Electronics</v>
      </c>
      <c r="F513" t="str">
        <f>IFERROR(VLOOKUP(Orders!C513,Customers!$A$2:$E$301,5,FALSE),"Unknown")</f>
        <v>Corporate</v>
      </c>
      <c r="G513">
        <f>IFERROR(VLOOKUP(Orders!C513,Customers!$A$2:$C$301,3,FALSE),"")</f>
        <v>46</v>
      </c>
      <c r="H513" t="str">
        <f>VLOOKUP(D513,Sales_Reps!$A$2:$C$31,3,FALSE)</f>
        <v>East</v>
      </c>
      <c r="I513" s="44">
        <f t="shared" si="17"/>
        <v>45627</v>
      </c>
      <c r="L513" t="str">
        <f>Orders!K513</f>
        <v>Delhi</v>
      </c>
      <c r="M513">
        <f>Orders!G513</f>
        <v>5330</v>
      </c>
      <c r="N513">
        <f>IFERROR(VLOOKUP(Orders!D513,Products!$A$2:$D$61,4,FALSE),"")</f>
        <v>2405</v>
      </c>
      <c r="O513">
        <f t="shared" si="18"/>
        <v>0.54878048780487809</v>
      </c>
      <c r="Q513" t="str">
        <f>Orders!D513</f>
        <v>PROD-001</v>
      </c>
    </row>
    <row r="514" spans="1:17" x14ac:dyDescent="0.3">
      <c r="A514" t="str">
        <f>Orders!A514</f>
        <v>ORD-00513</v>
      </c>
      <c r="B514">
        <f>Orders!B514</f>
        <v>45612</v>
      </c>
      <c r="C514">
        <f>Orders!I514</f>
        <v>30915.72</v>
      </c>
      <c r="D514" t="str">
        <f>Orders!E514</f>
        <v>R012</v>
      </c>
      <c r="E514" t="str">
        <f>IFERROR(VLOOKUP(Orders!D514,Products!$A$2:$C$61,3,FALSE),"Unknown")</f>
        <v>Grocery</v>
      </c>
      <c r="F514" t="str">
        <f>IFERROR(VLOOKUP(Orders!C514,Customers!$A$2:$E$301,5,FALSE),"Unknown")</f>
        <v>Retail</v>
      </c>
      <c r="G514">
        <f>IFERROR(VLOOKUP(Orders!C514,Customers!$A$2:$C$301,3,FALSE),"")</f>
        <v>65</v>
      </c>
      <c r="H514" t="str">
        <f>VLOOKUP(D514,Sales_Reps!$A$2:$C$31,3,FALSE)</f>
        <v>South</v>
      </c>
      <c r="I514" s="44">
        <f t="shared" si="17"/>
        <v>45597</v>
      </c>
      <c r="L514" t="str">
        <f>Orders!K514</f>
        <v>Pune</v>
      </c>
      <c r="M514">
        <f>Orders!G514</f>
        <v>4070</v>
      </c>
      <c r="N514">
        <f>IFERROR(VLOOKUP(Orders!D514,Products!$A$2:$D$61,4,FALSE),"")</f>
        <v>2027</v>
      </c>
      <c r="O514">
        <f t="shared" si="18"/>
        <v>0.50196560196560192</v>
      </c>
      <c r="Q514" t="str">
        <f>Orders!D514</f>
        <v>PROD-026</v>
      </c>
    </row>
    <row r="515" spans="1:17" x14ac:dyDescent="0.3">
      <c r="A515" t="str">
        <f>Orders!A515</f>
        <v>ORD-00514</v>
      </c>
      <c r="B515">
        <f>Orders!B515</f>
        <v>45613</v>
      </c>
      <c r="C515">
        <f>Orders!I515</f>
        <v>12199.2</v>
      </c>
      <c r="D515" t="str">
        <f>Orders!E515</f>
        <v>R001</v>
      </c>
      <c r="E515" t="str">
        <f>IFERROR(VLOOKUP(Orders!D515,Products!$A$2:$C$61,3,FALSE),"Unknown")</f>
        <v>Apparel</v>
      </c>
      <c r="F515" t="str">
        <f>IFERROR(VLOOKUP(Orders!C515,Customers!$A$2:$E$301,5,FALSE),"Unknown")</f>
        <v>Retail</v>
      </c>
      <c r="G515">
        <f>IFERROR(VLOOKUP(Orders!C515,Customers!$A$2:$C$301,3,FALSE),"")</f>
        <v>32</v>
      </c>
      <c r="H515" t="str">
        <f>VLOOKUP(D515,Sales_Reps!$A$2:$C$31,3,FALSE)</f>
        <v>North</v>
      </c>
      <c r="I515" s="44">
        <f t="shared" ref="I515:I578" si="19">DATE(YEAR(B515),MONTH(B515),1)</f>
        <v>45597</v>
      </c>
      <c r="L515" t="str">
        <f>Orders!K515</f>
        <v>Chennai</v>
      </c>
      <c r="M515">
        <f>Orders!G515</f>
        <v>2720</v>
      </c>
      <c r="N515">
        <f>IFERROR(VLOOKUP(Orders!D515,Products!$A$2:$D$61,4,FALSE),"")</f>
        <v>1962</v>
      </c>
      <c r="O515">
        <f t="shared" ref="O515:O578" si="20">IF(OR(N515="",M515&lt;=0),"",(M515-N515)/M515)</f>
        <v>0.2786764705882353</v>
      </c>
      <c r="Q515" t="str">
        <f>Orders!D515</f>
        <v>PROD-015</v>
      </c>
    </row>
    <row r="516" spans="1:17" x14ac:dyDescent="0.3">
      <c r="A516" t="str">
        <f>Orders!A516</f>
        <v>ORD-00515</v>
      </c>
      <c r="B516">
        <f>Orders!B516</f>
        <v>45484</v>
      </c>
      <c r="C516">
        <f>Orders!I516</f>
        <v>12200.76</v>
      </c>
      <c r="D516" t="str">
        <f>Orders!E516</f>
        <v>R029</v>
      </c>
      <c r="E516" t="str">
        <f>IFERROR(VLOOKUP(Orders!D516,Products!$A$2:$C$61,3,FALSE),"Unknown")</f>
        <v>Sports</v>
      </c>
      <c r="F516" t="str">
        <f>IFERROR(VLOOKUP(Orders!C516,Customers!$A$2:$E$301,5,FALSE),"Unknown")</f>
        <v>Corporate</v>
      </c>
      <c r="G516">
        <f>IFERROR(VLOOKUP(Orders!C516,Customers!$A$2:$C$301,3,FALSE),"")</f>
        <v>43</v>
      </c>
      <c r="H516" t="str">
        <f>VLOOKUP(D516,Sales_Reps!$A$2:$C$31,3,FALSE)</f>
        <v>West</v>
      </c>
      <c r="I516" s="44">
        <f t="shared" si="19"/>
        <v>45474</v>
      </c>
      <c r="L516" t="str">
        <f>Orders!K516</f>
        <v>Bengaluru</v>
      </c>
      <c r="M516">
        <f>Orders!G516</f>
        <v>2860</v>
      </c>
      <c r="N516">
        <f>IFERROR(VLOOKUP(Orders!D516,Products!$A$2:$D$61,4,FALSE),"")</f>
        <v>2028</v>
      </c>
      <c r="O516">
        <f t="shared" si="20"/>
        <v>0.29090909090909089</v>
      </c>
      <c r="Q516" t="str">
        <f>Orders!D516</f>
        <v>PROD-055</v>
      </c>
    </row>
    <row r="517" spans="1:17" x14ac:dyDescent="0.3">
      <c r="A517" t="str">
        <f>Orders!A517</f>
        <v>ORD-00516</v>
      </c>
      <c r="B517">
        <f>Orders!B517</f>
        <v>45656</v>
      </c>
      <c r="C517">
        <f>Orders!I517</f>
        <v>14805.8</v>
      </c>
      <c r="D517" t="str">
        <f>Orders!E517</f>
        <v>R012</v>
      </c>
      <c r="E517" t="str">
        <f>IFERROR(VLOOKUP(Orders!D517,Products!$A$2:$C$61,3,FALSE),"Unknown")</f>
        <v>Apparel</v>
      </c>
      <c r="F517" t="str">
        <f>IFERROR(VLOOKUP(Orders!C517,Customers!$A$2:$E$301,5,FALSE),"Unknown")</f>
        <v>Retail</v>
      </c>
      <c r="G517">
        <f>IFERROR(VLOOKUP(Orders!C517,Customers!$A$2:$C$301,3,FALSE),"")</f>
        <v>35</v>
      </c>
      <c r="H517" t="str">
        <f>VLOOKUP(D517,Sales_Reps!$A$2:$C$31,3,FALSE)</f>
        <v>South</v>
      </c>
      <c r="I517" s="44">
        <f t="shared" si="19"/>
        <v>45627</v>
      </c>
      <c r="L517" t="str">
        <f>Orders!K517</f>
        <v>Hyderabad</v>
      </c>
      <c r="M517">
        <f>Orders!G517</f>
        <v>3620</v>
      </c>
      <c r="N517">
        <f>IFERROR(VLOOKUP(Orders!D517,Products!$A$2:$D$61,4,FALSE),"")</f>
        <v>2509</v>
      </c>
      <c r="O517">
        <f t="shared" si="20"/>
        <v>0.3069060773480663</v>
      </c>
      <c r="Q517" t="str">
        <f>Orders!D517</f>
        <v>PROD-014</v>
      </c>
    </row>
    <row r="518" spans="1:17" x14ac:dyDescent="0.3">
      <c r="A518" t="str">
        <f>Orders!A518</f>
        <v>ORD-00517</v>
      </c>
      <c r="B518">
        <f>Orders!B518</f>
        <v>45432</v>
      </c>
      <c r="C518">
        <f>Orders!I518</f>
        <v>4420.3500000000004</v>
      </c>
      <c r="D518" t="str">
        <f>Orders!E518</f>
        <v>R018</v>
      </c>
      <c r="E518" t="str">
        <f>IFERROR(VLOOKUP(Orders!D518,Products!$A$2:$C$61,3,FALSE),"Unknown")</f>
        <v>Beauty</v>
      </c>
      <c r="F518" t="str">
        <f>IFERROR(VLOOKUP(Orders!C518,Customers!$A$2:$E$301,5,FALSE),"Unknown")</f>
        <v>SMB</v>
      </c>
      <c r="G518">
        <f>IFERROR(VLOOKUP(Orders!C518,Customers!$A$2:$C$301,3,FALSE),"")</f>
        <v>46</v>
      </c>
      <c r="H518" t="str">
        <f>VLOOKUP(D518,Sales_Reps!$A$2:$C$31,3,FALSE)</f>
        <v>East</v>
      </c>
      <c r="I518" s="44">
        <f t="shared" si="19"/>
        <v>45413</v>
      </c>
      <c r="L518" t="str">
        <f>Orders!K518</f>
        <v>Bengaluru</v>
      </c>
      <c r="M518">
        <f>Orders!G518</f>
        <v>1650</v>
      </c>
      <c r="N518">
        <f>IFERROR(VLOOKUP(Orders!D518,Products!$A$2:$D$61,4,FALSE),"")</f>
        <v>1222</v>
      </c>
      <c r="O518">
        <f t="shared" si="20"/>
        <v>0.2593939393939394</v>
      </c>
      <c r="Q518" t="str">
        <f>Orders!D518</f>
        <v>PROD-044</v>
      </c>
    </row>
    <row r="519" spans="1:17" x14ac:dyDescent="0.3">
      <c r="A519" t="str">
        <f>Orders!A519</f>
        <v>ORD-00518</v>
      </c>
      <c r="B519">
        <f>Orders!B519</f>
        <v>45495</v>
      </c>
      <c r="C519">
        <f>Orders!I519</f>
        <v>1246.4000000000001</v>
      </c>
      <c r="D519" t="str">
        <f>Orders!E519</f>
        <v>R029</v>
      </c>
      <c r="E519" t="str">
        <f>IFERROR(VLOOKUP(Orders!D519,Products!$A$2:$C$61,3,FALSE),"Unknown")</f>
        <v>Sports</v>
      </c>
      <c r="F519" t="str">
        <f>IFERROR(VLOOKUP(Orders!C519,Customers!$A$2:$E$301,5,FALSE),"Unknown")</f>
        <v>Retail</v>
      </c>
      <c r="G519">
        <f>IFERROR(VLOOKUP(Orders!C519,Customers!$A$2:$C$301,3,FALSE),"")</f>
        <v>25</v>
      </c>
      <c r="H519" t="str">
        <f>VLOOKUP(D519,Sales_Reps!$A$2:$C$31,3,FALSE)</f>
        <v>West</v>
      </c>
      <c r="I519" s="44">
        <f t="shared" si="19"/>
        <v>45474</v>
      </c>
      <c r="L519" t="str">
        <f>Orders!K519</f>
        <v>Hyderabad</v>
      </c>
      <c r="M519">
        <f>Orders!G519</f>
        <v>190</v>
      </c>
      <c r="N519">
        <f>IFERROR(VLOOKUP(Orders!D519,Products!$A$2:$D$61,4,FALSE),"")</f>
        <v>147</v>
      </c>
      <c r="O519">
        <f t="shared" si="20"/>
        <v>0.22631578947368422</v>
      </c>
      <c r="Q519" t="str">
        <f>Orders!D519</f>
        <v>PROD-060</v>
      </c>
    </row>
    <row r="520" spans="1:17" x14ac:dyDescent="0.3">
      <c r="A520" t="str">
        <f>Orders!A520</f>
        <v>ORD-00519</v>
      </c>
      <c r="B520">
        <f>Orders!B520</f>
        <v>45443</v>
      </c>
      <c r="C520">
        <f>Orders!I520</f>
        <v>14026.25</v>
      </c>
      <c r="D520" t="str">
        <f>Orders!E520</f>
        <v>R029</v>
      </c>
      <c r="E520" t="str">
        <f>IFERROR(VLOOKUP(Orders!D520,Products!$A$2:$C$61,3,FALSE),"Unknown")</f>
        <v>Beauty</v>
      </c>
      <c r="F520" t="str">
        <f>IFERROR(VLOOKUP(Orders!C520,Customers!$A$2:$E$301,5,FALSE),"Unknown")</f>
        <v>Retail</v>
      </c>
      <c r="G520">
        <f>IFERROR(VLOOKUP(Orders!C520,Customers!$A$2:$C$301,3,FALSE),"")</f>
        <v>49</v>
      </c>
      <c r="H520" t="str">
        <f>VLOOKUP(D520,Sales_Reps!$A$2:$C$31,3,FALSE)</f>
        <v>West</v>
      </c>
      <c r="I520" s="44">
        <f t="shared" si="19"/>
        <v>45413</v>
      </c>
      <c r="L520" t="str">
        <f>Orders!K520</f>
        <v>Mumbai</v>
      </c>
      <c r="M520">
        <f>Orders!G520</f>
        <v>2290</v>
      </c>
      <c r="N520">
        <f>IFERROR(VLOOKUP(Orders!D520,Products!$A$2:$D$61,4,FALSE),"")</f>
        <v>1219</v>
      </c>
      <c r="O520">
        <f t="shared" si="20"/>
        <v>0.46768558951965067</v>
      </c>
      <c r="Q520" t="str">
        <f>Orders!D520</f>
        <v>PROD-042</v>
      </c>
    </row>
    <row r="521" spans="1:17" x14ac:dyDescent="0.3">
      <c r="A521" t="str">
        <f>Orders!A521</f>
        <v>ORD-00520</v>
      </c>
      <c r="B521">
        <f>Orders!B521</f>
        <v>45638</v>
      </c>
      <c r="C521">
        <f>Orders!I521</f>
        <v>7835.1</v>
      </c>
      <c r="D521" t="str">
        <f>Orders!E521</f>
        <v>R017</v>
      </c>
      <c r="E521" t="str">
        <f>IFERROR(VLOOKUP(Orders!D521,Products!$A$2:$C$61,3,FALSE),"Unknown")</f>
        <v>Electronics</v>
      </c>
      <c r="F521" t="str">
        <f>IFERROR(VLOOKUP(Orders!C521,Customers!$A$2:$E$301,5,FALSE),"Unknown")</f>
        <v>SMB</v>
      </c>
      <c r="G521">
        <f>IFERROR(VLOOKUP(Orders!C521,Customers!$A$2:$C$301,3,FALSE),"")</f>
        <v>52</v>
      </c>
      <c r="H521" t="str">
        <f>VLOOKUP(D521,Sales_Reps!$A$2:$C$31,3,FALSE)</f>
        <v>East</v>
      </c>
      <c r="I521" s="44">
        <f t="shared" si="19"/>
        <v>45627</v>
      </c>
      <c r="L521" t="str">
        <f>Orders!K521</f>
        <v>Chennai</v>
      </c>
      <c r="M521">
        <f>Orders!G521</f>
        <v>5330</v>
      </c>
      <c r="N521">
        <f>IFERROR(VLOOKUP(Orders!D521,Products!$A$2:$D$61,4,FALSE),"")</f>
        <v>2405</v>
      </c>
      <c r="O521">
        <f t="shared" si="20"/>
        <v>0.54878048780487809</v>
      </c>
      <c r="Q521" t="str">
        <f>Orders!D521</f>
        <v>PROD-001</v>
      </c>
    </row>
    <row r="522" spans="1:17" x14ac:dyDescent="0.3">
      <c r="A522" t="str">
        <f>Orders!A522</f>
        <v>ORD-00521</v>
      </c>
      <c r="B522">
        <f>Orders!B522</f>
        <v>45476</v>
      </c>
      <c r="C522">
        <f>Orders!I522</f>
        <v>15862.08</v>
      </c>
      <c r="D522" t="str">
        <f>Orders!E522</f>
        <v>R015</v>
      </c>
      <c r="E522" t="str">
        <f>IFERROR(VLOOKUP(Orders!D522,Products!$A$2:$C$61,3,FALSE),"Unknown")</f>
        <v>Electronics</v>
      </c>
      <c r="F522" t="str">
        <f>IFERROR(VLOOKUP(Orders!C522,Customers!$A$2:$E$301,5,FALSE),"Unknown")</f>
        <v>SMB</v>
      </c>
      <c r="G522">
        <f>IFERROR(VLOOKUP(Orders!C522,Customers!$A$2:$C$301,3,FALSE),"")</f>
        <v>65</v>
      </c>
      <c r="H522" t="str">
        <f>VLOOKUP(D522,Sales_Reps!$A$2:$C$31,3,FALSE)</f>
        <v>South</v>
      </c>
      <c r="I522" s="44">
        <f t="shared" si="19"/>
        <v>45474</v>
      </c>
      <c r="L522" t="str">
        <f>Orders!K522</f>
        <v>Mumbai</v>
      </c>
      <c r="M522">
        <f>Orders!G522</f>
        <v>5330</v>
      </c>
      <c r="N522">
        <f>IFERROR(VLOOKUP(Orders!D522,Products!$A$2:$D$61,4,FALSE),"")</f>
        <v>2405</v>
      </c>
      <c r="O522">
        <f t="shared" si="20"/>
        <v>0.54878048780487809</v>
      </c>
      <c r="Q522" t="str">
        <f>Orders!D522</f>
        <v>PROD-001</v>
      </c>
    </row>
    <row r="523" spans="1:17" x14ac:dyDescent="0.3">
      <c r="A523" t="str">
        <f>Orders!A523</f>
        <v>ORD-00522</v>
      </c>
      <c r="B523">
        <f>Orders!B523</f>
        <v>45566</v>
      </c>
      <c r="C523">
        <f>Orders!I523</f>
        <v>14508.48</v>
      </c>
      <c r="D523" t="str">
        <f>Orders!E523</f>
        <v>R006</v>
      </c>
      <c r="E523" t="str">
        <f>IFERROR(VLOOKUP(Orders!D523,Products!$A$2:$C$61,3,FALSE),"Unknown")</f>
        <v>Home</v>
      </c>
      <c r="F523" t="str">
        <f>IFERROR(VLOOKUP(Orders!C523,Customers!$A$2:$E$301,5,FALSE),"Unknown")</f>
        <v>Retail</v>
      </c>
      <c r="G523">
        <f>IFERROR(VLOOKUP(Orders!C523,Customers!$A$2:$C$301,3,FALSE),"")</f>
        <v>38</v>
      </c>
      <c r="H523" t="str">
        <f>VLOOKUP(D523,Sales_Reps!$A$2:$C$31,3,FALSE)</f>
        <v>North</v>
      </c>
      <c r="I523" s="44">
        <f t="shared" si="19"/>
        <v>45566</v>
      </c>
      <c r="L523" t="str">
        <f>Orders!K523</f>
        <v>Chennai</v>
      </c>
      <c r="M523">
        <f>Orders!G523</f>
        <v>5080</v>
      </c>
      <c r="N523">
        <f>IFERROR(VLOOKUP(Orders!D523,Products!$A$2:$D$61,4,FALSE),"")</f>
        <v>2459</v>
      </c>
      <c r="O523">
        <f t="shared" si="20"/>
        <v>0.51594488188976373</v>
      </c>
      <c r="Q523" t="str">
        <f>Orders!D523</f>
        <v>PROD-034</v>
      </c>
    </row>
    <row r="524" spans="1:17" x14ac:dyDescent="0.3">
      <c r="A524" t="str">
        <f>Orders!A524</f>
        <v>ORD-00523</v>
      </c>
      <c r="B524">
        <f>Orders!B524</f>
        <v>45392</v>
      </c>
      <c r="C524">
        <f>Orders!I524</f>
        <v>1293.52</v>
      </c>
      <c r="D524" t="str">
        <f>Orders!E524</f>
        <v>R002</v>
      </c>
      <c r="E524" t="str">
        <f>IFERROR(VLOOKUP(Orders!D524,Products!$A$2:$C$61,3,FALSE),"Unknown")</f>
        <v>Home</v>
      </c>
      <c r="F524" t="str">
        <f>IFERROR(VLOOKUP(Orders!C524,Customers!$A$2:$E$301,5,FALSE),"Unknown")</f>
        <v>SMB</v>
      </c>
      <c r="G524">
        <f>IFERROR(VLOOKUP(Orders!C524,Customers!$A$2:$C$301,3,FALSE),"")</f>
        <v>49</v>
      </c>
      <c r="H524" t="str">
        <f>VLOOKUP(D524,Sales_Reps!$A$2:$C$31,3,FALSE)</f>
        <v>North</v>
      </c>
      <c r="I524" s="44">
        <f t="shared" si="19"/>
        <v>45383</v>
      </c>
      <c r="L524" t="str">
        <f>Orders!K524</f>
        <v>Pune</v>
      </c>
      <c r="M524">
        <f>Orders!G524</f>
        <v>370</v>
      </c>
      <c r="N524">
        <f>IFERROR(VLOOKUP(Orders!D524,Products!$A$2:$D$61,4,FALSE),"")</f>
        <v>288</v>
      </c>
      <c r="O524">
        <f t="shared" si="20"/>
        <v>0.22162162162162163</v>
      </c>
      <c r="Q524" t="str">
        <f>Orders!D524</f>
        <v>PROD-032</v>
      </c>
    </row>
    <row r="525" spans="1:17" x14ac:dyDescent="0.3">
      <c r="A525" t="str">
        <f>Orders!A525</f>
        <v>ORD-00524</v>
      </c>
      <c r="B525">
        <f>Orders!B525</f>
        <v>45561</v>
      </c>
      <c r="C525">
        <f>Orders!I525</f>
        <v>4077.72</v>
      </c>
      <c r="D525" t="str">
        <f>Orders!E525</f>
        <v>R013</v>
      </c>
      <c r="E525" t="str">
        <f>IFERROR(VLOOKUP(Orders!D525,Products!$A$2:$C$61,3,FALSE),"Unknown")</f>
        <v>Sports</v>
      </c>
      <c r="F525" t="str">
        <f>IFERROR(VLOOKUP(Orders!C525,Customers!$A$2:$E$301,5,FALSE),"Unknown")</f>
        <v>Retail</v>
      </c>
      <c r="G525">
        <f>IFERROR(VLOOKUP(Orders!C525,Customers!$A$2:$C$301,3,FALSE),"")</f>
        <v>31</v>
      </c>
      <c r="H525" t="str">
        <f>VLOOKUP(D525,Sales_Reps!$A$2:$C$31,3,FALSE)</f>
        <v>South</v>
      </c>
      <c r="I525" s="44">
        <f t="shared" si="19"/>
        <v>45536</v>
      </c>
      <c r="L525" t="str">
        <f>Orders!K525</f>
        <v>Chennai</v>
      </c>
      <c r="M525">
        <f>Orders!G525</f>
        <v>470</v>
      </c>
      <c r="N525">
        <f>IFERROR(VLOOKUP(Orders!D525,Products!$A$2:$D$61,4,FALSE),"")</f>
        <v>302</v>
      </c>
      <c r="O525">
        <f t="shared" si="20"/>
        <v>0.35744680851063831</v>
      </c>
      <c r="Q525" t="str">
        <f>Orders!D525</f>
        <v>PROD-053</v>
      </c>
    </row>
    <row r="526" spans="1:17" x14ac:dyDescent="0.3">
      <c r="A526" t="str">
        <f>Orders!A526</f>
        <v>ORD-00525</v>
      </c>
      <c r="B526">
        <f>Orders!B526</f>
        <v>45634</v>
      </c>
      <c r="C526">
        <f>Orders!I526</f>
        <v>19194.68</v>
      </c>
      <c r="D526" t="str">
        <f>Orders!E526</f>
        <v>R027</v>
      </c>
      <c r="E526" t="str">
        <f>IFERROR(VLOOKUP(Orders!D526,Products!$A$2:$C$61,3,FALSE),"Unknown")</f>
        <v>Sports</v>
      </c>
      <c r="F526" t="str">
        <f>IFERROR(VLOOKUP(Orders!C526,Customers!$A$2:$E$301,5,FALSE),"Unknown")</f>
        <v>SMB</v>
      </c>
      <c r="G526">
        <f>IFERROR(VLOOKUP(Orders!C526,Customers!$A$2:$C$301,3,FALSE),"")</f>
        <v>27</v>
      </c>
      <c r="H526" t="str">
        <f>VLOOKUP(D526,Sales_Reps!$A$2:$C$31,3,FALSE)</f>
        <v>West</v>
      </c>
      <c r="I526" s="44">
        <f t="shared" si="19"/>
        <v>45627</v>
      </c>
      <c r="L526" t="str">
        <f>Orders!K526</f>
        <v>Mumbai</v>
      </c>
      <c r="M526">
        <f>Orders!G526</f>
        <v>5410</v>
      </c>
      <c r="N526">
        <f>IFERROR(VLOOKUP(Orders!D526,Products!$A$2:$D$61,4,FALSE),"")</f>
        <v>2265</v>
      </c>
      <c r="O526">
        <f t="shared" si="20"/>
        <v>0.58133086876155271</v>
      </c>
      <c r="Q526" t="str">
        <f>Orders!D526</f>
        <v>PROD-052</v>
      </c>
    </row>
    <row r="527" spans="1:17" x14ac:dyDescent="0.3">
      <c r="A527" t="str">
        <f>Orders!A527</f>
        <v>ORD-00526</v>
      </c>
      <c r="B527">
        <f>Orders!B527</f>
        <v>45311</v>
      </c>
      <c r="C527">
        <f>Orders!I527</f>
        <v>35295</v>
      </c>
      <c r="D527" t="str">
        <f>Orders!E527</f>
        <v>R007</v>
      </c>
      <c r="E527" t="str">
        <f>IFERROR(VLOOKUP(Orders!D527,Products!$A$2:$C$61,3,FALSE),"Unknown")</f>
        <v>Apparel</v>
      </c>
      <c r="F527" t="str">
        <f>IFERROR(VLOOKUP(Orders!C527,Customers!$A$2:$E$301,5,FALSE),"Unknown")</f>
        <v>SMB</v>
      </c>
      <c r="G527">
        <f>IFERROR(VLOOKUP(Orders!C527,Customers!$A$2:$C$301,3,FALSE),"")</f>
        <v>31</v>
      </c>
      <c r="H527" t="str">
        <f>VLOOKUP(D527,Sales_Reps!$A$2:$C$31,3,FALSE)</f>
        <v>North</v>
      </c>
      <c r="I527" s="44">
        <f t="shared" si="19"/>
        <v>45292</v>
      </c>
      <c r="L527" t="str">
        <f>Orders!K527</f>
        <v>Hyderabad</v>
      </c>
      <c r="M527">
        <f>Orders!G527</f>
        <v>3620</v>
      </c>
      <c r="N527">
        <f>IFERROR(VLOOKUP(Orders!D527,Products!$A$2:$D$61,4,FALSE),"")</f>
        <v>2509</v>
      </c>
      <c r="O527">
        <f t="shared" si="20"/>
        <v>0.3069060773480663</v>
      </c>
      <c r="Q527" t="str">
        <f>Orders!D527</f>
        <v>PROD-014</v>
      </c>
    </row>
    <row r="528" spans="1:17" x14ac:dyDescent="0.3">
      <c r="A528" t="str">
        <f>Orders!A528</f>
        <v>ORD-00527</v>
      </c>
      <c r="B528">
        <f>Orders!B528</f>
        <v>45380</v>
      </c>
      <c r="C528">
        <f>Orders!I528</f>
        <v>2147.2800000000002</v>
      </c>
      <c r="D528" t="str">
        <f>Orders!E528</f>
        <v>R030</v>
      </c>
      <c r="E528" t="str">
        <f>IFERROR(VLOOKUP(Orders!D528,Products!$A$2:$C$61,3,FALSE),"Unknown")</f>
        <v>Grocery</v>
      </c>
      <c r="F528" t="str">
        <f>IFERROR(VLOOKUP(Orders!C528,Customers!$A$2:$E$301,5,FALSE),"Unknown")</f>
        <v>Retail</v>
      </c>
      <c r="G528">
        <f>IFERROR(VLOOKUP(Orders!C528,Customers!$A$2:$C$301,3,FALSE),"")</f>
        <v>47</v>
      </c>
      <c r="H528" t="str">
        <f>VLOOKUP(D528,Sales_Reps!$A$2:$C$31,3,FALSE)</f>
        <v>West</v>
      </c>
      <c r="I528" s="44">
        <f t="shared" si="19"/>
        <v>45352</v>
      </c>
      <c r="L528" t="str">
        <f>Orders!K528</f>
        <v>Delhi</v>
      </c>
      <c r="M528">
        <f>Orders!G528</f>
        <v>2760</v>
      </c>
      <c r="N528">
        <f>IFERROR(VLOOKUP(Orders!D528,Products!$A$2:$D$61,4,FALSE),"")</f>
        <v>1435</v>
      </c>
      <c r="O528">
        <f t="shared" si="20"/>
        <v>0.48007246376811596</v>
      </c>
      <c r="Q528" t="str">
        <f>Orders!D528</f>
        <v>PROD-021</v>
      </c>
    </row>
    <row r="529" spans="1:17" x14ac:dyDescent="0.3">
      <c r="A529" t="str">
        <f>Orders!A529</f>
        <v>ORD-00528</v>
      </c>
      <c r="B529">
        <f>Orders!B529</f>
        <v>45549</v>
      </c>
      <c r="C529">
        <f>Orders!I529</f>
        <v>22073.1</v>
      </c>
      <c r="D529" t="str">
        <f>Orders!E529</f>
        <v>R001</v>
      </c>
      <c r="E529" t="str">
        <f>IFERROR(VLOOKUP(Orders!D529,Products!$A$2:$C$61,3,FALSE),"Unknown")</f>
        <v>Beauty</v>
      </c>
      <c r="F529" t="str">
        <f>IFERROR(VLOOKUP(Orders!C529,Customers!$A$2:$E$301,5,FALSE),"Unknown")</f>
        <v>Retail</v>
      </c>
      <c r="G529">
        <f>IFERROR(VLOOKUP(Orders!C529,Customers!$A$2:$C$301,3,FALSE),"")</f>
        <v>40</v>
      </c>
      <c r="H529" t="str">
        <f>VLOOKUP(D529,Sales_Reps!$A$2:$C$31,3,FALSE)</f>
        <v>North</v>
      </c>
      <c r="I529" s="44">
        <f t="shared" si="19"/>
        <v>45536</v>
      </c>
      <c r="L529" t="str">
        <f>Orders!K529</f>
        <v>Mumbai</v>
      </c>
      <c r="M529">
        <f>Orders!G529</f>
        <v>3450</v>
      </c>
      <c r="N529">
        <f>IFERROR(VLOOKUP(Orders!D529,Products!$A$2:$D$61,4,FALSE),"")</f>
        <v>2420</v>
      </c>
      <c r="O529">
        <f t="shared" si="20"/>
        <v>0.29855072463768118</v>
      </c>
      <c r="Q529" t="str">
        <f>Orders!D529</f>
        <v>PROD-047</v>
      </c>
    </row>
    <row r="530" spans="1:17" x14ac:dyDescent="0.3">
      <c r="A530" t="str">
        <f>Orders!A530</f>
        <v>ORD-00529</v>
      </c>
      <c r="B530">
        <f>Orders!B530</f>
        <v>45418</v>
      </c>
      <c r="C530">
        <f>Orders!I530</f>
        <v>19632.240000000002</v>
      </c>
      <c r="D530" t="str">
        <f>Orders!E530</f>
        <v>R028</v>
      </c>
      <c r="E530" t="str">
        <f>IFERROR(VLOOKUP(Orders!D530,Products!$A$2:$C$61,3,FALSE),"Unknown")</f>
        <v>Grocery</v>
      </c>
      <c r="F530" t="str">
        <f>IFERROR(VLOOKUP(Orders!C530,Customers!$A$2:$E$301,5,FALSE),"Unknown")</f>
        <v>SMB</v>
      </c>
      <c r="G530">
        <f>IFERROR(VLOOKUP(Orders!C530,Customers!$A$2:$C$301,3,FALSE),"")</f>
        <v>29</v>
      </c>
      <c r="H530" t="str">
        <f>VLOOKUP(D530,Sales_Reps!$A$2:$C$31,3,FALSE)</f>
        <v>West</v>
      </c>
      <c r="I530" s="44">
        <f t="shared" si="19"/>
        <v>45413</v>
      </c>
      <c r="L530" t="str">
        <f>Orders!K530</f>
        <v>Delhi</v>
      </c>
      <c r="M530">
        <f>Orders!G530</f>
        <v>3660</v>
      </c>
      <c r="N530">
        <f>IFERROR(VLOOKUP(Orders!D530,Products!$A$2:$D$61,4,FALSE),"")</f>
        <v>2214</v>
      </c>
      <c r="O530">
        <f t="shared" si="20"/>
        <v>0.39508196721311473</v>
      </c>
      <c r="Q530" t="str">
        <f>Orders!D530</f>
        <v>PROD-028</v>
      </c>
    </row>
    <row r="531" spans="1:17" x14ac:dyDescent="0.3">
      <c r="A531" t="str">
        <f>Orders!A531</f>
        <v>ORD-00530</v>
      </c>
      <c r="B531">
        <f>Orders!B531</f>
        <v>45532</v>
      </c>
      <c r="C531">
        <f>Orders!I531</f>
        <v>35271.599999999999</v>
      </c>
      <c r="D531" t="str">
        <f>Orders!E531</f>
        <v>R028</v>
      </c>
      <c r="E531" t="str">
        <f>IFERROR(VLOOKUP(Orders!D531,Products!$A$2:$C$61,3,FALSE),"Unknown")</f>
        <v>Electronics</v>
      </c>
      <c r="F531" t="str">
        <f>IFERROR(VLOOKUP(Orders!C531,Customers!$A$2:$E$301,5,FALSE),"Unknown")</f>
        <v>Corporate</v>
      </c>
      <c r="G531">
        <f>IFERROR(VLOOKUP(Orders!C531,Customers!$A$2:$C$301,3,FALSE),"")</f>
        <v>55</v>
      </c>
      <c r="H531" t="str">
        <f>VLOOKUP(D531,Sales_Reps!$A$2:$C$31,3,FALSE)</f>
        <v>West</v>
      </c>
      <c r="I531" s="44">
        <f t="shared" si="19"/>
        <v>45505</v>
      </c>
      <c r="L531" t="str">
        <f>Orders!K531</f>
        <v>Mumbai</v>
      </c>
      <c r="M531">
        <f>Orders!G531</f>
        <v>3570</v>
      </c>
      <c r="N531">
        <f>IFERROR(VLOOKUP(Orders!D531,Products!$A$2:$D$61,4,FALSE),"")</f>
        <v>1665</v>
      </c>
      <c r="O531">
        <f t="shared" si="20"/>
        <v>0.53361344537815125</v>
      </c>
      <c r="Q531" t="str">
        <f>Orders!D531</f>
        <v>PROD-003</v>
      </c>
    </row>
    <row r="532" spans="1:17" x14ac:dyDescent="0.3">
      <c r="A532" t="str">
        <f>Orders!A532</f>
        <v>ORD-00531</v>
      </c>
      <c r="B532">
        <f>Orders!B532</f>
        <v>45542</v>
      </c>
      <c r="C532">
        <f>Orders!I532</f>
        <v>7568.96</v>
      </c>
      <c r="D532" t="str">
        <f>Orders!E532</f>
        <v>R009</v>
      </c>
      <c r="E532" t="str">
        <f>IFERROR(VLOOKUP(Orders!D532,Products!$A$2:$C$61,3,FALSE),"Unknown")</f>
        <v>Home</v>
      </c>
      <c r="F532" t="str">
        <f>IFERROR(VLOOKUP(Orders!C532,Customers!$A$2:$E$301,5,FALSE),"Unknown")</f>
        <v>Retail</v>
      </c>
      <c r="G532">
        <f>IFERROR(VLOOKUP(Orders!C532,Customers!$A$2:$C$301,3,FALSE),"")</f>
        <v>44</v>
      </c>
      <c r="H532" t="str">
        <f>VLOOKUP(D532,Sales_Reps!$A$2:$C$31,3,FALSE)</f>
        <v>South</v>
      </c>
      <c r="I532" s="44">
        <f t="shared" si="19"/>
        <v>45536</v>
      </c>
      <c r="L532" t="str">
        <f>Orders!K532</f>
        <v>Delhi</v>
      </c>
      <c r="M532">
        <f>Orders!G532</f>
        <v>1090</v>
      </c>
      <c r="N532">
        <f>IFERROR(VLOOKUP(Orders!D532,Products!$A$2:$D$61,4,FALSE),"")</f>
        <v>464</v>
      </c>
      <c r="O532">
        <f t="shared" si="20"/>
        <v>0.57431192660550456</v>
      </c>
      <c r="Q532" t="str">
        <f>Orders!D532</f>
        <v>PROD-035</v>
      </c>
    </row>
    <row r="533" spans="1:17" x14ac:dyDescent="0.3">
      <c r="A533" t="str">
        <f>Orders!A533</f>
        <v>ORD-00532</v>
      </c>
      <c r="B533">
        <f>Orders!B533</f>
        <v>45320</v>
      </c>
      <c r="C533">
        <f>Orders!I533</f>
        <v>20561.599999999999</v>
      </c>
      <c r="D533" t="str">
        <f>Orders!E533</f>
        <v>R018</v>
      </c>
      <c r="E533" t="str">
        <f>IFERROR(VLOOKUP(Orders!D533,Products!$A$2:$C$61,3,FALSE),"Unknown")</f>
        <v>Apparel</v>
      </c>
      <c r="F533" t="str">
        <f>IFERROR(VLOOKUP(Orders!C533,Customers!$A$2:$E$301,5,FALSE),"Unknown")</f>
        <v>Retail</v>
      </c>
      <c r="G533">
        <f>IFERROR(VLOOKUP(Orders!C533,Customers!$A$2:$C$301,3,FALSE),"")</f>
        <v>29</v>
      </c>
      <c r="H533" t="str">
        <f>VLOOKUP(D533,Sales_Reps!$A$2:$C$31,3,FALSE)</f>
        <v>East</v>
      </c>
      <c r="I533" s="44">
        <f t="shared" si="19"/>
        <v>45292</v>
      </c>
      <c r="L533" t="str">
        <f>Orders!K533</f>
        <v>Pune</v>
      </c>
      <c r="M533">
        <f>Orders!G533</f>
        <v>3620</v>
      </c>
      <c r="N533">
        <f>IFERROR(VLOOKUP(Orders!D533,Products!$A$2:$D$61,4,FALSE),"")</f>
        <v>2509</v>
      </c>
      <c r="O533">
        <f t="shared" si="20"/>
        <v>0.3069060773480663</v>
      </c>
      <c r="Q533" t="str">
        <f>Orders!D533</f>
        <v>PROD-014</v>
      </c>
    </row>
    <row r="534" spans="1:17" x14ac:dyDescent="0.3">
      <c r="A534" t="str">
        <f>Orders!A534</f>
        <v>ORD-00533</v>
      </c>
      <c r="B534">
        <f>Orders!B534</f>
        <v>45548</v>
      </c>
      <c r="C534">
        <f>Orders!I534</f>
        <v>25415.040000000001</v>
      </c>
      <c r="D534" t="str">
        <f>Orders!E534</f>
        <v>R010</v>
      </c>
      <c r="E534" t="str">
        <f>IFERROR(VLOOKUP(Orders!D534,Products!$A$2:$C$61,3,FALSE),"Unknown")</f>
        <v>Beauty</v>
      </c>
      <c r="F534" t="str">
        <f>IFERROR(VLOOKUP(Orders!C534,Customers!$A$2:$E$301,5,FALSE),"Unknown")</f>
        <v>Retail</v>
      </c>
      <c r="G534">
        <f>IFERROR(VLOOKUP(Orders!C534,Customers!$A$2:$C$301,3,FALSE),"")</f>
        <v>35</v>
      </c>
      <c r="H534" t="str">
        <f>VLOOKUP(D534,Sales_Reps!$A$2:$C$31,3,FALSE)</f>
        <v>South</v>
      </c>
      <c r="I534" s="44">
        <f t="shared" si="19"/>
        <v>45536</v>
      </c>
      <c r="L534" t="str">
        <f>Orders!K534</f>
        <v>Delhi</v>
      </c>
      <c r="M534">
        <f>Orders!G534</f>
        <v>4880</v>
      </c>
      <c r="N534">
        <f>IFERROR(VLOOKUP(Orders!D534,Products!$A$2:$D$61,4,FALSE),"")</f>
        <v>2768</v>
      </c>
      <c r="O534">
        <f t="shared" si="20"/>
        <v>0.43278688524590164</v>
      </c>
      <c r="Q534" t="str">
        <f>Orders!D534</f>
        <v>PROD-046</v>
      </c>
    </row>
    <row r="535" spans="1:17" x14ac:dyDescent="0.3">
      <c r="A535" t="str">
        <f>Orders!A535</f>
        <v>ORD-00534</v>
      </c>
      <c r="B535">
        <f>Orders!B535</f>
        <v>45434</v>
      </c>
      <c r="C535">
        <f>Orders!I535</f>
        <v>848.82</v>
      </c>
      <c r="D535" t="str">
        <f>Orders!E535</f>
        <v>R028</v>
      </c>
      <c r="E535" t="str">
        <f>IFERROR(VLOOKUP(Orders!D535,Products!$A$2:$C$61,3,FALSE),"Unknown")</f>
        <v>Sports</v>
      </c>
      <c r="F535" t="str">
        <f>IFERROR(VLOOKUP(Orders!C535,Customers!$A$2:$E$301,5,FALSE),"Unknown")</f>
        <v>Corporate</v>
      </c>
      <c r="G535">
        <f>IFERROR(VLOOKUP(Orders!C535,Customers!$A$2:$C$301,3,FALSE),"")</f>
        <v>29</v>
      </c>
      <c r="H535" t="str">
        <f>VLOOKUP(D535,Sales_Reps!$A$2:$C$31,3,FALSE)</f>
        <v>West</v>
      </c>
      <c r="I535" s="44">
        <f t="shared" si="19"/>
        <v>45413</v>
      </c>
      <c r="L535" t="str">
        <f>Orders!K535</f>
        <v>Pune</v>
      </c>
      <c r="M535">
        <f>Orders!G535</f>
        <v>470</v>
      </c>
      <c r="N535">
        <f>IFERROR(VLOOKUP(Orders!D535,Products!$A$2:$D$61,4,FALSE),"")</f>
        <v>302</v>
      </c>
      <c r="O535">
        <f t="shared" si="20"/>
        <v>0.35744680851063831</v>
      </c>
      <c r="Q535" t="str">
        <f>Orders!D535</f>
        <v>PROD-053</v>
      </c>
    </row>
    <row r="536" spans="1:17" x14ac:dyDescent="0.3">
      <c r="A536" t="str">
        <f>Orders!A536</f>
        <v>ORD-00535</v>
      </c>
      <c r="B536">
        <f>Orders!B536</f>
        <v>45539</v>
      </c>
      <c r="C536">
        <f>Orders!I536</f>
        <v>12517.14</v>
      </c>
      <c r="D536" t="str">
        <f>Orders!E536</f>
        <v>R022</v>
      </c>
      <c r="E536" t="str">
        <f>IFERROR(VLOOKUP(Orders!D536,Products!$A$2:$C$61,3,FALSE),"Unknown")</f>
        <v>Beauty</v>
      </c>
      <c r="F536" t="str">
        <f>IFERROR(VLOOKUP(Orders!C536,Customers!$A$2:$E$301,5,FALSE),"Unknown")</f>
        <v>Retail</v>
      </c>
      <c r="G536">
        <f>IFERROR(VLOOKUP(Orders!C536,Customers!$A$2:$C$301,3,FALSE),"")</f>
        <v>52</v>
      </c>
      <c r="H536" t="str">
        <f>VLOOKUP(D536,Sales_Reps!$A$2:$C$31,3,FALSE)</f>
        <v>East</v>
      </c>
      <c r="I536" s="44">
        <f t="shared" si="19"/>
        <v>45536</v>
      </c>
      <c r="L536" t="str">
        <f>Orders!K536</f>
        <v>Bengaluru</v>
      </c>
      <c r="M536">
        <f>Orders!G536</f>
        <v>2290</v>
      </c>
      <c r="N536">
        <f>IFERROR(VLOOKUP(Orders!D536,Products!$A$2:$D$61,4,FALSE),"")</f>
        <v>1219</v>
      </c>
      <c r="O536">
        <f t="shared" si="20"/>
        <v>0.46768558951965067</v>
      </c>
      <c r="Q536" t="str">
        <f>Orders!D536</f>
        <v>PROD-042</v>
      </c>
    </row>
    <row r="537" spans="1:17" x14ac:dyDescent="0.3">
      <c r="A537" t="str">
        <f>Orders!A537</f>
        <v>ORD-00536</v>
      </c>
      <c r="B537">
        <f>Orders!B537</f>
        <v>45468</v>
      </c>
      <c r="C537">
        <f>Orders!I537</f>
        <v>6947.22</v>
      </c>
      <c r="D537" t="str">
        <f>Orders!E537</f>
        <v>R010</v>
      </c>
      <c r="E537" t="str">
        <f>IFERROR(VLOOKUP(Orders!D537,Products!$A$2:$C$61,3,FALSE),"Unknown")</f>
        <v>Grocery</v>
      </c>
      <c r="F537" t="str">
        <f>IFERROR(VLOOKUP(Orders!C537,Customers!$A$2:$E$301,5,FALSE),"Unknown")</f>
        <v>Corporate</v>
      </c>
      <c r="G537">
        <f>IFERROR(VLOOKUP(Orders!C537,Customers!$A$2:$C$301,3,FALSE),"")</f>
        <v>37</v>
      </c>
      <c r="H537" t="str">
        <f>VLOOKUP(D537,Sales_Reps!$A$2:$C$31,3,FALSE)</f>
        <v>South</v>
      </c>
      <c r="I537" s="44">
        <f t="shared" si="19"/>
        <v>45444</v>
      </c>
      <c r="L537" t="str">
        <f>Orders!K537</f>
        <v>Pune</v>
      </c>
      <c r="M537">
        <f>Orders!G537</f>
        <v>2380</v>
      </c>
      <c r="N537">
        <f>IFERROR(VLOOKUP(Orders!D537,Products!$A$2:$D$61,4,FALSE),"")</f>
        <v>1182</v>
      </c>
      <c r="O537">
        <f t="shared" si="20"/>
        <v>0.50336134453781511</v>
      </c>
      <c r="Q537" t="str">
        <f>Orders!D537</f>
        <v>PROD-023</v>
      </c>
    </row>
    <row r="538" spans="1:17" x14ac:dyDescent="0.3">
      <c r="A538" t="str">
        <f>Orders!A538</f>
        <v>ORD-00537</v>
      </c>
      <c r="B538">
        <f>Orders!B538</f>
        <v>45485</v>
      </c>
      <c r="C538">
        <f>Orders!I538</f>
        <v>17114.580000000002</v>
      </c>
      <c r="D538" t="str">
        <f>Orders!E538</f>
        <v>R008</v>
      </c>
      <c r="E538" t="str">
        <f>IFERROR(VLOOKUP(Orders!D538,Products!$A$2:$C$61,3,FALSE),"Unknown")</f>
        <v>Grocery</v>
      </c>
      <c r="F538" t="str">
        <f>IFERROR(VLOOKUP(Orders!C538,Customers!$A$2:$E$301,5,FALSE),"Unknown")</f>
        <v>Retail</v>
      </c>
      <c r="G538">
        <f>IFERROR(VLOOKUP(Orders!C538,Customers!$A$2:$C$301,3,FALSE),"")</f>
        <v>56</v>
      </c>
      <c r="H538" t="str">
        <f>VLOOKUP(D538,Sales_Reps!$A$2:$C$31,3,FALSE)</f>
        <v>North</v>
      </c>
      <c r="I538" s="44">
        <f t="shared" si="19"/>
        <v>45474</v>
      </c>
      <c r="L538" t="str">
        <f>Orders!K538</f>
        <v>Mumbai</v>
      </c>
      <c r="M538">
        <f>Orders!G538</f>
        <v>2380</v>
      </c>
      <c r="N538">
        <f>IFERROR(VLOOKUP(Orders!D538,Products!$A$2:$D$61,4,FALSE),"")</f>
        <v>1182</v>
      </c>
      <c r="O538">
        <f t="shared" si="20"/>
        <v>0.50336134453781511</v>
      </c>
      <c r="Q538" t="str">
        <f>Orders!D538</f>
        <v>PROD-023</v>
      </c>
    </row>
    <row r="539" spans="1:17" x14ac:dyDescent="0.3">
      <c r="A539" t="str">
        <f>Orders!A539</f>
        <v>ORD-00538</v>
      </c>
      <c r="B539">
        <f>Orders!B539</f>
        <v>45303</v>
      </c>
      <c r="C539">
        <f>Orders!I539</f>
        <v>38432.639999999999</v>
      </c>
      <c r="D539" t="str">
        <f>Orders!E539</f>
        <v>R014</v>
      </c>
      <c r="E539" t="str">
        <f>IFERROR(VLOOKUP(Orders!D539,Products!$A$2:$C$61,3,FALSE),"Unknown")</f>
        <v>Sports</v>
      </c>
      <c r="F539" t="str">
        <f>IFERROR(VLOOKUP(Orders!C539,Customers!$A$2:$E$301,5,FALSE),"Unknown")</f>
        <v>Corporate</v>
      </c>
      <c r="G539">
        <f>IFERROR(VLOOKUP(Orders!C539,Customers!$A$2:$C$301,3,FALSE),"")</f>
        <v>41</v>
      </c>
      <c r="H539" t="str">
        <f>VLOOKUP(D539,Sales_Reps!$A$2:$C$31,3,FALSE)</f>
        <v>South</v>
      </c>
      <c r="I539" s="44">
        <f t="shared" si="19"/>
        <v>45292</v>
      </c>
      <c r="L539" t="str">
        <f>Orders!K539</f>
        <v>Bengaluru</v>
      </c>
      <c r="M539">
        <f>Orders!G539</f>
        <v>5410</v>
      </c>
      <c r="N539">
        <f>IFERROR(VLOOKUP(Orders!D539,Products!$A$2:$D$61,4,FALSE),"")</f>
        <v>2265</v>
      </c>
      <c r="O539">
        <f t="shared" si="20"/>
        <v>0.58133086876155271</v>
      </c>
      <c r="Q539" t="str">
        <f>Orders!D539</f>
        <v>PROD-052</v>
      </c>
    </row>
    <row r="540" spans="1:17" x14ac:dyDescent="0.3">
      <c r="A540" t="str">
        <f>Orders!A540</f>
        <v>ORD-00539</v>
      </c>
      <c r="B540">
        <f>Orders!B540</f>
        <v>45605</v>
      </c>
      <c r="C540">
        <f>Orders!I540</f>
        <v>1149.72</v>
      </c>
      <c r="D540" t="str">
        <f>Orders!E540</f>
        <v>R008</v>
      </c>
      <c r="E540" t="str">
        <f>IFERROR(VLOOKUP(Orders!D540,Products!$A$2:$C$61,3,FALSE),"Unknown")</f>
        <v>Electronics</v>
      </c>
      <c r="F540" t="str">
        <f>IFERROR(VLOOKUP(Orders!C540,Customers!$A$2:$E$301,5,FALSE),"Unknown")</f>
        <v>SMB</v>
      </c>
      <c r="G540">
        <f>IFERROR(VLOOKUP(Orders!C540,Customers!$A$2:$C$301,3,FALSE),"")</f>
        <v>36</v>
      </c>
      <c r="H540" t="str">
        <f>VLOOKUP(D540,Sales_Reps!$A$2:$C$31,3,FALSE)</f>
        <v>North</v>
      </c>
      <c r="I540" s="44">
        <f t="shared" si="19"/>
        <v>45597</v>
      </c>
      <c r="L540" t="str">
        <f>Orders!K540</f>
        <v>Bengaluru</v>
      </c>
      <c r="M540">
        <f>Orders!G540</f>
        <v>1430</v>
      </c>
      <c r="N540">
        <f>IFERROR(VLOOKUP(Orders!D540,Products!$A$2:$D$61,4,FALSE),"")</f>
        <v>861</v>
      </c>
      <c r="O540">
        <f t="shared" si="20"/>
        <v>0.39790209790209791</v>
      </c>
      <c r="Q540" t="str">
        <f>Orders!D540</f>
        <v>PROD-007</v>
      </c>
    </row>
    <row r="541" spans="1:17" x14ac:dyDescent="0.3">
      <c r="A541" t="str">
        <f>Orders!A541</f>
        <v>ORD-00540</v>
      </c>
      <c r="B541">
        <f>Orders!B541</f>
        <v>45421</v>
      </c>
      <c r="C541">
        <f>Orders!I541</f>
        <v>20520</v>
      </c>
      <c r="D541" t="str">
        <f>Orders!E541</f>
        <v>R027</v>
      </c>
      <c r="E541" t="str">
        <f>IFERROR(VLOOKUP(Orders!D541,Products!$A$2:$C$61,3,FALSE),"Unknown")</f>
        <v>Sports</v>
      </c>
      <c r="F541" t="str">
        <f>IFERROR(VLOOKUP(Orders!C541,Customers!$A$2:$E$301,5,FALSE),"Unknown")</f>
        <v>Retail</v>
      </c>
      <c r="G541">
        <f>IFERROR(VLOOKUP(Orders!C541,Customers!$A$2:$C$301,3,FALSE),"")</f>
        <v>47</v>
      </c>
      <c r="H541" t="str">
        <f>VLOOKUP(D541,Sales_Reps!$A$2:$C$31,3,FALSE)</f>
        <v>West</v>
      </c>
      <c r="I541" s="44">
        <f t="shared" si="19"/>
        <v>45413</v>
      </c>
      <c r="L541" t="str">
        <f>Orders!K541</f>
        <v>Bengaluru</v>
      </c>
      <c r="M541">
        <f>Orders!G541</f>
        <v>2400</v>
      </c>
      <c r="N541">
        <f>IFERROR(VLOOKUP(Orders!D541,Products!$A$2:$D$61,4,FALSE),"")</f>
        <v>974</v>
      </c>
      <c r="O541">
        <f t="shared" si="20"/>
        <v>0.59416666666666662</v>
      </c>
      <c r="Q541" t="str">
        <f>Orders!D541</f>
        <v>PROD-058</v>
      </c>
    </row>
    <row r="542" spans="1:17" x14ac:dyDescent="0.3">
      <c r="A542" t="str">
        <f>Orders!A542</f>
        <v>ORD-00541</v>
      </c>
      <c r="B542">
        <f>Orders!B542</f>
        <v>45493</v>
      </c>
      <c r="C542">
        <f>Orders!I542</f>
        <v>3602.34</v>
      </c>
      <c r="D542" t="str">
        <f>Orders!E542</f>
        <v>R001</v>
      </c>
      <c r="E542" t="str">
        <f>IFERROR(VLOOKUP(Orders!D542,Products!$A$2:$C$61,3,FALSE),"Unknown")</f>
        <v>Grocery</v>
      </c>
      <c r="F542" t="str">
        <f>IFERROR(VLOOKUP(Orders!C542,Customers!$A$2:$E$301,5,FALSE),"Unknown")</f>
        <v>Corporate</v>
      </c>
      <c r="G542">
        <f>IFERROR(VLOOKUP(Orders!C542,Customers!$A$2:$C$301,3,FALSE),"")</f>
        <v>52</v>
      </c>
      <c r="H542" t="str">
        <f>VLOOKUP(D542,Sales_Reps!$A$2:$C$31,3,FALSE)</f>
        <v>North</v>
      </c>
      <c r="I542" s="44">
        <f t="shared" si="19"/>
        <v>45474</v>
      </c>
      <c r="L542" t="str">
        <f>Orders!K542</f>
        <v>Chennai</v>
      </c>
      <c r="M542">
        <f>Orders!G542</f>
        <v>3780</v>
      </c>
      <c r="N542">
        <f>IFERROR(VLOOKUP(Orders!D542,Products!$A$2:$D$61,4,FALSE),"")</f>
        <v>2436</v>
      </c>
      <c r="O542">
        <f t="shared" si="20"/>
        <v>0.35555555555555557</v>
      </c>
      <c r="Q542" t="str">
        <f>Orders!D542</f>
        <v>PROD-027</v>
      </c>
    </row>
    <row r="543" spans="1:17" x14ac:dyDescent="0.3">
      <c r="A543" t="str">
        <f>Orders!A543</f>
        <v>ORD-00542</v>
      </c>
      <c r="B543">
        <f>Orders!B543</f>
        <v>45592</v>
      </c>
      <c r="C543">
        <f>Orders!I543</f>
        <v>1140.8</v>
      </c>
      <c r="D543" t="str">
        <f>Orders!E543</f>
        <v>R019</v>
      </c>
      <c r="E543" t="str">
        <f>IFERROR(VLOOKUP(Orders!D543,Products!$A$2:$C$61,3,FALSE),"Unknown")</f>
        <v>Apparel</v>
      </c>
      <c r="F543" t="str">
        <f>IFERROR(VLOOKUP(Orders!C543,Customers!$A$2:$E$301,5,FALSE),"Unknown")</f>
        <v>Corporate</v>
      </c>
      <c r="G543">
        <f>IFERROR(VLOOKUP(Orders!C543,Customers!$A$2:$C$301,3,FALSE),"")</f>
        <v>62</v>
      </c>
      <c r="H543" t="str">
        <f>VLOOKUP(D543,Sales_Reps!$A$2:$C$31,3,FALSE)</f>
        <v>East</v>
      </c>
      <c r="I543" s="44">
        <f t="shared" si="19"/>
        <v>45566</v>
      </c>
      <c r="L543" t="str">
        <f>Orders!K543</f>
        <v>Mumbai</v>
      </c>
      <c r="M543">
        <f>Orders!G543</f>
        <v>620</v>
      </c>
      <c r="N543">
        <f>IFERROR(VLOOKUP(Orders!D543,Products!$A$2:$D$61,4,FALSE),"")</f>
        <v>396</v>
      </c>
      <c r="O543">
        <f t="shared" si="20"/>
        <v>0.36129032258064514</v>
      </c>
      <c r="Q543" t="str">
        <f>Orders!D543</f>
        <v>PROD-016</v>
      </c>
    </row>
    <row r="544" spans="1:17" x14ac:dyDescent="0.3">
      <c r="A544" t="str">
        <f>Orders!A544</f>
        <v>ORD-00543</v>
      </c>
      <c r="B544">
        <f>Orders!B544</f>
        <v>45379</v>
      </c>
      <c r="C544">
        <f>Orders!I544</f>
        <v>467.97</v>
      </c>
      <c r="D544" t="str">
        <f>Orders!E544</f>
        <v>R007</v>
      </c>
      <c r="E544" t="str">
        <f>IFERROR(VLOOKUP(Orders!D544,Products!$A$2:$C$61,3,FALSE),"Unknown")</f>
        <v>Sports</v>
      </c>
      <c r="F544" t="str">
        <f>IFERROR(VLOOKUP(Orders!C544,Customers!$A$2:$E$301,5,FALSE),"Unknown")</f>
        <v>Retail</v>
      </c>
      <c r="G544">
        <f>IFERROR(VLOOKUP(Orders!C544,Customers!$A$2:$C$301,3,FALSE),"")</f>
        <v>43</v>
      </c>
      <c r="H544" t="str">
        <f>VLOOKUP(D544,Sales_Reps!$A$2:$C$31,3,FALSE)</f>
        <v>North</v>
      </c>
      <c r="I544" s="44">
        <f t="shared" si="19"/>
        <v>45352</v>
      </c>
      <c r="L544" t="str">
        <f>Orders!K544</f>
        <v>Delhi</v>
      </c>
      <c r="M544">
        <f>Orders!G544</f>
        <v>190</v>
      </c>
      <c r="N544">
        <f>IFERROR(VLOOKUP(Orders!D544,Products!$A$2:$D$61,4,FALSE),"")</f>
        <v>147</v>
      </c>
      <c r="O544">
        <f t="shared" si="20"/>
        <v>0.22631578947368422</v>
      </c>
      <c r="Q544" t="str">
        <f>Orders!D544</f>
        <v>PROD-060</v>
      </c>
    </row>
    <row r="545" spans="1:17" x14ac:dyDescent="0.3">
      <c r="A545" t="str">
        <f>Orders!A545</f>
        <v>ORD-00544</v>
      </c>
      <c r="B545">
        <f>Orders!B545</f>
        <v>45332</v>
      </c>
      <c r="C545">
        <f>Orders!I545</f>
        <v>6117.8</v>
      </c>
      <c r="D545" t="str">
        <f>Orders!E545</f>
        <v>R019</v>
      </c>
      <c r="E545" t="str">
        <f>IFERROR(VLOOKUP(Orders!D545,Products!$A$2:$C$61,3,FALSE),"Unknown")</f>
        <v>Apparel</v>
      </c>
      <c r="F545" t="str">
        <f>IFERROR(VLOOKUP(Orders!C545,Customers!$A$2:$E$301,5,FALSE),"Unknown")</f>
        <v>Retail</v>
      </c>
      <c r="G545">
        <f>IFERROR(VLOOKUP(Orders!C545,Customers!$A$2:$C$301,3,FALSE),"")</f>
        <v>61</v>
      </c>
      <c r="H545" t="str">
        <f>VLOOKUP(D545,Sales_Reps!$A$2:$C$31,3,FALSE)</f>
        <v>East</v>
      </c>
      <c r="I545" s="44">
        <f t="shared" si="19"/>
        <v>45323</v>
      </c>
      <c r="L545" t="str">
        <f>Orders!K545</f>
        <v>Bengaluru</v>
      </c>
      <c r="M545">
        <f>Orders!G545</f>
        <v>3620</v>
      </c>
      <c r="N545">
        <f>IFERROR(VLOOKUP(Orders!D545,Products!$A$2:$D$61,4,FALSE),"")</f>
        <v>2509</v>
      </c>
      <c r="O545">
        <f t="shared" si="20"/>
        <v>0.3069060773480663</v>
      </c>
      <c r="Q545" t="str">
        <f>Orders!D545</f>
        <v>PROD-014</v>
      </c>
    </row>
    <row r="546" spans="1:17" x14ac:dyDescent="0.3">
      <c r="A546" t="str">
        <f>Orders!A546</f>
        <v>ORD-00545</v>
      </c>
      <c r="B546">
        <f>Orders!B546</f>
        <v>45610</v>
      </c>
      <c r="C546">
        <f>Orders!I546</f>
        <v>10467.6</v>
      </c>
      <c r="D546" t="str">
        <f>Orders!E546</f>
        <v>R018</v>
      </c>
      <c r="E546" t="str">
        <f>IFERROR(VLOOKUP(Orders!D546,Products!$A$2:$C$61,3,FALSE),"Unknown")</f>
        <v>Sports</v>
      </c>
      <c r="F546" t="str">
        <f>IFERROR(VLOOKUP(Orders!C546,Customers!$A$2:$E$301,5,FALSE),"Unknown")</f>
        <v>Corporate</v>
      </c>
      <c r="G546">
        <f>IFERROR(VLOOKUP(Orders!C546,Customers!$A$2:$C$301,3,FALSE),"")</f>
        <v>56</v>
      </c>
      <c r="H546" t="str">
        <f>VLOOKUP(D546,Sales_Reps!$A$2:$C$31,3,FALSE)</f>
        <v>East</v>
      </c>
      <c r="I546" s="44">
        <f t="shared" si="19"/>
        <v>45597</v>
      </c>
      <c r="L546" t="str">
        <f>Orders!K546</f>
        <v>Hyderabad</v>
      </c>
      <c r="M546">
        <f>Orders!G546</f>
        <v>2860</v>
      </c>
      <c r="N546">
        <f>IFERROR(VLOOKUP(Orders!D546,Products!$A$2:$D$61,4,FALSE),"")</f>
        <v>2028</v>
      </c>
      <c r="O546">
        <f t="shared" si="20"/>
        <v>0.29090909090909089</v>
      </c>
      <c r="Q546" t="str">
        <f>Orders!D546</f>
        <v>PROD-055</v>
      </c>
    </row>
    <row r="547" spans="1:17" x14ac:dyDescent="0.3">
      <c r="A547" t="str">
        <f>Orders!A547</f>
        <v>ORD-00546</v>
      </c>
      <c r="B547">
        <f>Orders!B547</f>
        <v>45638</v>
      </c>
      <c r="C547">
        <f>Orders!I547</f>
        <v>11635.2</v>
      </c>
      <c r="D547" t="str">
        <f>Orders!E547</f>
        <v>R023</v>
      </c>
      <c r="E547" t="str">
        <f>IFERROR(VLOOKUP(Orders!D547,Products!$A$2:$C$61,3,FALSE),"Unknown")</f>
        <v>Sports</v>
      </c>
      <c r="F547" t="str">
        <f>IFERROR(VLOOKUP(Orders!C547,Customers!$A$2:$E$301,5,FALSE),"Unknown")</f>
        <v>Retail</v>
      </c>
      <c r="G547">
        <f>IFERROR(VLOOKUP(Orders!C547,Customers!$A$2:$C$301,3,FALSE),"")</f>
        <v>55</v>
      </c>
      <c r="H547" t="str">
        <f>VLOOKUP(D547,Sales_Reps!$A$2:$C$31,3,FALSE)</f>
        <v>East</v>
      </c>
      <c r="I547" s="44">
        <f t="shared" si="19"/>
        <v>45627</v>
      </c>
      <c r="L547" t="str">
        <f>Orders!K547</f>
        <v>Delhi</v>
      </c>
      <c r="M547">
        <f>Orders!G547</f>
        <v>2400</v>
      </c>
      <c r="N547">
        <f>IFERROR(VLOOKUP(Orders!D547,Products!$A$2:$D$61,4,FALSE),"")</f>
        <v>974</v>
      </c>
      <c r="O547">
        <f t="shared" si="20"/>
        <v>0.59416666666666662</v>
      </c>
      <c r="Q547" t="str">
        <f>Orders!D547</f>
        <v>PROD-058</v>
      </c>
    </row>
    <row r="548" spans="1:17" x14ac:dyDescent="0.3">
      <c r="A548" t="str">
        <f>Orders!A548</f>
        <v>ORD-00547</v>
      </c>
      <c r="B548">
        <f>Orders!B548</f>
        <v>45546</v>
      </c>
      <c r="C548">
        <f>Orders!I548</f>
        <v>29657.040000000001</v>
      </c>
      <c r="D548" t="str">
        <f>Orders!E548</f>
        <v>R009</v>
      </c>
      <c r="E548" t="str">
        <f>IFERROR(VLOOKUP(Orders!D548,Products!$A$2:$C$61,3,FALSE),"Unknown")</f>
        <v>Home</v>
      </c>
      <c r="F548" t="str">
        <f>IFERROR(VLOOKUP(Orders!C548,Customers!$A$2:$E$301,5,FALSE),"Unknown")</f>
        <v>SMB</v>
      </c>
      <c r="G548">
        <f>IFERROR(VLOOKUP(Orders!C548,Customers!$A$2:$C$301,3,FALSE),"")</f>
        <v>42</v>
      </c>
      <c r="H548" t="str">
        <f>VLOOKUP(D548,Sales_Reps!$A$2:$C$31,3,FALSE)</f>
        <v>South</v>
      </c>
      <c r="I548" s="44">
        <f t="shared" si="19"/>
        <v>45536</v>
      </c>
      <c r="L548" t="str">
        <f>Orders!K548</f>
        <v>Bengaluru</v>
      </c>
      <c r="M548">
        <f>Orders!G548</f>
        <v>5080</v>
      </c>
      <c r="N548">
        <f>IFERROR(VLOOKUP(Orders!D548,Products!$A$2:$D$61,4,FALSE),"")</f>
        <v>2459</v>
      </c>
      <c r="O548">
        <f t="shared" si="20"/>
        <v>0.51594488188976373</v>
      </c>
      <c r="Q548" t="str">
        <f>Orders!D548</f>
        <v>PROD-034</v>
      </c>
    </row>
    <row r="549" spans="1:17" x14ac:dyDescent="0.3">
      <c r="A549" t="str">
        <f>Orders!A549</f>
        <v>ORD-00548</v>
      </c>
      <c r="B549">
        <f>Orders!B549</f>
        <v>45436</v>
      </c>
      <c r="C549">
        <f>Orders!I549</f>
        <v>38303.199999999997</v>
      </c>
      <c r="D549" t="str">
        <f>Orders!E549</f>
        <v>R015</v>
      </c>
      <c r="E549" t="str">
        <f>IFERROR(VLOOKUP(Orders!D549,Products!$A$2:$C$61,3,FALSE),"Unknown")</f>
        <v>Home</v>
      </c>
      <c r="F549" t="str">
        <f>IFERROR(VLOOKUP(Orders!C549,Customers!$A$2:$E$301,5,FALSE),"Unknown")</f>
        <v>Corporate</v>
      </c>
      <c r="G549">
        <f>IFERROR(VLOOKUP(Orders!C549,Customers!$A$2:$C$301,3,FALSE),"")</f>
        <v>32</v>
      </c>
      <c r="H549" t="str">
        <f>VLOOKUP(D549,Sales_Reps!$A$2:$C$31,3,FALSE)</f>
        <v>South</v>
      </c>
      <c r="I549" s="44">
        <f t="shared" si="19"/>
        <v>45413</v>
      </c>
      <c r="L549" t="str">
        <f>Orders!K549</f>
        <v>Hyderabad</v>
      </c>
      <c r="M549">
        <f>Orders!G549</f>
        <v>5080</v>
      </c>
      <c r="N549">
        <f>IFERROR(VLOOKUP(Orders!D549,Products!$A$2:$D$61,4,FALSE),"")</f>
        <v>2459</v>
      </c>
      <c r="O549">
        <f t="shared" si="20"/>
        <v>0.51594488188976373</v>
      </c>
      <c r="Q549" t="str">
        <f>Orders!D549</f>
        <v>PROD-034</v>
      </c>
    </row>
    <row r="550" spans="1:17" x14ac:dyDescent="0.3">
      <c r="A550" t="str">
        <f>Orders!A550</f>
        <v>ORD-00549</v>
      </c>
      <c r="B550">
        <f>Orders!B550</f>
        <v>45532</v>
      </c>
      <c r="C550">
        <f>Orders!I550</f>
        <v>5604.48</v>
      </c>
      <c r="D550" t="str">
        <f>Orders!E550</f>
        <v>R008</v>
      </c>
      <c r="E550" t="str">
        <f>IFERROR(VLOOKUP(Orders!D550,Products!$A$2:$C$61,3,FALSE),"Unknown")</f>
        <v>Sports</v>
      </c>
      <c r="F550" t="str">
        <f>IFERROR(VLOOKUP(Orders!C550,Customers!$A$2:$E$301,5,FALSE),"Unknown")</f>
        <v>SMB</v>
      </c>
      <c r="G550">
        <f>IFERROR(VLOOKUP(Orders!C550,Customers!$A$2:$C$301,3,FALSE),"")</f>
        <v>65</v>
      </c>
      <c r="H550" t="str">
        <f>VLOOKUP(D550,Sales_Reps!$A$2:$C$31,3,FALSE)</f>
        <v>North</v>
      </c>
      <c r="I550" s="44">
        <f t="shared" si="19"/>
        <v>45505</v>
      </c>
      <c r="L550" t="str">
        <f>Orders!K550</f>
        <v>Mumbai</v>
      </c>
      <c r="M550">
        <f>Orders!G550</f>
        <v>960</v>
      </c>
      <c r="N550">
        <f>IFERROR(VLOOKUP(Orders!D550,Products!$A$2:$D$61,4,FALSE),"")</f>
        <v>705</v>
      </c>
      <c r="O550">
        <f t="shared" si="20"/>
        <v>0.265625</v>
      </c>
      <c r="Q550" t="str">
        <f>Orders!D550</f>
        <v>PROD-057</v>
      </c>
    </row>
    <row r="551" spans="1:17" x14ac:dyDescent="0.3">
      <c r="A551" t="str">
        <f>Orders!A551</f>
        <v>ORD-00550</v>
      </c>
      <c r="B551">
        <f>Orders!B551</f>
        <v>45568</v>
      </c>
      <c r="C551">
        <f>Orders!I551</f>
        <v>10628.64</v>
      </c>
      <c r="D551" t="str">
        <f>Orders!E551</f>
        <v>R028</v>
      </c>
      <c r="E551" t="str">
        <f>IFERROR(VLOOKUP(Orders!D551,Products!$A$2:$C$61,3,FALSE),"Unknown")</f>
        <v>Grocery</v>
      </c>
      <c r="F551" t="str">
        <f>IFERROR(VLOOKUP(Orders!C551,Customers!$A$2:$E$301,5,FALSE),"Unknown")</f>
        <v>Corporate</v>
      </c>
      <c r="G551">
        <f>IFERROR(VLOOKUP(Orders!C551,Customers!$A$2:$C$301,3,FALSE),"")</f>
        <v>55</v>
      </c>
      <c r="H551" t="str">
        <f>VLOOKUP(D551,Sales_Reps!$A$2:$C$31,3,FALSE)</f>
        <v>West</v>
      </c>
      <c r="I551" s="44">
        <f t="shared" si="19"/>
        <v>45566</v>
      </c>
      <c r="L551" t="str">
        <f>Orders!K551</f>
        <v>Delhi</v>
      </c>
      <c r="M551">
        <f>Orders!G551</f>
        <v>3660</v>
      </c>
      <c r="N551">
        <f>IFERROR(VLOOKUP(Orders!D551,Products!$A$2:$D$61,4,FALSE),"")</f>
        <v>2214</v>
      </c>
      <c r="O551">
        <f t="shared" si="20"/>
        <v>0.39508196721311473</v>
      </c>
      <c r="Q551" t="str">
        <f>Orders!D551</f>
        <v>PROD-028</v>
      </c>
    </row>
    <row r="552" spans="1:17" x14ac:dyDescent="0.3">
      <c r="A552" t="str">
        <f>Orders!A552</f>
        <v>ORD-00551</v>
      </c>
      <c r="B552">
        <f>Orders!B552</f>
        <v>45572</v>
      </c>
      <c r="C552">
        <f>Orders!I552</f>
        <v>11674.08</v>
      </c>
      <c r="D552" t="str">
        <f>Orders!E552</f>
        <v>R009</v>
      </c>
      <c r="E552" t="str">
        <f>IFERROR(VLOOKUP(Orders!D552,Products!$A$2:$C$61,3,FALSE),"Unknown")</f>
        <v>Electronics</v>
      </c>
      <c r="F552" t="str">
        <f>IFERROR(VLOOKUP(Orders!C552,Customers!$A$2:$E$301,5,FALSE),"Unknown")</f>
        <v>Corporate</v>
      </c>
      <c r="G552">
        <f>IFERROR(VLOOKUP(Orders!C552,Customers!$A$2:$C$301,3,FALSE),"")</f>
        <v>47</v>
      </c>
      <c r="H552" t="str">
        <f>VLOOKUP(D552,Sales_Reps!$A$2:$C$31,3,FALSE)</f>
        <v>South</v>
      </c>
      <c r="I552" s="44">
        <f t="shared" si="19"/>
        <v>45566</v>
      </c>
      <c r="L552" t="str">
        <f>Orders!K552</f>
        <v>Pune</v>
      </c>
      <c r="M552">
        <f>Orders!G552</f>
        <v>2640</v>
      </c>
      <c r="N552">
        <f>IFERROR(VLOOKUP(Orders!D552,Products!$A$2:$D$61,4,FALSE),"")</f>
        <v>1149</v>
      </c>
      <c r="O552">
        <f t="shared" si="20"/>
        <v>0.56477272727272732</v>
      </c>
      <c r="Q552" t="str">
        <f>Orders!D552</f>
        <v>PROD-010</v>
      </c>
    </row>
    <row r="553" spans="1:17" x14ac:dyDescent="0.3">
      <c r="A553" t="str">
        <f>Orders!A553</f>
        <v>ORD-00552</v>
      </c>
      <c r="B553">
        <f>Orders!B553</f>
        <v>45562</v>
      </c>
      <c r="C553">
        <f>Orders!I553</f>
        <v>5687.64</v>
      </c>
      <c r="D553" t="str">
        <f>Orders!E553</f>
        <v>R009</v>
      </c>
      <c r="E553" t="str">
        <f>IFERROR(VLOOKUP(Orders!D553,Products!$A$2:$C$61,3,FALSE),"Unknown")</f>
        <v>Electronics</v>
      </c>
      <c r="F553" t="str">
        <f>IFERROR(VLOOKUP(Orders!C553,Customers!$A$2:$E$301,5,FALSE),"Unknown")</f>
        <v>SMB</v>
      </c>
      <c r="G553">
        <f>IFERROR(VLOOKUP(Orders!C553,Customers!$A$2:$C$301,3,FALSE),"")</f>
        <v>64</v>
      </c>
      <c r="H553" t="str">
        <f>VLOOKUP(D553,Sales_Reps!$A$2:$C$31,3,FALSE)</f>
        <v>South</v>
      </c>
      <c r="I553" s="44">
        <f t="shared" si="19"/>
        <v>45536</v>
      </c>
      <c r="L553" t="str">
        <f>Orders!K553</f>
        <v>Chennai</v>
      </c>
      <c r="M553">
        <f>Orders!G553</f>
        <v>1220</v>
      </c>
      <c r="N553">
        <f>IFERROR(VLOOKUP(Orders!D553,Products!$A$2:$D$61,4,FALSE),"")</f>
        <v>517</v>
      </c>
      <c r="O553">
        <f t="shared" si="20"/>
        <v>0.57622950819672136</v>
      </c>
      <c r="Q553" t="str">
        <f>Orders!D553</f>
        <v>PROD-009</v>
      </c>
    </row>
    <row r="554" spans="1:17" x14ac:dyDescent="0.3">
      <c r="A554" t="str">
        <f>Orders!A554</f>
        <v>ORD-00553</v>
      </c>
      <c r="B554">
        <f>Orders!B554</f>
        <v>45345</v>
      </c>
      <c r="C554">
        <f>Orders!I554</f>
        <v>297.89999999999998</v>
      </c>
      <c r="D554" t="str">
        <f>Orders!E554</f>
        <v>R013</v>
      </c>
      <c r="E554" t="str">
        <f>IFERROR(VLOOKUP(Orders!D554,Products!$A$2:$C$61,3,FALSE),"Unknown")</f>
        <v>Electronics</v>
      </c>
      <c r="F554" t="str">
        <f>IFERROR(VLOOKUP(Orders!C554,Customers!$A$2:$E$301,5,FALSE),"Unknown")</f>
        <v>Retail</v>
      </c>
      <c r="G554">
        <f>IFERROR(VLOOKUP(Orders!C554,Customers!$A$2:$C$301,3,FALSE),"")</f>
        <v>27</v>
      </c>
      <c r="H554" t="str">
        <f>VLOOKUP(D554,Sales_Reps!$A$2:$C$31,3,FALSE)</f>
        <v>South</v>
      </c>
      <c r="I554" s="44">
        <f t="shared" si="19"/>
        <v>45323</v>
      </c>
      <c r="L554" t="str">
        <f>Orders!K554</f>
        <v>Bengaluru</v>
      </c>
      <c r="M554">
        <f>Orders!G554</f>
        <v>300</v>
      </c>
      <c r="N554">
        <f>IFERROR(VLOOKUP(Orders!D554,Products!$A$2:$D$61,4,FALSE),"")</f>
        <v>128</v>
      </c>
      <c r="O554">
        <f t="shared" si="20"/>
        <v>0.57333333333333336</v>
      </c>
      <c r="Q554" t="str">
        <f>Orders!D554</f>
        <v>PROD-005</v>
      </c>
    </row>
    <row r="555" spans="1:17" x14ac:dyDescent="0.3">
      <c r="A555" t="str">
        <f>Orders!A555</f>
        <v>ORD-00554</v>
      </c>
      <c r="B555">
        <f>Orders!B555</f>
        <v>45370</v>
      </c>
      <c r="C555">
        <f>Orders!I555</f>
        <v>1454.4</v>
      </c>
      <c r="D555" t="str">
        <f>Orders!E555</f>
        <v>R020</v>
      </c>
      <c r="E555" t="str">
        <f>IFERROR(VLOOKUP(Orders!D555,Products!$A$2:$C$61,3,FALSE),"Unknown")</f>
        <v>Sports</v>
      </c>
      <c r="F555" t="str">
        <f>IFERROR(VLOOKUP(Orders!C555,Customers!$A$2:$E$301,5,FALSE),"Unknown")</f>
        <v>Retail</v>
      </c>
      <c r="G555">
        <f>IFERROR(VLOOKUP(Orders!C555,Customers!$A$2:$C$301,3,FALSE),"")</f>
        <v>65</v>
      </c>
      <c r="H555" t="str">
        <f>VLOOKUP(D555,Sales_Reps!$A$2:$C$31,3,FALSE)</f>
        <v>East</v>
      </c>
      <c r="I555" s="44">
        <f t="shared" si="19"/>
        <v>45352</v>
      </c>
      <c r="L555" t="str">
        <f>Orders!K555</f>
        <v>Hyderabad</v>
      </c>
      <c r="M555">
        <f>Orders!G555</f>
        <v>1010</v>
      </c>
      <c r="N555">
        <f>IFERROR(VLOOKUP(Orders!D555,Products!$A$2:$D$61,4,FALSE),"")</f>
        <v>516</v>
      </c>
      <c r="O555">
        <f t="shared" si="20"/>
        <v>0.4891089108910891</v>
      </c>
      <c r="Q555" t="str">
        <f>Orders!D555</f>
        <v>PROD-054</v>
      </c>
    </row>
    <row r="556" spans="1:17" x14ac:dyDescent="0.3">
      <c r="A556" t="str">
        <f>Orders!A556</f>
        <v>ORD-00555</v>
      </c>
      <c r="B556">
        <f>Orders!B556</f>
        <v>45407</v>
      </c>
      <c r="C556">
        <f>Orders!I556</f>
        <v>12896</v>
      </c>
      <c r="D556" t="str">
        <f>Orders!E556</f>
        <v>R011</v>
      </c>
      <c r="E556" t="str">
        <f>IFERROR(VLOOKUP(Orders!D556,Products!$A$2:$C$61,3,FALSE),"Unknown")</f>
        <v>Electronics</v>
      </c>
      <c r="F556" t="str">
        <f>IFERROR(VLOOKUP(Orders!C556,Customers!$A$2:$E$301,5,FALSE),"Unknown")</f>
        <v>SMB</v>
      </c>
      <c r="G556">
        <f>IFERROR(VLOOKUP(Orders!C556,Customers!$A$2:$C$301,3,FALSE),"")</f>
        <v>45</v>
      </c>
      <c r="H556" t="str">
        <f>VLOOKUP(D556,Sales_Reps!$A$2:$C$31,3,FALSE)</f>
        <v>South</v>
      </c>
      <c r="I556" s="44">
        <f t="shared" si="19"/>
        <v>45383</v>
      </c>
      <c r="L556" t="str">
        <f>Orders!K556</f>
        <v>Delhi</v>
      </c>
      <c r="M556">
        <f>Orders!G556</f>
        <v>2600</v>
      </c>
      <c r="N556">
        <f>IFERROR(VLOOKUP(Orders!D556,Products!$A$2:$D$61,4,FALSE),"")</f>
        <v>1052</v>
      </c>
      <c r="O556">
        <f t="shared" si="20"/>
        <v>0.5953846153846154</v>
      </c>
      <c r="Q556" t="str">
        <f>Orders!D556</f>
        <v>PROD-002</v>
      </c>
    </row>
    <row r="557" spans="1:17" x14ac:dyDescent="0.3">
      <c r="A557" t="str">
        <f>Orders!A557</f>
        <v>ORD-00556</v>
      </c>
      <c r="B557">
        <f>Orders!B557</f>
        <v>45337</v>
      </c>
      <c r="C557">
        <f>Orders!I557</f>
        <v>18592.259999999998</v>
      </c>
      <c r="D557" t="str">
        <f>Orders!E557</f>
        <v>R026</v>
      </c>
      <c r="E557" t="str">
        <f>IFERROR(VLOOKUP(Orders!D557,Products!$A$2:$C$61,3,FALSE),"Unknown")</f>
        <v>Sports</v>
      </c>
      <c r="F557" t="str">
        <f>IFERROR(VLOOKUP(Orders!C557,Customers!$A$2:$E$301,5,FALSE),"Unknown")</f>
        <v>Retail</v>
      </c>
      <c r="G557">
        <f>IFERROR(VLOOKUP(Orders!C557,Customers!$A$2:$C$301,3,FALSE),"")</f>
        <v>37</v>
      </c>
      <c r="H557" t="str">
        <f>VLOOKUP(D557,Sales_Reps!$A$2:$C$31,3,FALSE)</f>
        <v>West</v>
      </c>
      <c r="I557" s="44">
        <f t="shared" si="19"/>
        <v>45323</v>
      </c>
      <c r="L557" t="str">
        <f>Orders!K557</f>
        <v>Mumbai</v>
      </c>
      <c r="M557">
        <f>Orders!G557</f>
        <v>6940</v>
      </c>
      <c r="N557">
        <f>IFERROR(VLOOKUP(Orders!D557,Products!$A$2:$D$61,4,FALSE),"")</f>
        <v>2827</v>
      </c>
      <c r="O557">
        <f t="shared" si="20"/>
        <v>0.5926512968299712</v>
      </c>
      <c r="Q557" t="str">
        <f>Orders!D557</f>
        <v>PROD-056</v>
      </c>
    </row>
    <row r="558" spans="1:17" x14ac:dyDescent="0.3">
      <c r="A558" t="str">
        <f>Orders!A558</f>
        <v>ORD-00557</v>
      </c>
      <c r="B558">
        <f>Orders!B558</f>
        <v>45571</v>
      </c>
      <c r="C558">
        <f>Orders!I558</f>
        <v>331.89</v>
      </c>
      <c r="D558" t="str">
        <f>Orders!E558</f>
        <v>R011</v>
      </c>
      <c r="E558" t="str">
        <f>IFERROR(VLOOKUP(Orders!D558,Products!$A$2:$C$61,3,FALSE),"Unknown")</f>
        <v>Home</v>
      </c>
      <c r="F558" t="str">
        <f>IFERROR(VLOOKUP(Orders!C558,Customers!$A$2:$E$301,5,FALSE),"Unknown")</f>
        <v>SMB</v>
      </c>
      <c r="G558">
        <f>IFERROR(VLOOKUP(Orders!C558,Customers!$A$2:$C$301,3,FALSE),"")</f>
        <v>44</v>
      </c>
      <c r="H558" t="str">
        <f>VLOOKUP(D558,Sales_Reps!$A$2:$C$31,3,FALSE)</f>
        <v>South</v>
      </c>
      <c r="I558" s="44">
        <f t="shared" si="19"/>
        <v>45566</v>
      </c>
      <c r="L558" t="str">
        <f>Orders!K558</f>
        <v>Bengaluru</v>
      </c>
      <c r="M558">
        <f>Orders!G558</f>
        <v>370</v>
      </c>
      <c r="N558">
        <f>IFERROR(VLOOKUP(Orders!D558,Products!$A$2:$D$61,4,FALSE),"")</f>
        <v>288</v>
      </c>
      <c r="O558">
        <f t="shared" si="20"/>
        <v>0.22162162162162163</v>
      </c>
      <c r="Q558" t="str">
        <f>Orders!D558</f>
        <v>PROD-032</v>
      </c>
    </row>
    <row r="559" spans="1:17" x14ac:dyDescent="0.3">
      <c r="A559" t="str">
        <f>Orders!A559</f>
        <v>ORD-00558</v>
      </c>
      <c r="B559">
        <f>Orders!B559</f>
        <v>45357</v>
      </c>
      <c r="C559">
        <f>Orders!I559</f>
        <v>5337.36</v>
      </c>
      <c r="D559" t="str">
        <f>Orders!E559</f>
        <v>R029</v>
      </c>
      <c r="E559" t="str">
        <f>IFERROR(VLOOKUP(Orders!D559,Products!$A$2:$C$61,3,FALSE),"Unknown")</f>
        <v>Grocery</v>
      </c>
      <c r="F559" t="str">
        <f>IFERROR(VLOOKUP(Orders!C559,Customers!$A$2:$E$301,5,FALSE),"Unknown")</f>
        <v>Retail</v>
      </c>
      <c r="G559">
        <f>IFERROR(VLOOKUP(Orders!C559,Customers!$A$2:$C$301,3,FALSE),"")</f>
        <v>39</v>
      </c>
      <c r="H559" t="str">
        <f>VLOOKUP(D559,Sales_Reps!$A$2:$C$31,3,FALSE)</f>
        <v>West</v>
      </c>
      <c r="I559" s="44">
        <f t="shared" si="19"/>
        <v>45352</v>
      </c>
      <c r="L559" t="str">
        <f>Orders!K559</f>
        <v>Mumbai</v>
      </c>
      <c r="M559">
        <f>Orders!G559</f>
        <v>3780</v>
      </c>
      <c r="N559">
        <f>IFERROR(VLOOKUP(Orders!D559,Products!$A$2:$D$61,4,FALSE),"")</f>
        <v>2436</v>
      </c>
      <c r="O559">
        <f t="shared" si="20"/>
        <v>0.35555555555555557</v>
      </c>
      <c r="Q559" t="str">
        <f>Orders!D559</f>
        <v>PROD-027</v>
      </c>
    </row>
    <row r="560" spans="1:17" x14ac:dyDescent="0.3">
      <c r="A560" t="str">
        <f>Orders!A560</f>
        <v>ORD-00559</v>
      </c>
      <c r="B560">
        <f>Orders!B560</f>
        <v>45432</v>
      </c>
      <c r="C560">
        <f>Orders!I560</f>
        <v>4141.8999999999996</v>
      </c>
      <c r="D560" t="str">
        <f>Orders!E560</f>
        <v>R022</v>
      </c>
      <c r="E560" t="str">
        <f>IFERROR(VLOOKUP(Orders!D560,Products!$A$2:$C$61,3,FALSE),"Unknown")</f>
        <v>Grocery</v>
      </c>
      <c r="F560" t="str">
        <f>IFERROR(VLOOKUP(Orders!C560,Customers!$A$2:$E$301,5,FALSE),"Unknown")</f>
        <v>SMB</v>
      </c>
      <c r="G560">
        <f>IFERROR(VLOOKUP(Orders!C560,Customers!$A$2:$C$301,3,FALSE),"")</f>
        <v>49</v>
      </c>
      <c r="H560" t="str">
        <f>VLOOKUP(D560,Sales_Reps!$A$2:$C$31,3,FALSE)</f>
        <v>East</v>
      </c>
      <c r="I560" s="44">
        <f t="shared" si="19"/>
        <v>45413</v>
      </c>
      <c r="L560" t="str">
        <f>Orders!K560</f>
        <v>Pune</v>
      </c>
      <c r="M560">
        <f>Orders!G560</f>
        <v>970</v>
      </c>
      <c r="N560">
        <f>IFERROR(VLOOKUP(Orders!D560,Products!$A$2:$D$61,4,FALSE),"")</f>
        <v>434</v>
      </c>
      <c r="O560">
        <f t="shared" si="20"/>
        <v>0.5525773195876289</v>
      </c>
      <c r="Q560" t="str">
        <f>Orders!D560</f>
        <v>PROD-030</v>
      </c>
    </row>
    <row r="561" spans="1:17" x14ac:dyDescent="0.3">
      <c r="A561" t="str">
        <f>Orders!A561</f>
        <v>ORD-00560</v>
      </c>
      <c r="B561">
        <f>Orders!B561</f>
        <v>45604</v>
      </c>
      <c r="C561">
        <f>Orders!I561</f>
        <v>6367.35</v>
      </c>
      <c r="D561" t="str">
        <f>Orders!E561</f>
        <v>R002</v>
      </c>
      <c r="E561" t="str">
        <f>IFERROR(VLOOKUP(Orders!D561,Products!$A$2:$C$61,3,FALSE),"Unknown")</f>
        <v>Grocery</v>
      </c>
      <c r="F561" t="str">
        <f>IFERROR(VLOOKUP(Orders!C561,Customers!$A$2:$E$301,5,FALSE),"Unknown")</f>
        <v>Retail</v>
      </c>
      <c r="G561">
        <f>IFERROR(VLOOKUP(Orders!C561,Customers!$A$2:$C$301,3,FALSE),"")</f>
        <v>31</v>
      </c>
      <c r="H561" t="str">
        <f>VLOOKUP(D561,Sales_Reps!$A$2:$C$31,3,FALSE)</f>
        <v>North</v>
      </c>
      <c r="I561" s="44">
        <f t="shared" si="19"/>
        <v>45597</v>
      </c>
      <c r="L561" t="str">
        <f>Orders!K561</f>
        <v>Pune</v>
      </c>
      <c r="M561">
        <f>Orders!G561</f>
        <v>2270</v>
      </c>
      <c r="N561">
        <f>IFERROR(VLOOKUP(Orders!D561,Products!$A$2:$D$61,4,FALSE),"")</f>
        <v>1412</v>
      </c>
      <c r="O561">
        <f t="shared" si="20"/>
        <v>0.37797356828193834</v>
      </c>
      <c r="Q561" t="str">
        <f>Orders!D561</f>
        <v>PROD-022</v>
      </c>
    </row>
    <row r="562" spans="1:17" x14ac:dyDescent="0.3">
      <c r="A562" t="str">
        <f>Orders!A562</f>
        <v>ORD-00561</v>
      </c>
      <c r="B562">
        <f>Orders!B562</f>
        <v>45467</v>
      </c>
      <c r="C562">
        <f>Orders!I562</f>
        <v>12859</v>
      </c>
      <c r="D562" t="str">
        <f>Orders!E562</f>
        <v>R029</v>
      </c>
      <c r="E562" t="str">
        <f>IFERROR(VLOOKUP(Orders!D562,Products!$A$2:$C$61,3,FALSE),"Unknown")</f>
        <v>Beauty</v>
      </c>
      <c r="F562" t="str">
        <f>IFERROR(VLOOKUP(Orders!C562,Customers!$A$2:$E$301,5,FALSE),"Unknown")</f>
        <v>SMB</v>
      </c>
      <c r="G562">
        <f>IFERROR(VLOOKUP(Orders!C562,Customers!$A$2:$C$301,3,FALSE),"")</f>
        <v>46</v>
      </c>
      <c r="H562" t="str">
        <f>VLOOKUP(D562,Sales_Reps!$A$2:$C$31,3,FALSE)</f>
        <v>West</v>
      </c>
      <c r="I562" s="44">
        <f t="shared" si="19"/>
        <v>45444</v>
      </c>
      <c r="L562" t="str">
        <f>Orders!K562</f>
        <v>Chennai</v>
      </c>
      <c r="M562">
        <f>Orders!G562</f>
        <v>1540</v>
      </c>
      <c r="N562">
        <f>IFERROR(VLOOKUP(Orders!D562,Products!$A$2:$D$61,4,FALSE),"")</f>
        <v>647</v>
      </c>
      <c r="O562">
        <f t="shared" si="20"/>
        <v>0.57987012987012987</v>
      </c>
      <c r="Q562" t="str">
        <f>Orders!D562</f>
        <v>PROD-041</v>
      </c>
    </row>
    <row r="563" spans="1:17" x14ac:dyDescent="0.3">
      <c r="A563" t="str">
        <f>Orders!A563</f>
        <v>ORD-00562</v>
      </c>
      <c r="B563">
        <f>Orders!B563</f>
        <v>45649</v>
      </c>
      <c r="C563">
        <f>Orders!I563</f>
        <v>8854.08</v>
      </c>
      <c r="D563" t="str">
        <f>Orders!E563</f>
        <v>R017</v>
      </c>
      <c r="E563" t="str">
        <f>IFERROR(VLOOKUP(Orders!D563,Products!$A$2:$C$61,3,FALSE),"Unknown")</f>
        <v>Grocery</v>
      </c>
      <c r="F563" t="str">
        <f>IFERROR(VLOOKUP(Orders!C563,Customers!$A$2:$E$301,5,FALSE),"Unknown")</f>
        <v>Retail</v>
      </c>
      <c r="G563">
        <f>IFERROR(VLOOKUP(Orders!C563,Customers!$A$2:$C$301,3,FALSE),"")</f>
        <v>36</v>
      </c>
      <c r="H563" t="str">
        <f>VLOOKUP(D563,Sales_Reps!$A$2:$C$31,3,FALSE)</f>
        <v>East</v>
      </c>
      <c r="I563" s="44">
        <f t="shared" si="19"/>
        <v>45627</v>
      </c>
      <c r="L563" t="str">
        <f>Orders!K563</f>
        <v>Chennai</v>
      </c>
      <c r="M563">
        <f>Orders!G563</f>
        <v>2760</v>
      </c>
      <c r="N563">
        <f>IFERROR(VLOOKUP(Orders!D563,Products!$A$2:$D$61,4,FALSE),"")</f>
        <v>1435</v>
      </c>
      <c r="O563">
        <f t="shared" si="20"/>
        <v>0.48007246376811596</v>
      </c>
      <c r="Q563" t="str">
        <f>Orders!D563</f>
        <v>PROD-021</v>
      </c>
    </row>
    <row r="564" spans="1:17" x14ac:dyDescent="0.3">
      <c r="A564" t="str">
        <f>Orders!A564</f>
        <v>ORD-00563</v>
      </c>
      <c r="B564">
        <f>Orders!B564</f>
        <v>45332</v>
      </c>
      <c r="C564">
        <f>Orders!I564</f>
        <v>4801.05</v>
      </c>
      <c r="D564" t="str">
        <f>Orders!E564</f>
        <v>R030</v>
      </c>
      <c r="E564" t="str">
        <f>IFERROR(VLOOKUP(Orders!D564,Products!$A$2:$C$61,3,FALSE),"Unknown")</f>
        <v>Grocery</v>
      </c>
      <c r="F564" t="str">
        <f>IFERROR(VLOOKUP(Orders!C564,Customers!$A$2:$E$301,5,FALSE),"Unknown")</f>
        <v>Retail</v>
      </c>
      <c r="G564">
        <f>IFERROR(VLOOKUP(Orders!C564,Customers!$A$2:$C$301,3,FALSE),"")</f>
        <v>23</v>
      </c>
      <c r="H564" t="str">
        <f>VLOOKUP(D564,Sales_Reps!$A$2:$C$31,3,FALSE)</f>
        <v>West</v>
      </c>
      <c r="I564" s="44">
        <f t="shared" si="19"/>
        <v>45323</v>
      </c>
      <c r="L564" t="str">
        <f>Orders!K564</f>
        <v>Bengaluru</v>
      </c>
      <c r="M564">
        <f>Orders!G564</f>
        <v>2270</v>
      </c>
      <c r="N564">
        <f>IFERROR(VLOOKUP(Orders!D564,Products!$A$2:$D$61,4,FALSE),"")</f>
        <v>1203</v>
      </c>
      <c r="O564">
        <f t="shared" si="20"/>
        <v>0.47004405286343615</v>
      </c>
      <c r="Q564" t="str">
        <f>Orders!D564</f>
        <v>PROD-024</v>
      </c>
    </row>
    <row r="565" spans="1:17" x14ac:dyDescent="0.3">
      <c r="A565" t="str">
        <f>Orders!A565</f>
        <v>ORD-00564</v>
      </c>
      <c r="B565">
        <f>Orders!B565</f>
        <v>45418</v>
      </c>
      <c r="C565">
        <f>Orders!I565</f>
        <v>23870.080000000002</v>
      </c>
      <c r="D565" t="str">
        <f>Orders!E565</f>
        <v>R015</v>
      </c>
      <c r="E565" t="str">
        <f>IFERROR(VLOOKUP(Orders!D565,Products!$A$2:$C$61,3,FALSE),"Unknown")</f>
        <v>Beauty</v>
      </c>
      <c r="F565" t="str">
        <f>IFERROR(VLOOKUP(Orders!C565,Customers!$A$2:$E$301,5,FALSE),"Unknown")</f>
        <v>Corporate</v>
      </c>
      <c r="G565">
        <f>IFERROR(VLOOKUP(Orders!C565,Customers!$A$2:$C$301,3,FALSE),"")</f>
        <v>41</v>
      </c>
      <c r="H565" t="str">
        <f>VLOOKUP(D565,Sales_Reps!$A$2:$C$31,3,FALSE)</f>
        <v>South</v>
      </c>
      <c r="I565" s="44">
        <f t="shared" si="19"/>
        <v>45413</v>
      </c>
      <c r="L565" t="str">
        <f>Orders!K565</f>
        <v>Bengaluru</v>
      </c>
      <c r="M565">
        <f>Orders!G565</f>
        <v>3020</v>
      </c>
      <c r="N565">
        <f>IFERROR(VLOOKUP(Orders!D565,Products!$A$2:$D$61,4,FALSE),"")</f>
        <v>1626</v>
      </c>
      <c r="O565">
        <f t="shared" si="20"/>
        <v>0.46158940397350995</v>
      </c>
      <c r="Q565" t="str">
        <f>Orders!D565</f>
        <v>PROD-045</v>
      </c>
    </row>
    <row r="566" spans="1:17" x14ac:dyDescent="0.3">
      <c r="A566" t="str">
        <f>Orders!A566</f>
        <v>ORD-00565</v>
      </c>
      <c r="B566">
        <f>Orders!B566</f>
        <v>45490</v>
      </c>
      <c r="C566">
        <f>Orders!I566</f>
        <v>11366.88</v>
      </c>
      <c r="D566" t="str">
        <f>Orders!E566</f>
        <v>R018</v>
      </c>
      <c r="E566" t="str">
        <f>IFERROR(VLOOKUP(Orders!D566,Products!$A$2:$C$61,3,FALSE),"Unknown")</f>
        <v>Grocery</v>
      </c>
      <c r="F566" t="str">
        <f>IFERROR(VLOOKUP(Orders!C566,Customers!$A$2:$E$301,5,FALSE),"Unknown")</f>
        <v>Retail</v>
      </c>
      <c r="G566">
        <f>IFERROR(VLOOKUP(Orders!C566,Customers!$A$2:$C$301,3,FALSE),"")</f>
        <v>62</v>
      </c>
      <c r="H566" t="str">
        <f>VLOOKUP(D566,Sales_Reps!$A$2:$C$31,3,FALSE)</f>
        <v>East</v>
      </c>
      <c r="I566" s="44">
        <f t="shared" si="19"/>
        <v>45474</v>
      </c>
      <c r="L566" t="str">
        <f>Orders!K566</f>
        <v>Pune</v>
      </c>
      <c r="M566">
        <f>Orders!G566</f>
        <v>2380</v>
      </c>
      <c r="N566">
        <f>IFERROR(VLOOKUP(Orders!D566,Products!$A$2:$D$61,4,FALSE),"")</f>
        <v>1182</v>
      </c>
      <c r="O566">
        <f t="shared" si="20"/>
        <v>0.50336134453781511</v>
      </c>
      <c r="Q566" t="str">
        <f>Orders!D566</f>
        <v>PROD-023</v>
      </c>
    </row>
    <row r="567" spans="1:17" x14ac:dyDescent="0.3">
      <c r="A567" t="str">
        <f>Orders!A567</f>
        <v>ORD-00566</v>
      </c>
      <c r="B567">
        <f>Orders!B567</f>
        <v>45470</v>
      </c>
      <c r="C567">
        <f>Orders!I567</f>
        <v>5899</v>
      </c>
      <c r="D567" t="str">
        <f>Orders!E567</f>
        <v>R028</v>
      </c>
      <c r="E567" t="str">
        <f>IFERROR(VLOOKUP(Orders!D567,Products!$A$2:$C$61,3,FALSE),"Unknown")</f>
        <v>Sports</v>
      </c>
      <c r="F567" t="str">
        <f>IFERROR(VLOOKUP(Orders!C567,Customers!$A$2:$E$301,5,FALSE),"Unknown")</f>
        <v>SMB</v>
      </c>
      <c r="G567">
        <f>IFERROR(VLOOKUP(Orders!C567,Customers!$A$2:$C$301,3,FALSE),"")</f>
        <v>49</v>
      </c>
      <c r="H567" t="str">
        <f>VLOOKUP(D567,Sales_Reps!$A$2:$C$31,3,FALSE)</f>
        <v>West</v>
      </c>
      <c r="I567" s="44">
        <f t="shared" si="19"/>
        <v>45444</v>
      </c>
      <c r="L567" t="str">
        <f>Orders!K567</f>
        <v>Bengaluru</v>
      </c>
      <c r="M567">
        <f>Orders!G567</f>
        <v>6940</v>
      </c>
      <c r="N567">
        <f>IFERROR(VLOOKUP(Orders!D567,Products!$A$2:$D$61,4,FALSE),"")</f>
        <v>2827</v>
      </c>
      <c r="O567">
        <f t="shared" si="20"/>
        <v>0.5926512968299712</v>
      </c>
      <c r="Q567" t="str">
        <f>Orders!D567</f>
        <v>PROD-056</v>
      </c>
    </row>
    <row r="568" spans="1:17" x14ac:dyDescent="0.3">
      <c r="A568" t="str">
        <f>Orders!A568</f>
        <v>ORD-00567</v>
      </c>
      <c r="B568">
        <f>Orders!B568</f>
        <v>45654</v>
      </c>
      <c r="C568">
        <f>Orders!I568</f>
        <v>2351.44</v>
      </c>
      <c r="D568" t="str">
        <f>Orders!E568</f>
        <v>R010</v>
      </c>
      <c r="E568" t="str">
        <f>IFERROR(VLOOKUP(Orders!D568,Products!$A$2:$C$61,3,FALSE),"Unknown")</f>
        <v>Electronics</v>
      </c>
      <c r="F568" t="str">
        <f>IFERROR(VLOOKUP(Orders!C568,Customers!$A$2:$E$301,5,FALSE),"Unknown")</f>
        <v>Retail</v>
      </c>
      <c r="G568">
        <f>IFERROR(VLOOKUP(Orders!C568,Customers!$A$2:$C$301,3,FALSE),"")</f>
        <v>35</v>
      </c>
      <c r="H568" t="str">
        <f>VLOOKUP(D568,Sales_Reps!$A$2:$C$31,3,FALSE)</f>
        <v>South</v>
      </c>
      <c r="I568" s="44">
        <f t="shared" si="19"/>
        <v>45627</v>
      </c>
      <c r="L568" t="str">
        <f>Orders!K568</f>
        <v>Delhi</v>
      </c>
      <c r="M568">
        <f>Orders!G568</f>
        <v>2660</v>
      </c>
      <c r="N568">
        <f>IFERROR(VLOOKUP(Orders!D568,Products!$A$2:$D$61,4,FALSE),"")</f>
        <v>1259</v>
      </c>
      <c r="O568">
        <f t="shared" si="20"/>
        <v>0.52669172932330832</v>
      </c>
      <c r="Q568" t="str">
        <f>Orders!D568</f>
        <v>PROD-008</v>
      </c>
    </row>
    <row r="569" spans="1:17" x14ac:dyDescent="0.3">
      <c r="A569" t="str">
        <f>Orders!A569</f>
        <v>ORD-00568</v>
      </c>
      <c r="B569">
        <f>Orders!B569</f>
        <v>45548</v>
      </c>
      <c r="C569">
        <f>Orders!I569</f>
        <v>3429.92</v>
      </c>
      <c r="D569" t="str">
        <f>Orders!E569</f>
        <v>R013</v>
      </c>
      <c r="E569" t="str">
        <f>IFERROR(VLOOKUP(Orders!D569,Products!$A$2:$C$61,3,FALSE),"Unknown")</f>
        <v>Grocery</v>
      </c>
      <c r="F569" t="str">
        <f>IFERROR(VLOOKUP(Orders!C569,Customers!$A$2:$E$301,5,FALSE),"Unknown")</f>
        <v>Retail</v>
      </c>
      <c r="G569">
        <f>IFERROR(VLOOKUP(Orders!C569,Customers!$A$2:$C$301,3,FALSE),"")</f>
        <v>35</v>
      </c>
      <c r="H569" t="str">
        <f>VLOOKUP(D569,Sales_Reps!$A$2:$C$31,3,FALSE)</f>
        <v>South</v>
      </c>
      <c r="I569" s="44">
        <f t="shared" si="19"/>
        <v>45536</v>
      </c>
      <c r="L569" t="str">
        <f>Orders!K569</f>
        <v>Pune</v>
      </c>
      <c r="M569">
        <f>Orders!G569</f>
        <v>970</v>
      </c>
      <c r="N569">
        <f>IFERROR(VLOOKUP(Orders!D569,Products!$A$2:$D$61,4,FALSE),"")</f>
        <v>434</v>
      </c>
      <c r="O569">
        <f t="shared" si="20"/>
        <v>0.5525773195876289</v>
      </c>
      <c r="Q569" t="str">
        <f>Orders!D569</f>
        <v>PROD-030</v>
      </c>
    </row>
    <row r="570" spans="1:17" x14ac:dyDescent="0.3">
      <c r="A570" t="str">
        <f>Orders!A570</f>
        <v>ORD-00569</v>
      </c>
      <c r="B570">
        <f>Orders!B570</f>
        <v>45632</v>
      </c>
      <c r="C570">
        <f>Orders!I570</f>
        <v>11456.69</v>
      </c>
      <c r="D570" t="str">
        <f>Orders!E570</f>
        <v>R002</v>
      </c>
      <c r="E570" t="str">
        <f>IFERROR(VLOOKUP(Orders!D570,Products!$A$2:$C$61,3,FALSE),"Unknown")</f>
        <v>Grocery</v>
      </c>
      <c r="F570" t="str">
        <f>IFERROR(VLOOKUP(Orders!C570,Customers!$A$2:$E$301,5,FALSE),"Unknown")</f>
        <v>Retail</v>
      </c>
      <c r="G570">
        <f>IFERROR(VLOOKUP(Orders!C570,Customers!$A$2:$C$301,3,FALSE),"")</f>
        <v>61</v>
      </c>
      <c r="H570" t="str">
        <f>VLOOKUP(D570,Sales_Reps!$A$2:$C$31,3,FALSE)</f>
        <v>North</v>
      </c>
      <c r="I570" s="44">
        <f t="shared" si="19"/>
        <v>45627</v>
      </c>
      <c r="L570" t="str">
        <f>Orders!K570</f>
        <v>Chennai</v>
      </c>
      <c r="M570">
        <f>Orders!G570</f>
        <v>2270</v>
      </c>
      <c r="N570">
        <f>IFERROR(VLOOKUP(Orders!D570,Products!$A$2:$D$61,4,FALSE),"")</f>
        <v>1412</v>
      </c>
      <c r="O570">
        <f t="shared" si="20"/>
        <v>0.37797356828193834</v>
      </c>
      <c r="Q570" t="str">
        <f>Orders!D570</f>
        <v>PROD-022</v>
      </c>
    </row>
    <row r="571" spans="1:17" x14ac:dyDescent="0.3">
      <c r="A571" t="str">
        <f>Orders!A571</f>
        <v>ORD-00570</v>
      </c>
      <c r="B571">
        <f>Orders!B571</f>
        <v>45304</v>
      </c>
      <c r="C571">
        <f>Orders!I571</f>
        <v>6973.04</v>
      </c>
      <c r="D571" t="str">
        <f>Orders!E571</f>
        <v>R016</v>
      </c>
      <c r="E571" t="str">
        <f>IFERROR(VLOOKUP(Orders!D571,Products!$A$2:$C$61,3,FALSE),"Unknown")</f>
        <v>Sports</v>
      </c>
      <c r="F571" t="str">
        <f>IFERROR(VLOOKUP(Orders!C571,Customers!$A$2:$E$301,5,FALSE),"Unknown")</f>
        <v>Retail</v>
      </c>
      <c r="G571">
        <f>IFERROR(VLOOKUP(Orders!C571,Customers!$A$2:$C$301,3,FALSE),"")</f>
        <v>53</v>
      </c>
      <c r="H571" t="str">
        <f>VLOOKUP(D571,Sales_Reps!$A$2:$C$31,3,FALSE)</f>
        <v>South</v>
      </c>
      <c r="I571" s="44">
        <f t="shared" si="19"/>
        <v>45292</v>
      </c>
      <c r="L571" t="str">
        <f>Orders!K571</f>
        <v>Hyderabad</v>
      </c>
      <c r="M571">
        <f>Orders!G571</f>
        <v>1010</v>
      </c>
      <c r="N571">
        <f>IFERROR(VLOOKUP(Orders!D571,Products!$A$2:$D$61,4,FALSE),"")</f>
        <v>516</v>
      </c>
      <c r="O571">
        <f t="shared" si="20"/>
        <v>0.4891089108910891</v>
      </c>
      <c r="Q571" t="str">
        <f>Orders!D571</f>
        <v>PROD-054</v>
      </c>
    </row>
    <row r="572" spans="1:17" x14ac:dyDescent="0.3">
      <c r="A572" t="str">
        <f>Orders!A572</f>
        <v>ORD-00571</v>
      </c>
      <c r="B572">
        <f>Orders!B572</f>
        <v>45330</v>
      </c>
      <c r="C572">
        <f>Orders!I572</f>
        <v>16126.88</v>
      </c>
      <c r="D572" t="str">
        <f>Orders!E572</f>
        <v>R001</v>
      </c>
      <c r="E572" t="str">
        <f>IFERROR(VLOOKUP(Orders!D572,Products!$A$2:$C$61,3,FALSE),"Unknown")</f>
        <v>Grocery</v>
      </c>
      <c r="F572" t="str">
        <f>IFERROR(VLOOKUP(Orders!C572,Customers!$A$2:$E$301,5,FALSE),"Unknown")</f>
        <v>Corporate</v>
      </c>
      <c r="G572">
        <f>IFERROR(VLOOKUP(Orders!C572,Customers!$A$2:$C$301,3,FALSE),"")</f>
        <v>37</v>
      </c>
      <c r="H572" t="str">
        <f>VLOOKUP(D572,Sales_Reps!$A$2:$C$31,3,FALSE)</f>
        <v>North</v>
      </c>
      <c r="I572" s="44">
        <f t="shared" si="19"/>
        <v>45323</v>
      </c>
      <c r="L572" t="str">
        <f>Orders!K572</f>
        <v>Pune</v>
      </c>
      <c r="M572">
        <f>Orders!G572</f>
        <v>2380</v>
      </c>
      <c r="N572">
        <f>IFERROR(VLOOKUP(Orders!D572,Products!$A$2:$D$61,4,FALSE),"")</f>
        <v>1182</v>
      </c>
      <c r="O572">
        <f t="shared" si="20"/>
        <v>0.50336134453781511</v>
      </c>
      <c r="Q572" t="str">
        <f>Orders!D572</f>
        <v>PROD-023</v>
      </c>
    </row>
    <row r="573" spans="1:17" x14ac:dyDescent="0.3">
      <c r="A573" t="str">
        <f>Orders!A573</f>
        <v>ORD-00572</v>
      </c>
      <c r="B573">
        <f>Orders!B573</f>
        <v>45633</v>
      </c>
      <c r="C573">
        <f>Orders!I573</f>
        <v>4601.3</v>
      </c>
      <c r="D573" t="str">
        <f>Orders!E573</f>
        <v>R018</v>
      </c>
      <c r="E573" t="str">
        <f>IFERROR(VLOOKUP(Orders!D573,Products!$A$2:$C$61,3,FALSE),"Unknown")</f>
        <v>Sports</v>
      </c>
      <c r="F573" t="str">
        <f>IFERROR(VLOOKUP(Orders!C573,Customers!$A$2:$E$301,5,FALSE),"Unknown")</f>
        <v>SMB</v>
      </c>
      <c r="G573">
        <f>IFERROR(VLOOKUP(Orders!C573,Customers!$A$2:$C$301,3,FALSE),"")</f>
        <v>36</v>
      </c>
      <c r="H573" t="str">
        <f>VLOOKUP(D573,Sales_Reps!$A$2:$C$31,3,FALSE)</f>
        <v>East</v>
      </c>
      <c r="I573" s="44">
        <f t="shared" si="19"/>
        <v>45627</v>
      </c>
      <c r="L573" t="str">
        <f>Orders!K573</f>
        <v>Bengaluru</v>
      </c>
      <c r="M573">
        <f>Orders!G573</f>
        <v>470</v>
      </c>
      <c r="N573">
        <f>IFERROR(VLOOKUP(Orders!D573,Products!$A$2:$D$61,4,FALSE),"")</f>
        <v>302</v>
      </c>
      <c r="O573">
        <f t="shared" si="20"/>
        <v>0.35744680851063831</v>
      </c>
      <c r="Q573" t="str">
        <f>Orders!D573</f>
        <v>PROD-053</v>
      </c>
    </row>
    <row r="574" spans="1:17" x14ac:dyDescent="0.3">
      <c r="A574" t="str">
        <f>Orders!A574</f>
        <v>ORD-00573</v>
      </c>
      <c r="B574">
        <f>Orders!B574</f>
        <v>45480</v>
      </c>
      <c r="C574">
        <f>Orders!I574</f>
        <v>23026.5</v>
      </c>
      <c r="D574" t="str">
        <f>Orders!E574</f>
        <v>R025</v>
      </c>
      <c r="E574" t="str">
        <f>IFERROR(VLOOKUP(Orders!D574,Products!$A$2:$C$61,3,FALSE),"Unknown")</f>
        <v>Beauty</v>
      </c>
      <c r="F574" t="str">
        <f>IFERROR(VLOOKUP(Orders!C574,Customers!$A$2:$E$301,5,FALSE),"Unknown")</f>
        <v>SMB</v>
      </c>
      <c r="G574">
        <f>IFERROR(VLOOKUP(Orders!C574,Customers!$A$2:$C$301,3,FALSE),"")</f>
        <v>34</v>
      </c>
      <c r="H574" t="str">
        <f>VLOOKUP(D574,Sales_Reps!$A$2:$C$31,3,FALSE)</f>
        <v>West</v>
      </c>
      <c r="I574" s="44">
        <f t="shared" si="19"/>
        <v>45474</v>
      </c>
      <c r="L574" t="str">
        <f>Orders!K574</f>
        <v>Delhi</v>
      </c>
      <c r="M574">
        <f>Orders!G574</f>
        <v>5100</v>
      </c>
      <c r="N574">
        <f>IFERROR(VLOOKUP(Orders!D574,Products!$A$2:$D$61,4,FALSE),"")</f>
        <v>2237</v>
      </c>
      <c r="O574">
        <f t="shared" si="20"/>
        <v>0.56137254901960787</v>
      </c>
      <c r="Q574" t="str">
        <f>Orders!D574</f>
        <v>PROD-048</v>
      </c>
    </row>
    <row r="575" spans="1:17" x14ac:dyDescent="0.3">
      <c r="A575" t="str">
        <f>Orders!A575</f>
        <v>ORD-00574</v>
      </c>
      <c r="B575">
        <f>Orders!B575</f>
        <v>45402</v>
      </c>
      <c r="C575">
        <f>Orders!I575</f>
        <v>7110.72</v>
      </c>
      <c r="D575" t="str">
        <f>Orders!E575</f>
        <v>R026</v>
      </c>
      <c r="E575" t="str">
        <f>IFERROR(VLOOKUP(Orders!D575,Products!$A$2:$C$61,3,FALSE),"Unknown")</f>
        <v>Beauty</v>
      </c>
      <c r="F575" t="str">
        <f>IFERROR(VLOOKUP(Orders!C575,Customers!$A$2:$E$301,5,FALSE),"Unknown")</f>
        <v>Retail</v>
      </c>
      <c r="G575">
        <f>IFERROR(VLOOKUP(Orders!C575,Customers!$A$2:$C$301,3,FALSE),"")</f>
        <v>32</v>
      </c>
      <c r="H575" t="str">
        <f>VLOOKUP(D575,Sales_Reps!$A$2:$C$31,3,FALSE)</f>
        <v>West</v>
      </c>
      <c r="I575" s="44">
        <f t="shared" si="19"/>
        <v>45383</v>
      </c>
      <c r="L575" t="str">
        <f>Orders!K575</f>
        <v>Hyderabad</v>
      </c>
      <c r="M575">
        <f>Orders!G575</f>
        <v>960</v>
      </c>
      <c r="N575">
        <f>IFERROR(VLOOKUP(Orders!D575,Products!$A$2:$D$61,4,FALSE),"")</f>
        <v>675</v>
      </c>
      <c r="O575">
        <f t="shared" si="20"/>
        <v>0.296875</v>
      </c>
      <c r="Q575" t="str">
        <f>Orders!D575</f>
        <v>PROD-049</v>
      </c>
    </row>
    <row r="576" spans="1:17" x14ac:dyDescent="0.3">
      <c r="A576" t="str">
        <f>Orders!A576</f>
        <v>ORD-00575</v>
      </c>
      <c r="B576">
        <f>Orders!B576</f>
        <v>45478</v>
      </c>
      <c r="C576">
        <f>Orders!I576</f>
        <v>7969.06</v>
      </c>
      <c r="D576" t="str">
        <f>Orders!E576</f>
        <v>R007</v>
      </c>
      <c r="E576" t="str">
        <f>IFERROR(VLOOKUP(Orders!D576,Products!$A$2:$C$61,3,FALSE),"Unknown")</f>
        <v>Grocery</v>
      </c>
      <c r="F576" t="str">
        <f>IFERROR(VLOOKUP(Orders!C576,Customers!$A$2:$E$301,5,FALSE),"Unknown")</f>
        <v>SMB</v>
      </c>
      <c r="G576">
        <f>IFERROR(VLOOKUP(Orders!C576,Customers!$A$2:$C$301,3,FALSE),"")</f>
        <v>40</v>
      </c>
      <c r="H576" t="str">
        <f>VLOOKUP(D576,Sales_Reps!$A$2:$C$31,3,FALSE)</f>
        <v>North</v>
      </c>
      <c r="I576" s="44">
        <f t="shared" si="19"/>
        <v>45474</v>
      </c>
      <c r="L576" t="str">
        <f>Orders!K576</f>
        <v>Hyderabad</v>
      </c>
      <c r="M576">
        <f>Orders!G576</f>
        <v>4070</v>
      </c>
      <c r="N576">
        <f>IFERROR(VLOOKUP(Orders!D576,Products!$A$2:$D$61,4,FALSE),"")</f>
        <v>2027</v>
      </c>
      <c r="O576">
        <f t="shared" si="20"/>
        <v>0.50196560196560192</v>
      </c>
      <c r="Q576" t="str">
        <f>Orders!D576</f>
        <v>PROD-026</v>
      </c>
    </row>
    <row r="577" spans="1:17" x14ac:dyDescent="0.3">
      <c r="A577" t="str">
        <f>Orders!A577</f>
        <v>ORD-00576</v>
      </c>
      <c r="B577">
        <f>Orders!B577</f>
        <v>45358</v>
      </c>
      <c r="C577">
        <f>Orders!I577</f>
        <v>15572.75</v>
      </c>
      <c r="D577" t="str">
        <f>Orders!E577</f>
        <v>R021</v>
      </c>
      <c r="E577" t="str">
        <f>IFERROR(VLOOKUP(Orders!D577,Products!$A$2:$C$61,3,FALSE),"Unknown")</f>
        <v>Home</v>
      </c>
      <c r="F577" t="str">
        <f>IFERROR(VLOOKUP(Orders!C577,Customers!$A$2:$E$301,5,FALSE),"Unknown")</f>
        <v>SMB</v>
      </c>
      <c r="G577">
        <f>IFERROR(VLOOKUP(Orders!C577,Customers!$A$2:$C$301,3,FALSE),"")</f>
        <v>47</v>
      </c>
      <c r="H577" t="str">
        <f>VLOOKUP(D577,Sales_Reps!$A$2:$C$31,3,FALSE)</f>
        <v>East</v>
      </c>
      <c r="I577" s="44">
        <f t="shared" si="19"/>
        <v>45352</v>
      </c>
      <c r="L577" t="str">
        <f>Orders!K577</f>
        <v>Mumbai</v>
      </c>
      <c r="M577">
        <f>Orders!G577</f>
        <v>3730</v>
      </c>
      <c r="N577">
        <f>IFERROR(VLOOKUP(Orders!D577,Products!$A$2:$D$61,4,FALSE),"")</f>
        <v>2135</v>
      </c>
      <c r="O577">
        <f t="shared" si="20"/>
        <v>0.42761394101876676</v>
      </c>
      <c r="Q577" t="str">
        <f>Orders!D577</f>
        <v>PROD-031</v>
      </c>
    </row>
    <row r="578" spans="1:17" x14ac:dyDescent="0.3">
      <c r="A578" t="str">
        <f>Orders!A578</f>
        <v>ORD-00577</v>
      </c>
      <c r="B578">
        <f>Orders!B578</f>
        <v>45589</v>
      </c>
      <c r="C578">
        <f>Orders!I578</f>
        <v>2562.56</v>
      </c>
      <c r="D578" t="str">
        <f>Orders!E578</f>
        <v>R022</v>
      </c>
      <c r="E578" t="str">
        <f>IFERROR(VLOOKUP(Orders!D578,Products!$A$2:$C$61,3,FALSE),"Unknown")</f>
        <v>Sports</v>
      </c>
      <c r="F578" t="str">
        <f>IFERROR(VLOOKUP(Orders!C578,Customers!$A$2:$E$301,5,FALSE),"Unknown")</f>
        <v>Corporate</v>
      </c>
      <c r="G578">
        <f>IFERROR(VLOOKUP(Orders!C578,Customers!$A$2:$C$301,3,FALSE),"")</f>
        <v>46</v>
      </c>
      <c r="H578" t="str">
        <f>VLOOKUP(D578,Sales_Reps!$A$2:$C$31,3,FALSE)</f>
        <v>East</v>
      </c>
      <c r="I578" s="44">
        <f t="shared" si="19"/>
        <v>45566</v>
      </c>
      <c r="L578" t="str">
        <f>Orders!K578</f>
        <v>Delhi</v>
      </c>
      <c r="M578">
        <f>Orders!G578</f>
        <v>2860</v>
      </c>
      <c r="N578">
        <f>IFERROR(VLOOKUP(Orders!D578,Products!$A$2:$D$61,4,FALSE),"")</f>
        <v>2028</v>
      </c>
      <c r="O578">
        <f t="shared" si="20"/>
        <v>0.29090909090909089</v>
      </c>
      <c r="Q578" t="str">
        <f>Orders!D578</f>
        <v>PROD-055</v>
      </c>
    </row>
    <row r="579" spans="1:17" x14ac:dyDescent="0.3">
      <c r="A579" t="str">
        <f>Orders!A579</f>
        <v>ORD-00578</v>
      </c>
      <c r="B579">
        <f>Orders!B579</f>
        <v>45507</v>
      </c>
      <c r="C579">
        <f>Orders!I579</f>
        <v>14152</v>
      </c>
      <c r="D579" t="str">
        <f>Orders!E579</f>
        <v>R018</v>
      </c>
      <c r="E579" t="str">
        <f>IFERROR(VLOOKUP(Orders!D579,Products!$A$2:$C$61,3,FALSE),"Unknown")</f>
        <v>Beauty</v>
      </c>
      <c r="F579" t="str">
        <f>IFERROR(VLOOKUP(Orders!C579,Customers!$A$2:$E$301,5,FALSE),"Unknown")</f>
        <v>SMB</v>
      </c>
      <c r="G579">
        <f>IFERROR(VLOOKUP(Orders!C579,Customers!$A$2:$C$301,3,FALSE),"")</f>
        <v>39</v>
      </c>
      <c r="H579" t="str">
        <f>VLOOKUP(D579,Sales_Reps!$A$2:$C$31,3,FALSE)</f>
        <v>East</v>
      </c>
      <c r="I579" s="44">
        <f t="shared" ref="I579:I642" si="21">DATE(YEAR(B579),MONTH(B579),1)</f>
        <v>45505</v>
      </c>
      <c r="L579" t="str">
        <f>Orders!K579</f>
        <v>Chennai</v>
      </c>
      <c r="M579">
        <f>Orders!G579</f>
        <v>4880</v>
      </c>
      <c r="N579">
        <f>IFERROR(VLOOKUP(Orders!D579,Products!$A$2:$D$61,4,FALSE),"")</f>
        <v>2768</v>
      </c>
      <c r="O579">
        <f t="shared" ref="O579:O642" si="22">IF(OR(N579="",M579&lt;=0),"",(M579-N579)/M579)</f>
        <v>0.43278688524590164</v>
      </c>
      <c r="Q579" t="str">
        <f>Orders!D579</f>
        <v>PROD-046</v>
      </c>
    </row>
    <row r="580" spans="1:17" x14ac:dyDescent="0.3">
      <c r="A580" t="str">
        <f>Orders!A580</f>
        <v>ORD-00579</v>
      </c>
      <c r="B580">
        <f>Orders!B580</f>
        <v>45470</v>
      </c>
      <c r="C580">
        <f>Orders!I580</f>
        <v>6353.73</v>
      </c>
      <c r="D580" t="str">
        <f>Orders!E580</f>
        <v>R022</v>
      </c>
      <c r="E580" t="str">
        <f>IFERROR(VLOOKUP(Orders!D580,Products!$A$2:$C$61,3,FALSE),"Unknown")</f>
        <v>Grocery</v>
      </c>
      <c r="F580" t="str">
        <f>IFERROR(VLOOKUP(Orders!C580,Customers!$A$2:$E$301,5,FALSE),"Unknown")</f>
        <v>Retail</v>
      </c>
      <c r="G580">
        <f>IFERROR(VLOOKUP(Orders!C580,Customers!$A$2:$C$301,3,FALSE),"")</f>
        <v>32</v>
      </c>
      <c r="H580" t="str">
        <f>VLOOKUP(D580,Sales_Reps!$A$2:$C$31,3,FALSE)</f>
        <v>East</v>
      </c>
      <c r="I580" s="44">
        <f t="shared" si="21"/>
        <v>45444</v>
      </c>
      <c r="L580" t="str">
        <f>Orders!K580</f>
        <v>Chennai</v>
      </c>
      <c r="M580">
        <f>Orders!G580</f>
        <v>2270</v>
      </c>
      <c r="N580">
        <f>IFERROR(VLOOKUP(Orders!D580,Products!$A$2:$D$61,4,FALSE),"")</f>
        <v>1412</v>
      </c>
      <c r="O580">
        <f t="shared" si="22"/>
        <v>0.37797356828193834</v>
      </c>
      <c r="Q580" t="str">
        <f>Orders!D580</f>
        <v>PROD-022</v>
      </c>
    </row>
    <row r="581" spans="1:17" x14ac:dyDescent="0.3">
      <c r="A581" t="str">
        <f>Orders!A581</f>
        <v>ORD-00580</v>
      </c>
      <c r="B581">
        <f>Orders!B581</f>
        <v>45589</v>
      </c>
      <c r="C581">
        <f>Orders!I581</f>
        <v>39138.400000000001</v>
      </c>
      <c r="D581" t="str">
        <f>Orders!E581</f>
        <v>R007</v>
      </c>
      <c r="E581" t="str">
        <f>IFERROR(VLOOKUP(Orders!D581,Products!$A$2:$C$61,3,FALSE),"Unknown")</f>
        <v>Grocery</v>
      </c>
      <c r="F581" t="str">
        <f>IFERROR(VLOOKUP(Orders!C581,Customers!$A$2:$E$301,5,FALSE),"Unknown")</f>
        <v>Retail</v>
      </c>
      <c r="G581">
        <f>IFERROR(VLOOKUP(Orders!C581,Customers!$A$2:$C$301,3,FALSE),"")</f>
        <v>65</v>
      </c>
      <c r="H581" t="str">
        <f>VLOOKUP(D581,Sales_Reps!$A$2:$C$31,3,FALSE)</f>
        <v>North</v>
      </c>
      <c r="I581" s="44">
        <f t="shared" si="21"/>
        <v>45566</v>
      </c>
      <c r="L581" t="str">
        <f>Orders!K581</f>
        <v>Mumbai</v>
      </c>
      <c r="M581">
        <f>Orders!G581</f>
        <v>4060</v>
      </c>
      <c r="N581">
        <f>IFERROR(VLOOKUP(Orders!D581,Products!$A$2:$D$61,4,FALSE),"")</f>
        <v>2911</v>
      </c>
      <c r="O581">
        <f t="shared" si="22"/>
        <v>0.28300492610837441</v>
      </c>
      <c r="Q581" t="str">
        <f>Orders!D581</f>
        <v>PROD-025</v>
      </c>
    </row>
    <row r="582" spans="1:17" x14ac:dyDescent="0.3">
      <c r="A582" t="str">
        <f>Orders!A582</f>
        <v>ORD-00581</v>
      </c>
      <c r="B582">
        <f>Orders!B582</f>
        <v>45433</v>
      </c>
      <c r="C582">
        <f>Orders!I582</f>
        <v>15037.44</v>
      </c>
      <c r="D582" t="str">
        <f>Orders!E582</f>
        <v>R004</v>
      </c>
      <c r="E582" t="str">
        <f>IFERROR(VLOOKUP(Orders!D582,Products!$A$2:$C$61,3,FALSE),"Unknown")</f>
        <v>Electronics</v>
      </c>
      <c r="F582" t="str">
        <f>IFERROR(VLOOKUP(Orders!C582,Customers!$A$2:$E$301,5,FALSE),"Unknown")</f>
        <v>Retail</v>
      </c>
      <c r="G582">
        <f>IFERROR(VLOOKUP(Orders!C582,Customers!$A$2:$C$301,3,FALSE),"")</f>
        <v>53</v>
      </c>
      <c r="H582" t="str">
        <f>VLOOKUP(D582,Sales_Reps!$A$2:$C$31,3,FALSE)</f>
        <v>North</v>
      </c>
      <c r="I582" s="44">
        <f t="shared" si="21"/>
        <v>45413</v>
      </c>
      <c r="L582" t="str">
        <f>Orders!K582</f>
        <v>Mumbai</v>
      </c>
      <c r="M582">
        <f>Orders!G582</f>
        <v>2640</v>
      </c>
      <c r="N582">
        <f>IFERROR(VLOOKUP(Orders!D582,Products!$A$2:$D$61,4,FALSE),"")</f>
        <v>1149</v>
      </c>
      <c r="O582">
        <f t="shared" si="22"/>
        <v>0.56477272727272732</v>
      </c>
      <c r="Q582" t="str">
        <f>Orders!D582</f>
        <v>PROD-010</v>
      </c>
    </row>
    <row r="583" spans="1:17" x14ac:dyDescent="0.3">
      <c r="A583" t="str">
        <f>Orders!A583</f>
        <v>ORD-00582</v>
      </c>
      <c r="B583">
        <f>Orders!B583</f>
        <v>45477</v>
      </c>
      <c r="C583">
        <f>Orders!I583</f>
        <v>17478.78</v>
      </c>
      <c r="D583" t="str">
        <f>Orders!E583</f>
        <v>R012</v>
      </c>
      <c r="E583" t="str">
        <f>IFERROR(VLOOKUP(Orders!D583,Products!$A$2:$C$61,3,FALSE),"Unknown")</f>
        <v>Home</v>
      </c>
      <c r="F583" t="str">
        <f>IFERROR(VLOOKUP(Orders!C583,Customers!$A$2:$E$301,5,FALSE),"Unknown")</f>
        <v>Retail</v>
      </c>
      <c r="G583">
        <f>IFERROR(VLOOKUP(Orders!C583,Customers!$A$2:$C$301,3,FALSE),"")</f>
        <v>59</v>
      </c>
      <c r="H583" t="str">
        <f>VLOOKUP(D583,Sales_Reps!$A$2:$C$31,3,FALSE)</f>
        <v>South</v>
      </c>
      <c r="I583" s="44">
        <f t="shared" si="21"/>
        <v>45474</v>
      </c>
      <c r="L583" t="str">
        <f>Orders!K583</f>
        <v>Delhi</v>
      </c>
      <c r="M583">
        <f>Orders!G583</f>
        <v>3730</v>
      </c>
      <c r="N583">
        <f>IFERROR(VLOOKUP(Orders!D583,Products!$A$2:$D$61,4,FALSE),"")</f>
        <v>2135</v>
      </c>
      <c r="O583">
        <f t="shared" si="22"/>
        <v>0.42761394101876676</v>
      </c>
      <c r="Q583" t="str">
        <f>Orders!D583</f>
        <v>PROD-031</v>
      </c>
    </row>
    <row r="584" spans="1:17" x14ac:dyDescent="0.3">
      <c r="A584" t="str">
        <f>Orders!A584</f>
        <v>ORD-00583</v>
      </c>
      <c r="B584">
        <f>Orders!B584</f>
        <v>45443</v>
      </c>
      <c r="C584">
        <f>Orders!I584</f>
        <v>33866.82</v>
      </c>
      <c r="D584" t="str">
        <f>Orders!E584</f>
        <v>R006</v>
      </c>
      <c r="E584" t="str">
        <f>IFERROR(VLOOKUP(Orders!D584,Products!$A$2:$C$61,3,FALSE),"Unknown")</f>
        <v>Electronics</v>
      </c>
      <c r="F584" t="str">
        <f>IFERROR(VLOOKUP(Orders!C584,Customers!$A$2:$E$301,5,FALSE),"Unknown")</f>
        <v>Retail</v>
      </c>
      <c r="G584">
        <f>IFERROR(VLOOKUP(Orders!C584,Customers!$A$2:$C$301,3,FALSE),"")</f>
        <v>59</v>
      </c>
      <c r="H584" t="str">
        <f>VLOOKUP(D584,Sales_Reps!$A$2:$C$31,3,FALSE)</f>
        <v>North</v>
      </c>
      <c r="I584" s="44">
        <f t="shared" si="21"/>
        <v>45413</v>
      </c>
      <c r="L584" t="str">
        <f>Orders!K584</f>
        <v>Delhi</v>
      </c>
      <c r="M584">
        <f>Orders!G584</f>
        <v>5330</v>
      </c>
      <c r="N584">
        <f>IFERROR(VLOOKUP(Orders!D584,Products!$A$2:$D$61,4,FALSE),"")</f>
        <v>2405</v>
      </c>
      <c r="O584">
        <f t="shared" si="22"/>
        <v>0.54878048780487809</v>
      </c>
      <c r="Q584" t="str">
        <f>Orders!D584</f>
        <v>PROD-001</v>
      </c>
    </row>
    <row r="585" spans="1:17" x14ac:dyDescent="0.3">
      <c r="A585" t="str">
        <f>Orders!A585</f>
        <v>ORD-00584</v>
      </c>
      <c r="B585">
        <f>Orders!B585</f>
        <v>45322</v>
      </c>
      <c r="C585">
        <f>Orders!I585</f>
        <v>2646.15</v>
      </c>
      <c r="D585" t="str">
        <f>Orders!E585</f>
        <v>R027</v>
      </c>
      <c r="E585" t="str">
        <f>IFERROR(VLOOKUP(Orders!D585,Products!$A$2:$C$61,3,FALSE),"Unknown")</f>
        <v>Apparel</v>
      </c>
      <c r="F585" t="str">
        <f>IFERROR(VLOOKUP(Orders!C585,Customers!$A$2:$E$301,5,FALSE),"Unknown")</f>
        <v>Retail</v>
      </c>
      <c r="G585">
        <f>IFERROR(VLOOKUP(Orders!C585,Customers!$A$2:$C$301,3,FALSE),"")</f>
        <v>33</v>
      </c>
      <c r="H585" t="str">
        <f>VLOOKUP(D585,Sales_Reps!$A$2:$C$31,3,FALSE)</f>
        <v>West</v>
      </c>
      <c r="I585" s="44">
        <f t="shared" si="21"/>
        <v>45292</v>
      </c>
      <c r="L585" t="str">
        <f>Orders!K585</f>
        <v>Mumbai</v>
      </c>
      <c r="M585">
        <f>Orders!G585</f>
        <v>3450</v>
      </c>
      <c r="N585">
        <f>IFERROR(VLOOKUP(Orders!D585,Products!$A$2:$D$61,4,FALSE),"")</f>
        <v>1748</v>
      </c>
      <c r="O585">
        <f t="shared" si="22"/>
        <v>0.49333333333333335</v>
      </c>
      <c r="Q585" t="str">
        <f>Orders!D585</f>
        <v>PROD-011</v>
      </c>
    </row>
    <row r="586" spans="1:17" x14ac:dyDescent="0.3">
      <c r="A586" t="str">
        <f>Orders!A586</f>
        <v>ORD-00585</v>
      </c>
      <c r="B586">
        <f>Orders!B586</f>
        <v>45544</v>
      </c>
      <c r="C586">
        <f>Orders!I586</f>
        <v>15595.2</v>
      </c>
      <c r="D586" t="str">
        <f>Orders!E586</f>
        <v>R017</v>
      </c>
      <c r="E586" t="str">
        <f>IFERROR(VLOOKUP(Orders!D586,Products!$A$2:$C$61,3,FALSE),"Unknown")</f>
        <v>Beauty</v>
      </c>
      <c r="F586" t="str">
        <f>IFERROR(VLOOKUP(Orders!C586,Customers!$A$2:$E$301,5,FALSE),"Unknown")</f>
        <v>Corporate</v>
      </c>
      <c r="G586">
        <f>IFERROR(VLOOKUP(Orders!C586,Customers!$A$2:$C$301,3,FALSE),"")</f>
        <v>55</v>
      </c>
      <c r="H586" t="str">
        <f>VLOOKUP(D586,Sales_Reps!$A$2:$C$31,3,FALSE)</f>
        <v>East</v>
      </c>
      <c r="I586" s="44">
        <f t="shared" si="21"/>
        <v>45536</v>
      </c>
      <c r="L586" t="str">
        <f>Orders!K586</f>
        <v>Bengaluru</v>
      </c>
      <c r="M586">
        <f>Orders!G586</f>
        <v>6080</v>
      </c>
      <c r="N586">
        <f>IFERROR(VLOOKUP(Orders!D586,Products!$A$2:$D$61,4,FALSE),"")</f>
        <v>2617</v>
      </c>
      <c r="O586">
        <f t="shared" si="22"/>
        <v>0.56957236842105263</v>
      </c>
      <c r="Q586" t="str">
        <f>Orders!D586</f>
        <v>PROD-050</v>
      </c>
    </row>
    <row r="587" spans="1:17" x14ac:dyDescent="0.3">
      <c r="A587" t="str">
        <f>Orders!A587</f>
        <v>ORD-00586</v>
      </c>
      <c r="B587">
        <f>Orders!B587</f>
        <v>45609</v>
      </c>
      <c r="C587">
        <f>Orders!I587</f>
        <v>14412.72</v>
      </c>
      <c r="D587" t="str">
        <f>Orders!E587</f>
        <v>R002</v>
      </c>
      <c r="E587" t="str">
        <f>IFERROR(VLOOKUP(Orders!D587,Products!$A$2:$C$61,3,FALSE),"Unknown")</f>
        <v>Home</v>
      </c>
      <c r="F587" t="str">
        <f>IFERROR(VLOOKUP(Orders!C587,Customers!$A$2:$E$301,5,FALSE),"Unknown")</f>
        <v>Retail</v>
      </c>
      <c r="G587">
        <f>IFERROR(VLOOKUP(Orders!C587,Customers!$A$2:$C$301,3,FALSE),"")</f>
        <v>42</v>
      </c>
      <c r="H587" t="str">
        <f>VLOOKUP(D587,Sales_Reps!$A$2:$C$31,3,FALSE)</f>
        <v>North</v>
      </c>
      <c r="I587" s="44">
        <f t="shared" si="21"/>
        <v>45597</v>
      </c>
      <c r="L587" t="str">
        <f>Orders!K587</f>
        <v>Bengaluru</v>
      </c>
      <c r="M587">
        <f>Orders!G587</f>
        <v>3730</v>
      </c>
      <c r="N587">
        <f>IFERROR(VLOOKUP(Orders!D587,Products!$A$2:$D$61,4,FALSE),"")</f>
        <v>2135</v>
      </c>
      <c r="O587">
        <f t="shared" si="22"/>
        <v>0.42761394101876676</v>
      </c>
      <c r="Q587" t="str">
        <f>Orders!D587</f>
        <v>PROD-031</v>
      </c>
    </row>
    <row r="588" spans="1:17" x14ac:dyDescent="0.3">
      <c r="A588" t="str">
        <f>Orders!A588</f>
        <v>ORD-00587</v>
      </c>
      <c r="B588">
        <f>Orders!B588</f>
        <v>45491</v>
      </c>
      <c r="C588">
        <f>Orders!I588</f>
        <v>26041.4</v>
      </c>
      <c r="D588" t="str">
        <f>Orders!E588</f>
        <v>R022</v>
      </c>
      <c r="E588" t="str">
        <f>IFERROR(VLOOKUP(Orders!D588,Products!$A$2:$C$61,3,FALSE),"Unknown")</f>
        <v>Electronics</v>
      </c>
      <c r="F588" t="str">
        <f>IFERROR(VLOOKUP(Orders!C588,Customers!$A$2:$E$301,5,FALSE),"Unknown")</f>
        <v>Retail</v>
      </c>
      <c r="G588">
        <f>IFERROR(VLOOKUP(Orders!C588,Customers!$A$2:$C$301,3,FALSE),"")</f>
        <v>41</v>
      </c>
      <c r="H588" t="str">
        <f>VLOOKUP(D588,Sales_Reps!$A$2:$C$31,3,FALSE)</f>
        <v>East</v>
      </c>
      <c r="I588" s="44">
        <f t="shared" si="21"/>
        <v>45474</v>
      </c>
      <c r="L588" t="str">
        <f>Orders!K588</f>
        <v>Chennai</v>
      </c>
      <c r="M588">
        <f>Orders!G588</f>
        <v>2660</v>
      </c>
      <c r="N588">
        <f>IFERROR(VLOOKUP(Orders!D588,Products!$A$2:$D$61,4,FALSE),"")</f>
        <v>1259</v>
      </c>
      <c r="O588">
        <f t="shared" si="22"/>
        <v>0.52669172932330832</v>
      </c>
      <c r="Q588" t="str">
        <f>Orders!D588</f>
        <v>PROD-008</v>
      </c>
    </row>
    <row r="589" spans="1:17" x14ac:dyDescent="0.3">
      <c r="A589" t="str">
        <f>Orders!A589</f>
        <v>ORD-00588</v>
      </c>
      <c r="B589">
        <f>Orders!B589</f>
        <v>45373</v>
      </c>
      <c r="C589">
        <f>Orders!I589</f>
        <v>12824.63</v>
      </c>
      <c r="D589" t="str">
        <f>Orders!E589</f>
        <v>R021</v>
      </c>
      <c r="E589" t="str">
        <f>IFERROR(VLOOKUP(Orders!D589,Products!$A$2:$C$61,3,FALSE),"Unknown")</f>
        <v>Grocery</v>
      </c>
      <c r="F589" t="str">
        <f>IFERROR(VLOOKUP(Orders!C589,Customers!$A$2:$E$301,5,FALSE),"Unknown")</f>
        <v>SMB</v>
      </c>
      <c r="G589">
        <f>IFERROR(VLOOKUP(Orders!C589,Customers!$A$2:$C$301,3,FALSE),"")</f>
        <v>40</v>
      </c>
      <c r="H589" t="str">
        <f>VLOOKUP(D589,Sales_Reps!$A$2:$C$31,3,FALSE)</f>
        <v>East</v>
      </c>
      <c r="I589" s="44">
        <f t="shared" si="21"/>
        <v>45352</v>
      </c>
      <c r="L589" t="str">
        <f>Orders!K589</f>
        <v>Hyderabad</v>
      </c>
      <c r="M589">
        <f>Orders!G589</f>
        <v>2210</v>
      </c>
      <c r="N589">
        <f>IFERROR(VLOOKUP(Orders!D589,Products!$A$2:$D$61,4,FALSE),"")</f>
        <v>1010</v>
      </c>
      <c r="O589">
        <f t="shared" si="22"/>
        <v>0.54298642533936647</v>
      </c>
      <c r="Q589" t="str">
        <f>Orders!D589</f>
        <v>PROD-029</v>
      </c>
    </row>
    <row r="590" spans="1:17" x14ac:dyDescent="0.3">
      <c r="A590" t="str">
        <f>Orders!A590</f>
        <v>ORD-00589</v>
      </c>
      <c r="B590">
        <f>Orders!B590</f>
        <v>45607</v>
      </c>
      <c r="C590">
        <f>Orders!I590</f>
        <v>19799.64</v>
      </c>
      <c r="D590" t="str">
        <f>Orders!E590</f>
        <v>R013</v>
      </c>
      <c r="E590" t="str">
        <f>IFERROR(VLOOKUP(Orders!D590,Products!$A$2:$C$61,3,FALSE),"Unknown")</f>
        <v>Sports</v>
      </c>
      <c r="F590" t="str">
        <f>IFERROR(VLOOKUP(Orders!C590,Customers!$A$2:$E$301,5,FALSE),"Unknown")</f>
        <v>SMB</v>
      </c>
      <c r="G590">
        <f>IFERROR(VLOOKUP(Orders!C590,Customers!$A$2:$C$301,3,FALSE),"")</f>
        <v>44</v>
      </c>
      <c r="H590" t="str">
        <f>VLOOKUP(D590,Sales_Reps!$A$2:$C$31,3,FALSE)</f>
        <v>South</v>
      </c>
      <c r="I590" s="44">
        <f t="shared" si="21"/>
        <v>45597</v>
      </c>
      <c r="L590" t="str">
        <f>Orders!K590</f>
        <v>Pune</v>
      </c>
      <c r="M590">
        <f>Orders!G590</f>
        <v>3780</v>
      </c>
      <c r="N590">
        <f>IFERROR(VLOOKUP(Orders!D590,Products!$A$2:$D$61,4,FALSE),"")</f>
        <v>1860</v>
      </c>
      <c r="O590">
        <f t="shared" si="22"/>
        <v>0.50793650793650791</v>
      </c>
      <c r="Q590" t="str">
        <f>Orders!D590</f>
        <v>PROD-059</v>
      </c>
    </row>
    <row r="591" spans="1:17" x14ac:dyDescent="0.3">
      <c r="A591" t="str">
        <f>Orders!A591</f>
        <v>ORD-00590</v>
      </c>
      <c r="B591">
        <f>Orders!B591</f>
        <v>45412</v>
      </c>
      <c r="C591">
        <f>Orders!I591</f>
        <v>16052.76</v>
      </c>
      <c r="D591" t="str">
        <f>Orders!E591</f>
        <v>R029</v>
      </c>
      <c r="E591" t="str">
        <f>IFERROR(VLOOKUP(Orders!D591,Products!$A$2:$C$61,3,FALSE),"Unknown")</f>
        <v>Home</v>
      </c>
      <c r="F591" t="str">
        <f>IFERROR(VLOOKUP(Orders!C591,Customers!$A$2:$E$301,5,FALSE),"Unknown")</f>
        <v>Retail</v>
      </c>
      <c r="G591">
        <f>IFERROR(VLOOKUP(Orders!C591,Customers!$A$2:$C$301,3,FALSE),"")</f>
        <v>31</v>
      </c>
      <c r="H591" t="str">
        <f>VLOOKUP(D591,Sales_Reps!$A$2:$C$31,3,FALSE)</f>
        <v>West</v>
      </c>
      <c r="I591" s="44">
        <f t="shared" si="21"/>
        <v>45383</v>
      </c>
      <c r="L591" t="str">
        <f>Orders!K591</f>
        <v>Chennai</v>
      </c>
      <c r="M591">
        <f>Orders!G591</f>
        <v>5490</v>
      </c>
      <c r="N591">
        <f>IFERROR(VLOOKUP(Orders!D591,Products!$A$2:$D$61,4,FALSE),"")</f>
        <v>2549</v>
      </c>
      <c r="O591">
        <f t="shared" si="22"/>
        <v>0.53570127504553733</v>
      </c>
      <c r="Q591" t="str">
        <f>Orders!D591</f>
        <v>PROD-038</v>
      </c>
    </row>
    <row r="592" spans="1:17" x14ac:dyDescent="0.3">
      <c r="A592" t="str">
        <f>Orders!A592</f>
        <v>ORD-00591</v>
      </c>
      <c r="B592">
        <f>Orders!B592</f>
        <v>45351</v>
      </c>
      <c r="C592">
        <f>Orders!I592</f>
        <v>18697.14</v>
      </c>
      <c r="D592" t="str">
        <f>Orders!E592</f>
        <v>R013</v>
      </c>
      <c r="E592" t="str">
        <f>IFERROR(VLOOKUP(Orders!D592,Products!$A$2:$C$61,3,FALSE),"Unknown")</f>
        <v>Electronics</v>
      </c>
      <c r="F592" t="str">
        <f>IFERROR(VLOOKUP(Orders!C592,Customers!$A$2:$E$301,5,FALSE),"Unknown")</f>
        <v>SMB</v>
      </c>
      <c r="G592">
        <f>IFERROR(VLOOKUP(Orders!C592,Customers!$A$2:$C$301,3,FALSE),"")</f>
        <v>39</v>
      </c>
      <c r="H592" t="str">
        <f>VLOOKUP(D592,Sales_Reps!$A$2:$C$31,3,FALSE)</f>
        <v>South</v>
      </c>
      <c r="I592" s="44">
        <f t="shared" si="21"/>
        <v>45323</v>
      </c>
      <c r="L592" t="str">
        <f>Orders!K592</f>
        <v>Chennai</v>
      </c>
      <c r="M592">
        <f>Orders!G592</f>
        <v>2660</v>
      </c>
      <c r="N592">
        <f>IFERROR(VLOOKUP(Orders!D592,Products!$A$2:$D$61,4,FALSE),"")</f>
        <v>1259</v>
      </c>
      <c r="O592">
        <f t="shared" si="22"/>
        <v>0.52669172932330832</v>
      </c>
      <c r="Q592" t="str">
        <f>Orders!D592</f>
        <v>PROD-008</v>
      </c>
    </row>
    <row r="593" spans="1:17" x14ac:dyDescent="0.3">
      <c r="A593" t="str">
        <f>Orders!A593</f>
        <v>ORD-00592</v>
      </c>
      <c r="B593">
        <f>Orders!B593</f>
        <v>45572</v>
      </c>
      <c r="C593">
        <f>Orders!I593</f>
        <v>57463.199999999997</v>
      </c>
      <c r="D593" t="str">
        <f>Orders!E593</f>
        <v>R028</v>
      </c>
      <c r="E593" t="str">
        <f>IFERROR(VLOOKUP(Orders!D593,Products!$A$2:$C$61,3,FALSE),"Unknown")</f>
        <v>Sports</v>
      </c>
      <c r="F593" t="str">
        <f>IFERROR(VLOOKUP(Orders!C593,Customers!$A$2:$E$301,5,FALSE),"Unknown")</f>
        <v>Retail</v>
      </c>
      <c r="G593">
        <f>IFERROR(VLOOKUP(Orders!C593,Customers!$A$2:$C$301,3,FALSE),"")</f>
        <v>59</v>
      </c>
      <c r="H593" t="str">
        <f>VLOOKUP(D593,Sales_Reps!$A$2:$C$31,3,FALSE)</f>
        <v>West</v>
      </c>
      <c r="I593" s="44">
        <f t="shared" si="21"/>
        <v>45566</v>
      </c>
      <c r="L593" t="str">
        <f>Orders!K593</f>
        <v>Bengaluru</v>
      </c>
      <c r="M593">
        <f>Orders!G593</f>
        <v>6940</v>
      </c>
      <c r="N593">
        <f>IFERROR(VLOOKUP(Orders!D593,Products!$A$2:$D$61,4,FALSE),"")</f>
        <v>2827</v>
      </c>
      <c r="O593">
        <f t="shared" si="22"/>
        <v>0.5926512968299712</v>
      </c>
      <c r="Q593" t="str">
        <f>Orders!D593</f>
        <v>PROD-056</v>
      </c>
    </row>
    <row r="594" spans="1:17" x14ac:dyDescent="0.3">
      <c r="A594" t="str">
        <f>Orders!A594</f>
        <v>ORD-00593</v>
      </c>
      <c r="B594">
        <f>Orders!B594</f>
        <v>45402</v>
      </c>
      <c r="C594">
        <f>Orders!I594</f>
        <v>2995.38</v>
      </c>
      <c r="D594" t="str">
        <f>Orders!E594</f>
        <v>R006</v>
      </c>
      <c r="E594" t="str">
        <f>IFERROR(VLOOKUP(Orders!D594,Products!$A$2:$C$61,3,FALSE),"Unknown")</f>
        <v>Electronics</v>
      </c>
      <c r="F594" t="str">
        <f>IFERROR(VLOOKUP(Orders!C594,Customers!$A$2:$E$301,5,FALSE),"Unknown")</f>
        <v>Corporate</v>
      </c>
      <c r="G594">
        <f>IFERROR(VLOOKUP(Orders!C594,Customers!$A$2:$C$301,3,FALSE),"")</f>
        <v>47</v>
      </c>
      <c r="H594" t="str">
        <f>VLOOKUP(D594,Sales_Reps!$A$2:$C$31,3,FALSE)</f>
        <v>North</v>
      </c>
      <c r="I594" s="44">
        <f t="shared" si="21"/>
        <v>45383</v>
      </c>
      <c r="L594" t="str">
        <f>Orders!K594</f>
        <v>Pune</v>
      </c>
      <c r="M594">
        <f>Orders!G594</f>
        <v>3870</v>
      </c>
      <c r="N594">
        <f>IFERROR(VLOOKUP(Orders!D594,Products!$A$2:$D$61,4,FALSE),"")</f>
        <v>1559</v>
      </c>
      <c r="O594">
        <f t="shared" si="22"/>
        <v>0.59715762273901807</v>
      </c>
      <c r="Q594" t="str">
        <f>Orders!D594</f>
        <v>PROD-004</v>
      </c>
    </row>
    <row r="595" spans="1:17" x14ac:dyDescent="0.3">
      <c r="A595" t="str">
        <f>Orders!A595</f>
        <v>ORD-00594</v>
      </c>
      <c r="B595">
        <f>Orders!B595</f>
        <v>45503</v>
      </c>
      <c r="C595">
        <f>Orders!I595</f>
        <v>2351.13</v>
      </c>
      <c r="D595" t="str">
        <f>Orders!E595</f>
        <v>R008</v>
      </c>
      <c r="E595" t="str">
        <f>IFERROR(VLOOKUP(Orders!D595,Products!$A$2:$C$61,3,FALSE),"Unknown")</f>
        <v>Home</v>
      </c>
      <c r="F595" t="str">
        <f>IFERROR(VLOOKUP(Orders!C595,Customers!$A$2:$E$301,5,FALSE),"Unknown")</f>
        <v>Retail</v>
      </c>
      <c r="G595">
        <f>IFERROR(VLOOKUP(Orders!C595,Customers!$A$2:$C$301,3,FALSE),"")</f>
        <v>41</v>
      </c>
      <c r="H595" t="str">
        <f>VLOOKUP(D595,Sales_Reps!$A$2:$C$31,3,FALSE)</f>
        <v>North</v>
      </c>
      <c r="I595" s="44">
        <f t="shared" si="21"/>
        <v>45474</v>
      </c>
      <c r="L595" t="str">
        <f>Orders!K595</f>
        <v>Hyderabad</v>
      </c>
      <c r="M595">
        <f>Orders!G595</f>
        <v>1090</v>
      </c>
      <c r="N595">
        <f>IFERROR(VLOOKUP(Orders!D595,Products!$A$2:$D$61,4,FALSE),"")</f>
        <v>464</v>
      </c>
      <c r="O595">
        <f t="shared" si="22"/>
        <v>0.57431192660550456</v>
      </c>
      <c r="Q595" t="str">
        <f>Orders!D595</f>
        <v>PROD-035</v>
      </c>
    </row>
    <row r="596" spans="1:17" x14ac:dyDescent="0.3">
      <c r="A596" t="str">
        <f>Orders!A596</f>
        <v>ORD-00595</v>
      </c>
      <c r="B596">
        <f>Orders!B596</f>
        <v>45524</v>
      </c>
      <c r="C596">
        <f>Orders!I596</f>
        <v>4908.8</v>
      </c>
      <c r="D596" t="str">
        <f>Orders!E596</f>
        <v>R001</v>
      </c>
      <c r="E596" t="str">
        <f>IFERROR(VLOOKUP(Orders!D596,Products!$A$2:$C$61,3,FALSE),"Unknown")</f>
        <v>Electronics</v>
      </c>
      <c r="F596" t="str">
        <f>IFERROR(VLOOKUP(Orders!C596,Customers!$A$2:$E$301,5,FALSE),"Unknown")</f>
        <v>Retail</v>
      </c>
      <c r="G596">
        <f>IFERROR(VLOOKUP(Orders!C596,Customers!$A$2:$C$301,3,FALSE),"")</f>
        <v>61</v>
      </c>
      <c r="H596" t="str">
        <f>VLOOKUP(D596,Sales_Reps!$A$2:$C$31,3,FALSE)</f>
        <v>North</v>
      </c>
      <c r="I596" s="44">
        <f t="shared" si="21"/>
        <v>45505</v>
      </c>
      <c r="L596" t="str">
        <f>Orders!K596</f>
        <v>Mumbai</v>
      </c>
      <c r="M596">
        <f>Orders!G596</f>
        <v>2600</v>
      </c>
      <c r="N596">
        <f>IFERROR(VLOOKUP(Orders!D596,Products!$A$2:$D$61,4,FALSE),"")</f>
        <v>1052</v>
      </c>
      <c r="O596">
        <f t="shared" si="22"/>
        <v>0.5953846153846154</v>
      </c>
      <c r="Q596" t="str">
        <f>Orders!D596</f>
        <v>PROD-002</v>
      </c>
    </row>
    <row r="597" spans="1:17" x14ac:dyDescent="0.3">
      <c r="A597" t="str">
        <f>Orders!A597</f>
        <v>ORD-00596</v>
      </c>
      <c r="B597">
        <f>Orders!B597</f>
        <v>45425</v>
      </c>
      <c r="C597">
        <f>Orders!I597</f>
        <v>3006.72</v>
      </c>
      <c r="D597" t="str">
        <f>Orders!E597</f>
        <v>R020</v>
      </c>
      <c r="E597" t="str">
        <f>IFERROR(VLOOKUP(Orders!D597,Products!$A$2:$C$61,3,FALSE),"Unknown")</f>
        <v>Sports</v>
      </c>
      <c r="F597" t="str">
        <f>IFERROR(VLOOKUP(Orders!C597,Customers!$A$2:$E$301,5,FALSE),"Unknown")</f>
        <v>SMB</v>
      </c>
      <c r="G597">
        <f>IFERROR(VLOOKUP(Orders!C597,Customers!$A$2:$C$301,3,FALSE),"")</f>
        <v>59</v>
      </c>
      <c r="H597" t="str">
        <f>VLOOKUP(D597,Sales_Reps!$A$2:$C$31,3,FALSE)</f>
        <v>East</v>
      </c>
      <c r="I597" s="44">
        <f t="shared" si="21"/>
        <v>45413</v>
      </c>
      <c r="L597" t="str">
        <f>Orders!K597</f>
        <v>Pune</v>
      </c>
      <c r="M597">
        <f>Orders!G597</f>
        <v>960</v>
      </c>
      <c r="N597">
        <f>IFERROR(VLOOKUP(Orders!D597,Products!$A$2:$D$61,4,FALSE),"")</f>
        <v>705</v>
      </c>
      <c r="O597">
        <f t="shared" si="22"/>
        <v>0.265625</v>
      </c>
      <c r="Q597" t="str">
        <f>Orders!D597</f>
        <v>PROD-057</v>
      </c>
    </row>
    <row r="598" spans="1:17" x14ac:dyDescent="0.3">
      <c r="A598" t="str">
        <f>Orders!A598</f>
        <v>ORD-00597</v>
      </c>
      <c r="B598">
        <f>Orders!B598</f>
        <v>45533</v>
      </c>
      <c r="C598">
        <f>Orders!I598</f>
        <v>1720.5</v>
      </c>
      <c r="D598" t="str">
        <f>Orders!E598</f>
        <v>R026</v>
      </c>
      <c r="E598" t="str">
        <f>IFERROR(VLOOKUP(Orders!D598,Products!$A$2:$C$61,3,FALSE),"Unknown")</f>
        <v>Home</v>
      </c>
      <c r="F598" t="str">
        <f>IFERROR(VLOOKUP(Orders!C598,Customers!$A$2:$E$301,5,FALSE),"Unknown")</f>
        <v>Retail</v>
      </c>
      <c r="G598">
        <f>IFERROR(VLOOKUP(Orders!C598,Customers!$A$2:$C$301,3,FALSE),"")</f>
        <v>54</v>
      </c>
      <c r="H598" t="str">
        <f>VLOOKUP(D598,Sales_Reps!$A$2:$C$31,3,FALSE)</f>
        <v>West</v>
      </c>
      <c r="I598" s="44">
        <f t="shared" si="21"/>
        <v>45505</v>
      </c>
      <c r="L598" t="str">
        <f>Orders!K598</f>
        <v>Mumbai</v>
      </c>
      <c r="M598">
        <f>Orders!G598</f>
        <v>370</v>
      </c>
      <c r="N598">
        <f>IFERROR(VLOOKUP(Orders!D598,Products!$A$2:$D$61,4,FALSE),"")</f>
        <v>288</v>
      </c>
      <c r="O598">
        <f t="shared" si="22"/>
        <v>0.22162162162162163</v>
      </c>
      <c r="Q598" t="str">
        <f>Orders!D598</f>
        <v>PROD-032</v>
      </c>
    </row>
    <row r="599" spans="1:17" x14ac:dyDescent="0.3">
      <c r="A599" t="str">
        <f>Orders!A599</f>
        <v>ORD-00598</v>
      </c>
      <c r="B599">
        <f>Orders!B599</f>
        <v>45649</v>
      </c>
      <c r="C599">
        <f>Orders!I599</f>
        <v>19354.8</v>
      </c>
      <c r="D599" t="str">
        <f>Orders!E599</f>
        <v>R006</v>
      </c>
      <c r="E599" t="str">
        <f>IFERROR(VLOOKUP(Orders!D599,Products!$A$2:$C$61,3,FALSE),"Unknown")</f>
        <v>Home</v>
      </c>
      <c r="F599" t="str">
        <f>IFERROR(VLOOKUP(Orders!C599,Customers!$A$2:$E$301,5,FALSE),"Unknown")</f>
        <v>SMB</v>
      </c>
      <c r="G599">
        <f>IFERROR(VLOOKUP(Orders!C599,Customers!$A$2:$C$301,3,FALSE),"")</f>
        <v>34</v>
      </c>
      <c r="H599" t="str">
        <f>VLOOKUP(D599,Sales_Reps!$A$2:$C$31,3,FALSE)</f>
        <v>North</v>
      </c>
      <c r="I599" s="44">
        <f t="shared" si="21"/>
        <v>45627</v>
      </c>
      <c r="L599" t="str">
        <f>Orders!K599</f>
        <v>Bengaluru</v>
      </c>
      <c r="M599">
        <f>Orders!G599</f>
        <v>5080</v>
      </c>
      <c r="N599">
        <f>IFERROR(VLOOKUP(Orders!D599,Products!$A$2:$D$61,4,FALSE),"")</f>
        <v>2459</v>
      </c>
      <c r="O599">
        <f t="shared" si="22"/>
        <v>0.51594488188976373</v>
      </c>
      <c r="Q599" t="str">
        <f>Orders!D599</f>
        <v>PROD-034</v>
      </c>
    </row>
    <row r="600" spans="1:17" x14ac:dyDescent="0.3">
      <c r="A600" t="str">
        <f>Orders!A600</f>
        <v>ORD-00599</v>
      </c>
      <c r="B600">
        <f>Orders!B600</f>
        <v>45375</v>
      </c>
      <c r="C600">
        <f>Orders!I600</f>
        <v>7230.3</v>
      </c>
      <c r="D600" t="str">
        <f>Orders!E600</f>
        <v>R003</v>
      </c>
      <c r="E600" t="str">
        <f>IFERROR(VLOOKUP(Orders!D600,Products!$A$2:$C$61,3,FALSE),"Unknown")</f>
        <v>Beauty</v>
      </c>
      <c r="F600" t="str">
        <f>IFERROR(VLOOKUP(Orders!C600,Customers!$A$2:$E$301,5,FALSE),"Unknown")</f>
        <v>Retail</v>
      </c>
      <c r="G600">
        <f>IFERROR(VLOOKUP(Orders!C600,Customers!$A$2:$C$301,3,FALSE),"")</f>
        <v>62</v>
      </c>
      <c r="H600" t="str">
        <f>VLOOKUP(D600,Sales_Reps!$A$2:$C$31,3,FALSE)</f>
        <v>North</v>
      </c>
      <c r="I600" s="44">
        <f t="shared" si="21"/>
        <v>45352</v>
      </c>
      <c r="L600" t="str">
        <f>Orders!K600</f>
        <v>Pune</v>
      </c>
      <c r="M600">
        <f>Orders!G600</f>
        <v>1540</v>
      </c>
      <c r="N600">
        <f>IFERROR(VLOOKUP(Orders!D600,Products!$A$2:$D$61,4,FALSE),"")</f>
        <v>647</v>
      </c>
      <c r="O600">
        <f t="shared" si="22"/>
        <v>0.57987012987012987</v>
      </c>
      <c r="Q600" t="str">
        <f>Orders!D600</f>
        <v>PROD-041</v>
      </c>
    </row>
    <row r="601" spans="1:17" x14ac:dyDescent="0.3">
      <c r="A601" t="str">
        <f>Orders!A601</f>
        <v>ORD-00600</v>
      </c>
      <c r="B601">
        <f>Orders!B601</f>
        <v>45342</v>
      </c>
      <c r="C601">
        <f>Orders!I601</f>
        <v>15826.44</v>
      </c>
      <c r="D601" t="str">
        <f>Orders!E601</f>
        <v>R015</v>
      </c>
      <c r="E601" t="str">
        <f>IFERROR(VLOOKUP(Orders!D601,Products!$A$2:$C$61,3,FALSE),"Unknown")</f>
        <v>Grocery</v>
      </c>
      <c r="F601" t="str">
        <f>IFERROR(VLOOKUP(Orders!C601,Customers!$A$2:$E$301,5,FALSE),"Unknown")</f>
        <v>Retail</v>
      </c>
      <c r="G601">
        <f>IFERROR(VLOOKUP(Orders!C601,Customers!$A$2:$C$301,3,FALSE),"")</f>
        <v>37</v>
      </c>
      <c r="H601" t="str">
        <f>VLOOKUP(D601,Sales_Reps!$A$2:$C$31,3,FALSE)</f>
        <v>South</v>
      </c>
      <c r="I601" s="44">
        <f t="shared" si="21"/>
        <v>45323</v>
      </c>
      <c r="L601" t="str">
        <f>Orders!K601</f>
        <v>Mumbai</v>
      </c>
      <c r="M601">
        <f>Orders!G601</f>
        <v>2270</v>
      </c>
      <c r="N601">
        <f>IFERROR(VLOOKUP(Orders!D601,Products!$A$2:$D$61,4,FALSE),"")</f>
        <v>1203</v>
      </c>
      <c r="O601">
        <f t="shared" si="22"/>
        <v>0.47004405286343615</v>
      </c>
      <c r="Q601" t="str">
        <f>Orders!D601</f>
        <v>PROD-024</v>
      </c>
    </row>
    <row r="602" spans="1:17" x14ac:dyDescent="0.3">
      <c r="A602" t="str">
        <f>Orders!A602</f>
        <v>ORD-00601</v>
      </c>
      <c r="B602">
        <f>Orders!B602</f>
        <v>45441</v>
      </c>
      <c r="C602">
        <f>Orders!I602</f>
        <v>1848.96</v>
      </c>
      <c r="D602" t="str">
        <f>Orders!E602</f>
        <v>R015</v>
      </c>
      <c r="E602" t="str">
        <f>IFERROR(VLOOKUP(Orders!D602,Products!$A$2:$C$61,3,FALSE),"Unknown")</f>
        <v>Sports</v>
      </c>
      <c r="F602" t="str">
        <f>IFERROR(VLOOKUP(Orders!C602,Customers!$A$2:$E$301,5,FALSE),"Unknown")</f>
        <v>Retail</v>
      </c>
      <c r="G602">
        <f>IFERROR(VLOOKUP(Orders!C602,Customers!$A$2:$C$301,3,FALSE),"")</f>
        <v>52</v>
      </c>
      <c r="H602" t="str">
        <f>VLOOKUP(D602,Sales_Reps!$A$2:$C$31,3,FALSE)</f>
        <v>South</v>
      </c>
      <c r="I602" s="44">
        <f t="shared" si="21"/>
        <v>45413</v>
      </c>
      <c r="L602" t="str">
        <f>Orders!K602</f>
        <v>Hyderabad</v>
      </c>
      <c r="M602">
        <f>Orders!G602</f>
        <v>960</v>
      </c>
      <c r="N602">
        <f>IFERROR(VLOOKUP(Orders!D602,Products!$A$2:$D$61,4,FALSE),"")</f>
        <v>705</v>
      </c>
      <c r="O602">
        <f t="shared" si="22"/>
        <v>0.265625</v>
      </c>
      <c r="Q602" t="str">
        <f>Orders!D602</f>
        <v>PROD-057</v>
      </c>
    </row>
    <row r="603" spans="1:17" x14ac:dyDescent="0.3">
      <c r="A603" t="str">
        <f>Orders!A603</f>
        <v>ORD-00602</v>
      </c>
      <c r="B603">
        <f>Orders!B603</f>
        <v>45410</v>
      </c>
      <c r="C603">
        <f>Orders!I603</f>
        <v>8408.4</v>
      </c>
      <c r="D603" t="str">
        <f>Orders!E603</f>
        <v>R027</v>
      </c>
      <c r="E603" t="str">
        <f>IFERROR(VLOOKUP(Orders!D603,Products!$A$2:$C$61,3,FALSE),"Unknown")</f>
        <v>Electronics</v>
      </c>
      <c r="F603" t="str">
        <f>IFERROR(VLOOKUP(Orders!C603,Customers!$A$2:$E$301,5,FALSE),"Unknown")</f>
        <v>SMB</v>
      </c>
      <c r="G603">
        <f>IFERROR(VLOOKUP(Orders!C603,Customers!$A$2:$C$301,3,FALSE),"")</f>
        <v>53</v>
      </c>
      <c r="H603" t="str">
        <f>VLOOKUP(D603,Sales_Reps!$A$2:$C$31,3,FALSE)</f>
        <v>West</v>
      </c>
      <c r="I603" s="44">
        <f t="shared" si="21"/>
        <v>45383</v>
      </c>
      <c r="L603" t="str">
        <f>Orders!K603</f>
        <v>Pune</v>
      </c>
      <c r="M603">
        <f>Orders!G603</f>
        <v>1430</v>
      </c>
      <c r="N603">
        <f>IFERROR(VLOOKUP(Orders!D603,Products!$A$2:$D$61,4,FALSE),"")</f>
        <v>861</v>
      </c>
      <c r="O603">
        <f t="shared" si="22"/>
        <v>0.39790209790209791</v>
      </c>
      <c r="Q603" t="str">
        <f>Orders!D603</f>
        <v>PROD-007</v>
      </c>
    </row>
    <row r="604" spans="1:17" x14ac:dyDescent="0.3">
      <c r="A604" t="str">
        <f>Orders!A604</f>
        <v>ORD-00603</v>
      </c>
      <c r="B604">
        <f>Orders!B604</f>
        <v>45588</v>
      </c>
      <c r="C604">
        <f>Orders!I604</f>
        <v>27910.5</v>
      </c>
      <c r="D604" t="str">
        <f>Orders!E604</f>
        <v>R006</v>
      </c>
      <c r="E604" t="str">
        <f>IFERROR(VLOOKUP(Orders!D604,Products!$A$2:$C$61,3,FALSE),"Unknown")</f>
        <v>Beauty</v>
      </c>
      <c r="F604" t="str">
        <f>IFERROR(VLOOKUP(Orders!C604,Customers!$A$2:$E$301,5,FALSE),"Unknown")</f>
        <v>Retail</v>
      </c>
      <c r="G604">
        <f>IFERROR(VLOOKUP(Orders!C604,Customers!$A$2:$C$301,3,FALSE),"")</f>
        <v>29</v>
      </c>
      <c r="H604" t="str">
        <f>VLOOKUP(D604,Sales_Reps!$A$2:$C$31,3,FALSE)</f>
        <v>North</v>
      </c>
      <c r="I604" s="44">
        <f t="shared" si="21"/>
        <v>45566</v>
      </c>
      <c r="L604" t="str">
        <f>Orders!K604</f>
        <v>Hyderabad</v>
      </c>
      <c r="M604">
        <f>Orders!G604</f>
        <v>3450</v>
      </c>
      <c r="N604">
        <f>IFERROR(VLOOKUP(Orders!D604,Products!$A$2:$D$61,4,FALSE),"")</f>
        <v>2420</v>
      </c>
      <c r="O604">
        <f t="shared" si="22"/>
        <v>0.29855072463768118</v>
      </c>
      <c r="Q604" t="str">
        <f>Orders!D604</f>
        <v>PROD-047</v>
      </c>
    </row>
    <row r="605" spans="1:17" x14ac:dyDescent="0.3">
      <c r="A605" t="str">
        <f>Orders!A605</f>
        <v>ORD-00604</v>
      </c>
      <c r="B605">
        <f>Orders!B605</f>
        <v>45412</v>
      </c>
      <c r="C605">
        <f>Orders!I605</f>
        <v>8110.56</v>
      </c>
      <c r="D605" t="str">
        <f>Orders!E605</f>
        <v>R026</v>
      </c>
      <c r="E605" t="str">
        <f>IFERROR(VLOOKUP(Orders!D605,Products!$A$2:$C$61,3,FALSE),"Unknown")</f>
        <v>Electronics</v>
      </c>
      <c r="F605" t="str">
        <f>IFERROR(VLOOKUP(Orders!C605,Customers!$A$2:$E$301,5,FALSE),"Unknown")</f>
        <v>SMB</v>
      </c>
      <c r="G605">
        <f>IFERROR(VLOOKUP(Orders!C605,Customers!$A$2:$C$301,3,FALSE),"")</f>
        <v>30</v>
      </c>
      <c r="H605" t="str">
        <f>VLOOKUP(D605,Sales_Reps!$A$2:$C$31,3,FALSE)</f>
        <v>West</v>
      </c>
      <c r="I605" s="44">
        <f t="shared" si="21"/>
        <v>45383</v>
      </c>
      <c r="L605" t="str">
        <f>Orders!K605</f>
        <v>Pune</v>
      </c>
      <c r="M605">
        <f>Orders!G605</f>
        <v>1220</v>
      </c>
      <c r="N605">
        <f>IFERROR(VLOOKUP(Orders!D605,Products!$A$2:$D$61,4,FALSE),"")</f>
        <v>517</v>
      </c>
      <c r="O605">
        <f t="shared" si="22"/>
        <v>0.57622950819672136</v>
      </c>
      <c r="Q605" t="str">
        <f>Orders!D605</f>
        <v>PROD-009</v>
      </c>
    </row>
    <row r="606" spans="1:17" x14ac:dyDescent="0.3">
      <c r="A606" t="str">
        <f>Orders!A606</f>
        <v>ORD-00605</v>
      </c>
      <c r="B606">
        <f>Orders!B606</f>
        <v>45439</v>
      </c>
      <c r="C606">
        <f>Orders!I606</f>
        <v>20642.04</v>
      </c>
      <c r="D606" t="str">
        <f>Orders!E606</f>
        <v>R020</v>
      </c>
      <c r="E606" t="str">
        <f>IFERROR(VLOOKUP(Orders!D606,Products!$A$2:$C$61,3,FALSE),"Unknown")</f>
        <v>Grocery</v>
      </c>
      <c r="F606" t="str">
        <f>IFERROR(VLOOKUP(Orders!C606,Customers!$A$2:$E$301,5,FALSE),"Unknown")</f>
        <v>Retail</v>
      </c>
      <c r="G606">
        <f>IFERROR(VLOOKUP(Orders!C606,Customers!$A$2:$C$301,3,FALSE),"")</f>
        <v>47</v>
      </c>
      <c r="H606" t="str">
        <f>VLOOKUP(D606,Sales_Reps!$A$2:$C$31,3,FALSE)</f>
        <v>East</v>
      </c>
      <c r="I606" s="44">
        <f t="shared" si="21"/>
        <v>45413</v>
      </c>
      <c r="L606" t="str">
        <f>Orders!K606</f>
        <v>Delhi</v>
      </c>
      <c r="M606">
        <f>Orders!G606</f>
        <v>2760</v>
      </c>
      <c r="N606">
        <f>IFERROR(VLOOKUP(Orders!D606,Products!$A$2:$D$61,4,FALSE),"")</f>
        <v>1435</v>
      </c>
      <c r="O606">
        <f t="shared" si="22"/>
        <v>0.48007246376811596</v>
      </c>
      <c r="Q606" t="str">
        <f>Orders!D606</f>
        <v>PROD-021</v>
      </c>
    </row>
    <row r="607" spans="1:17" x14ac:dyDescent="0.3">
      <c r="A607" t="str">
        <f>Orders!A607</f>
        <v>ORD-00606</v>
      </c>
      <c r="B607">
        <f>Orders!B607</f>
        <v>45593</v>
      </c>
      <c r="C607">
        <f>Orders!I607</f>
        <v>17728.2</v>
      </c>
      <c r="D607" t="str">
        <f>Orders!E607</f>
        <v>R017</v>
      </c>
      <c r="E607" t="str">
        <f>IFERROR(VLOOKUP(Orders!D607,Products!$A$2:$C$61,3,FALSE),"Unknown")</f>
        <v>Beauty</v>
      </c>
      <c r="F607" t="str">
        <f>IFERROR(VLOOKUP(Orders!C607,Customers!$A$2:$E$301,5,FALSE),"Unknown")</f>
        <v>SMB</v>
      </c>
      <c r="G607">
        <f>IFERROR(VLOOKUP(Orders!C607,Customers!$A$2:$C$301,3,FALSE),"")</f>
        <v>54</v>
      </c>
      <c r="H607" t="str">
        <f>VLOOKUP(D607,Sales_Reps!$A$2:$C$31,3,FALSE)</f>
        <v>East</v>
      </c>
      <c r="I607" s="44">
        <f t="shared" si="21"/>
        <v>45566</v>
      </c>
      <c r="L607" t="str">
        <f>Orders!K607</f>
        <v>Mumbai</v>
      </c>
      <c r="M607">
        <f>Orders!G607</f>
        <v>3350</v>
      </c>
      <c r="N607">
        <f>IFERROR(VLOOKUP(Orders!D607,Products!$A$2:$D$61,4,FALSE),"")</f>
        <v>1728</v>
      </c>
      <c r="O607">
        <f t="shared" si="22"/>
        <v>0.48417910447761192</v>
      </c>
      <c r="Q607" t="str">
        <f>Orders!D607</f>
        <v>PROD-043</v>
      </c>
    </row>
    <row r="608" spans="1:17" x14ac:dyDescent="0.3">
      <c r="A608" t="str">
        <f>Orders!A608</f>
        <v>ORD-00607</v>
      </c>
      <c r="B608">
        <f>Orders!B608</f>
        <v>45570</v>
      </c>
      <c r="C608">
        <f>Orders!I608</f>
        <v>26560.799999999999</v>
      </c>
      <c r="D608" t="str">
        <f>Orders!E608</f>
        <v>R013</v>
      </c>
      <c r="E608" t="str">
        <f>IFERROR(VLOOKUP(Orders!D608,Products!$A$2:$C$61,3,FALSE),"Unknown")</f>
        <v>Beauty</v>
      </c>
      <c r="F608" t="str">
        <f>IFERROR(VLOOKUP(Orders!C608,Customers!$A$2:$E$301,5,FALSE),"Unknown")</f>
        <v>SMB</v>
      </c>
      <c r="G608">
        <f>IFERROR(VLOOKUP(Orders!C608,Customers!$A$2:$C$301,3,FALSE),"")</f>
        <v>34</v>
      </c>
      <c r="H608" t="str">
        <f>VLOOKUP(D608,Sales_Reps!$A$2:$C$31,3,FALSE)</f>
        <v>South</v>
      </c>
      <c r="I608" s="44">
        <f t="shared" si="21"/>
        <v>45566</v>
      </c>
      <c r="L608" t="str">
        <f>Orders!K608</f>
        <v>Bengaluru</v>
      </c>
      <c r="M608">
        <f>Orders!G608</f>
        <v>5100</v>
      </c>
      <c r="N608">
        <f>IFERROR(VLOOKUP(Orders!D608,Products!$A$2:$D$61,4,FALSE),"")</f>
        <v>2237</v>
      </c>
      <c r="O608">
        <f t="shared" si="22"/>
        <v>0.56137254901960787</v>
      </c>
      <c r="Q608" t="str">
        <f>Orders!D608</f>
        <v>PROD-048</v>
      </c>
    </row>
    <row r="609" spans="1:17" x14ac:dyDescent="0.3">
      <c r="A609" t="str">
        <f>Orders!A609</f>
        <v>ORD-00608</v>
      </c>
      <c r="B609">
        <f>Orders!B609</f>
        <v>45474</v>
      </c>
      <c r="C609">
        <f>Orders!I609</f>
        <v>11689.92</v>
      </c>
      <c r="D609" t="str">
        <f>Orders!E609</f>
        <v>R027</v>
      </c>
      <c r="E609" t="str">
        <f>IFERROR(VLOOKUP(Orders!D609,Products!$A$2:$C$61,3,FALSE),"Unknown")</f>
        <v>Electronics</v>
      </c>
      <c r="F609" t="str">
        <f>IFERROR(VLOOKUP(Orders!C609,Customers!$A$2:$E$301,5,FALSE),"Unknown")</f>
        <v>Retail</v>
      </c>
      <c r="G609">
        <f>IFERROR(VLOOKUP(Orders!C609,Customers!$A$2:$C$301,3,FALSE),"")</f>
        <v>49</v>
      </c>
      <c r="H609" t="str">
        <f>VLOOKUP(D609,Sales_Reps!$A$2:$C$31,3,FALSE)</f>
        <v>West</v>
      </c>
      <c r="I609" s="44">
        <f t="shared" si="21"/>
        <v>45474</v>
      </c>
      <c r="L609" t="str">
        <f>Orders!K609</f>
        <v>Chennai</v>
      </c>
      <c r="M609">
        <f>Orders!G609</f>
        <v>2640</v>
      </c>
      <c r="N609">
        <f>IFERROR(VLOOKUP(Orders!D609,Products!$A$2:$D$61,4,FALSE),"")</f>
        <v>1149</v>
      </c>
      <c r="O609">
        <f t="shared" si="22"/>
        <v>0.56477272727272732</v>
      </c>
      <c r="Q609" t="str">
        <f>Orders!D609</f>
        <v>PROD-010</v>
      </c>
    </row>
    <row r="610" spans="1:17" x14ac:dyDescent="0.3">
      <c r="A610" t="str">
        <f>Orders!A610</f>
        <v>ORD-00609</v>
      </c>
      <c r="B610">
        <f>Orders!B610</f>
        <v>45524</v>
      </c>
      <c r="C610">
        <f>Orders!I610</f>
        <v>2938.98</v>
      </c>
      <c r="D610" t="str">
        <f>Orders!E610</f>
        <v>R016</v>
      </c>
      <c r="E610" t="str">
        <f>IFERROR(VLOOKUP(Orders!D610,Products!$A$2:$C$61,3,FALSE),"Unknown")</f>
        <v>Grocery</v>
      </c>
      <c r="F610" t="str">
        <f>IFERROR(VLOOKUP(Orders!C610,Customers!$A$2:$E$301,5,FALSE),"Unknown")</f>
        <v>Retail</v>
      </c>
      <c r="G610">
        <f>IFERROR(VLOOKUP(Orders!C610,Customers!$A$2:$C$301,3,FALSE),"")</f>
        <v>39</v>
      </c>
      <c r="H610" t="str">
        <f>VLOOKUP(D610,Sales_Reps!$A$2:$C$31,3,FALSE)</f>
        <v>South</v>
      </c>
      <c r="I610" s="44">
        <f t="shared" si="21"/>
        <v>45505</v>
      </c>
      <c r="L610" t="str">
        <f>Orders!K610</f>
        <v>Mumbai</v>
      </c>
      <c r="M610">
        <f>Orders!G610</f>
        <v>3660</v>
      </c>
      <c r="N610">
        <f>IFERROR(VLOOKUP(Orders!D610,Products!$A$2:$D$61,4,FALSE),"")</f>
        <v>2214</v>
      </c>
      <c r="O610">
        <f t="shared" si="22"/>
        <v>0.39508196721311473</v>
      </c>
      <c r="Q610" t="str">
        <f>Orders!D610</f>
        <v>PROD-028</v>
      </c>
    </row>
    <row r="611" spans="1:17" x14ac:dyDescent="0.3">
      <c r="A611" t="str">
        <f>Orders!A611</f>
        <v>ORD-00610</v>
      </c>
      <c r="B611">
        <f>Orders!B611</f>
        <v>45468</v>
      </c>
      <c r="C611">
        <f>Orders!I611</f>
        <v>1448.55</v>
      </c>
      <c r="D611" t="str">
        <f>Orders!E611</f>
        <v>R027</v>
      </c>
      <c r="E611" t="str">
        <f>IFERROR(VLOOKUP(Orders!D611,Products!$A$2:$C$61,3,FALSE),"Unknown")</f>
        <v>Home</v>
      </c>
      <c r="F611" t="str">
        <f>IFERROR(VLOOKUP(Orders!C611,Customers!$A$2:$E$301,5,FALSE),"Unknown")</f>
        <v>Retail</v>
      </c>
      <c r="G611">
        <f>IFERROR(VLOOKUP(Orders!C611,Customers!$A$2:$C$301,3,FALSE),"")</f>
        <v>44</v>
      </c>
      <c r="H611" t="str">
        <f>VLOOKUP(D611,Sales_Reps!$A$2:$C$31,3,FALSE)</f>
        <v>West</v>
      </c>
      <c r="I611" s="44">
        <f t="shared" si="21"/>
        <v>45444</v>
      </c>
      <c r="L611" t="str">
        <f>Orders!K611</f>
        <v>Mumbai</v>
      </c>
      <c r="M611">
        <f>Orders!G611</f>
        <v>370</v>
      </c>
      <c r="N611">
        <f>IFERROR(VLOOKUP(Orders!D611,Products!$A$2:$D$61,4,FALSE),"")</f>
        <v>288</v>
      </c>
      <c r="O611">
        <f t="shared" si="22"/>
        <v>0.22162162162162163</v>
      </c>
      <c r="Q611" t="str">
        <f>Orders!D611</f>
        <v>PROD-032</v>
      </c>
    </row>
    <row r="612" spans="1:17" x14ac:dyDescent="0.3">
      <c r="A612" t="str">
        <f>Orders!A612</f>
        <v>ORD-00611</v>
      </c>
      <c r="B612">
        <f>Orders!B612</f>
        <v>45336</v>
      </c>
      <c r="C612">
        <f>Orders!I612</f>
        <v>2783.8</v>
      </c>
      <c r="D612" t="str">
        <f>Orders!E612</f>
        <v>R025</v>
      </c>
      <c r="E612" t="str">
        <f>IFERROR(VLOOKUP(Orders!D612,Products!$A$2:$C$61,3,FALSE),"Unknown")</f>
        <v>Apparel</v>
      </c>
      <c r="F612" t="str">
        <f>IFERROR(VLOOKUP(Orders!C612,Customers!$A$2:$E$301,5,FALSE),"Unknown")</f>
        <v>SMB</v>
      </c>
      <c r="G612">
        <f>IFERROR(VLOOKUP(Orders!C612,Customers!$A$2:$C$301,3,FALSE),"")</f>
        <v>28</v>
      </c>
      <c r="H612" t="str">
        <f>VLOOKUP(D612,Sales_Reps!$A$2:$C$31,3,FALSE)</f>
        <v>West</v>
      </c>
      <c r="I612" s="44">
        <f t="shared" si="21"/>
        <v>45323</v>
      </c>
      <c r="L612" t="str">
        <f>Orders!K612</f>
        <v>Bengaluru</v>
      </c>
      <c r="M612">
        <f>Orders!G612</f>
        <v>620</v>
      </c>
      <c r="N612">
        <f>IFERROR(VLOOKUP(Orders!D612,Products!$A$2:$D$61,4,FALSE),"")</f>
        <v>396</v>
      </c>
      <c r="O612">
        <f t="shared" si="22"/>
        <v>0.36129032258064514</v>
      </c>
      <c r="Q612" t="str">
        <f>Orders!D612</f>
        <v>PROD-016</v>
      </c>
    </row>
    <row r="613" spans="1:17" x14ac:dyDescent="0.3">
      <c r="A613" t="str">
        <f>Orders!A613</f>
        <v>ORD-00612</v>
      </c>
      <c r="B613">
        <f>Orders!B613</f>
        <v>45392</v>
      </c>
      <c r="C613">
        <f>Orders!I613</f>
        <v>3669.76</v>
      </c>
      <c r="D613" t="str">
        <f>Orders!E613</f>
        <v>R018</v>
      </c>
      <c r="E613" t="str">
        <f>IFERROR(VLOOKUP(Orders!D613,Products!$A$2:$C$61,3,FALSE),"Unknown")</f>
        <v>Sports</v>
      </c>
      <c r="F613" t="str">
        <f>IFERROR(VLOOKUP(Orders!C613,Customers!$A$2:$E$301,5,FALSE),"Unknown")</f>
        <v>Retail</v>
      </c>
      <c r="G613">
        <f>IFERROR(VLOOKUP(Orders!C613,Customers!$A$2:$C$301,3,FALSE),"")</f>
        <v>65</v>
      </c>
      <c r="H613" t="str">
        <f>VLOOKUP(D613,Sales_Reps!$A$2:$C$31,3,FALSE)</f>
        <v>East</v>
      </c>
      <c r="I613" s="44">
        <f t="shared" si="21"/>
        <v>45383</v>
      </c>
      <c r="L613" t="str">
        <f>Orders!K613</f>
        <v>Hyderabad</v>
      </c>
      <c r="M613">
        <f>Orders!G613</f>
        <v>470</v>
      </c>
      <c r="N613">
        <f>IFERROR(VLOOKUP(Orders!D613,Products!$A$2:$D$61,4,FALSE),"")</f>
        <v>302</v>
      </c>
      <c r="O613">
        <f t="shared" si="22"/>
        <v>0.35744680851063831</v>
      </c>
      <c r="Q613" t="str">
        <f>Orders!D613</f>
        <v>PROD-053</v>
      </c>
    </row>
    <row r="614" spans="1:17" x14ac:dyDescent="0.3">
      <c r="A614" t="str">
        <f>Orders!A614</f>
        <v>ORD-00613</v>
      </c>
      <c r="B614">
        <f>Orders!B614</f>
        <v>45610</v>
      </c>
      <c r="C614">
        <f>Orders!I614</f>
        <v>5441.04</v>
      </c>
      <c r="D614" t="str">
        <f>Orders!E614</f>
        <v>R005</v>
      </c>
      <c r="E614" t="str">
        <f>IFERROR(VLOOKUP(Orders!D614,Products!$A$2:$C$61,3,FALSE),"Unknown")</f>
        <v>Beauty</v>
      </c>
      <c r="F614" t="str">
        <f>IFERROR(VLOOKUP(Orders!C614,Customers!$A$2:$E$301,5,FALSE),"Unknown")</f>
        <v>Retail</v>
      </c>
      <c r="G614">
        <f>IFERROR(VLOOKUP(Orders!C614,Customers!$A$2:$C$301,3,FALSE),"")</f>
        <v>40</v>
      </c>
      <c r="H614" t="str">
        <f>VLOOKUP(D614,Sales_Reps!$A$2:$C$31,3,FALSE)</f>
        <v>North</v>
      </c>
      <c r="I614" s="44">
        <f t="shared" si="21"/>
        <v>45597</v>
      </c>
      <c r="L614" t="str">
        <f>Orders!K614</f>
        <v>Delhi</v>
      </c>
      <c r="M614">
        <f>Orders!G614</f>
        <v>2290</v>
      </c>
      <c r="N614">
        <f>IFERROR(VLOOKUP(Orders!D614,Products!$A$2:$D$61,4,FALSE),"")</f>
        <v>1219</v>
      </c>
      <c r="O614">
        <f t="shared" si="22"/>
        <v>0.46768558951965067</v>
      </c>
      <c r="Q614" t="str">
        <f>Orders!D614</f>
        <v>PROD-042</v>
      </c>
    </row>
    <row r="615" spans="1:17" x14ac:dyDescent="0.3">
      <c r="A615" t="str">
        <f>Orders!A615</f>
        <v>ORD-00614</v>
      </c>
      <c r="B615">
        <f>Orders!B615</f>
        <v>45297</v>
      </c>
      <c r="C615">
        <f>Orders!I615</f>
        <v>2734.08</v>
      </c>
      <c r="D615" t="str">
        <f>Orders!E615</f>
        <v>R024</v>
      </c>
      <c r="E615" t="str">
        <f>IFERROR(VLOOKUP(Orders!D615,Products!$A$2:$C$61,3,FALSE),"Unknown")</f>
        <v>Sports</v>
      </c>
      <c r="F615" t="str">
        <f>IFERROR(VLOOKUP(Orders!C615,Customers!$A$2:$E$301,5,FALSE),"Unknown")</f>
        <v>SMB</v>
      </c>
      <c r="G615">
        <f>IFERROR(VLOOKUP(Orders!C615,Customers!$A$2:$C$301,3,FALSE),"")</f>
        <v>53</v>
      </c>
      <c r="H615" t="str">
        <f>VLOOKUP(D615,Sales_Reps!$A$2:$C$31,3,FALSE)</f>
        <v>West</v>
      </c>
      <c r="I615" s="44">
        <f t="shared" si="21"/>
        <v>45292</v>
      </c>
      <c r="L615" t="str">
        <f>Orders!K615</f>
        <v>Mumbai</v>
      </c>
      <c r="M615">
        <f>Orders!G615</f>
        <v>960</v>
      </c>
      <c r="N615">
        <f>IFERROR(VLOOKUP(Orders!D615,Products!$A$2:$D$61,4,FALSE),"")</f>
        <v>705</v>
      </c>
      <c r="O615">
        <f t="shared" si="22"/>
        <v>0.265625</v>
      </c>
      <c r="Q615" t="str">
        <f>Orders!D615</f>
        <v>PROD-057</v>
      </c>
    </row>
    <row r="616" spans="1:17" x14ac:dyDescent="0.3">
      <c r="A616" t="str">
        <f>Orders!A616</f>
        <v>ORD-00615</v>
      </c>
      <c r="B616">
        <f>Orders!B616</f>
        <v>45558</v>
      </c>
      <c r="C616">
        <f>Orders!I616</f>
        <v>16122.3</v>
      </c>
      <c r="D616" t="str">
        <f>Orders!E616</f>
        <v>R010</v>
      </c>
      <c r="E616" t="str">
        <f>IFERROR(VLOOKUP(Orders!D616,Products!$A$2:$C$61,3,FALSE),"Unknown")</f>
        <v>Grocery</v>
      </c>
      <c r="F616" t="str">
        <f>IFERROR(VLOOKUP(Orders!C616,Customers!$A$2:$E$301,5,FALSE),"Unknown")</f>
        <v>Retail</v>
      </c>
      <c r="G616">
        <f>IFERROR(VLOOKUP(Orders!C616,Customers!$A$2:$C$301,3,FALSE),"")</f>
        <v>65</v>
      </c>
      <c r="H616" t="str">
        <f>VLOOKUP(D616,Sales_Reps!$A$2:$C$31,3,FALSE)</f>
        <v>South</v>
      </c>
      <c r="I616" s="44">
        <f t="shared" si="21"/>
        <v>45536</v>
      </c>
      <c r="L616" t="str">
        <f>Orders!K616</f>
        <v>Pune</v>
      </c>
      <c r="M616">
        <f>Orders!G616</f>
        <v>3660</v>
      </c>
      <c r="N616">
        <f>IFERROR(VLOOKUP(Orders!D616,Products!$A$2:$D$61,4,FALSE),"")</f>
        <v>2214</v>
      </c>
      <c r="O616">
        <f t="shared" si="22"/>
        <v>0.39508196721311473</v>
      </c>
      <c r="Q616" t="str">
        <f>Orders!D616</f>
        <v>PROD-028</v>
      </c>
    </row>
    <row r="617" spans="1:17" x14ac:dyDescent="0.3">
      <c r="A617" t="str">
        <f>Orders!A617</f>
        <v>ORD-00616</v>
      </c>
      <c r="B617">
        <f>Orders!B617</f>
        <v>45487</v>
      </c>
      <c r="C617">
        <f>Orders!I617</f>
        <v>15636.6</v>
      </c>
      <c r="D617" t="str">
        <f>Orders!E617</f>
        <v>R019</v>
      </c>
      <c r="E617" t="str">
        <f>IFERROR(VLOOKUP(Orders!D617,Products!$A$2:$C$61,3,FALSE),"Unknown")</f>
        <v>Electronics</v>
      </c>
      <c r="F617" t="str">
        <f>IFERROR(VLOOKUP(Orders!C617,Customers!$A$2:$E$301,5,FALSE),"Unknown")</f>
        <v>SMB</v>
      </c>
      <c r="G617">
        <f>IFERROR(VLOOKUP(Orders!C617,Customers!$A$2:$C$301,3,FALSE),"")</f>
        <v>65</v>
      </c>
      <c r="H617" t="str">
        <f>VLOOKUP(D617,Sales_Reps!$A$2:$C$31,3,FALSE)</f>
        <v>East</v>
      </c>
      <c r="I617" s="44">
        <f t="shared" si="21"/>
        <v>45474</v>
      </c>
      <c r="L617" t="str">
        <f>Orders!K617</f>
        <v>Hyderabad</v>
      </c>
      <c r="M617">
        <f>Orders!G617</f>
        <v>3570</v>
      </c>
      <c r="N617">
        <f>IFERROR(VLOOKUP(Orders!D617,Products!$A$2:$D$61,4,FALSE),"")</f>
        <v>1665</v>
      </c>
      <c r="O617">
        <f t="shared" si="22"/>
        <v>0.53361344537815125</v>
      </c>
      <c r="Q617" t="str">
        <f>Orders!D617</f>
        <v>PROD-003</v>
      </c>
    </row>
    <row r="618" spans="1:17" x14ac:dyDescent="0.3">
      <c r="A618" t="str">
        <f>Orders!A618</f>
        <v>ORD-00617</v>
      </c>
      <c r="B618">
        <f>Orders!B618</f>
        <v>45307</v>
      </c>
      <c r="C618">
        <f>Orders!I618</f>
        <v>13994.82</v>
      </c>
      <c r="D618" t="str">
        <f>Orders!E618</f>
        <v>R017</v>
      </c>
      <c r="E618" t="str">
        <f>IFERROR(VLOOKUP(Orders!D618,Products!$A$2:$C$61,3,FALSE),"Unknown")</f>
        <v>Home</v>
      </c>
      <c r="F618" t="str">
        <f>IFERROR(VLOOKUP(Orders!C618,Customers!$A$2:$E$301,5,FALSE),"Unknown")</f>
        <v>Retail</v>
      </c>
      <c r="G618">
        <f>IFERROR(VLOOKUP(Orders!C618,Customers!$A$2:$C$301,3,FALSE),"")</f>
        <v>36</v>
      </c>
      <c r="H618" t="str">
        <f>VLOOKUP(D618,Sales_Reps!$A$2:$C$31,3,FALSE)</f>
        <v>East</v>
      </c>
      <c r="I618" s="44">
        <f t="shared" si="21"/>
        <v>45292</v>
      </c>
      <c r="L618" t="str">
        <f>Orders!K618</f>
        <v>Mumbai</v>
      </c>
      <c r="M618">
        <f>Orders!G618</f>
        <v>2030</v>
      </c>
      <c r="N618">
        <f>IFERROR(VLOOKUP(Orders!D618,Products!$A$2:$D$61,4,FALSE),"")</f>
        <v>1143</v>
      </c>
      <c r="O618">
        <f t="shared" si="22"/>
        <v>0.43694581280788175</v>
      </c>
      <c r="Q618" t="str">
        <f>Orders!D618</f>
        <v>PROD-033</v>
      </c>
    </row>
    <row r="619" spans="1:17" x14ac:dyDescent="0.3">
      <c r="A619" t="str">
        <f>Orders!A619</f>
        <v>ORD-00618</v>
      </c>
      <c r="B619">
        <f>Orders!B619</f>
        <v>45328</v>
      </c>
      <c r="C619">
        <f>Orders!I619</f>
        <v>16907.52</v>
      </c>
      <c r="D619" t="str">
        <f>Orders!E619</f>
        <v>R024</v>
      </c>
      <c r="E619" t="str">
        <f>IFERROR(VLOOKUP(Orders!D619,Products!$A$2:$C$61,3,FALSE),"Unknown")</f>
        <v>Apparel</v>
      </c>
      <c r="F619" t="str">
        <f>IFERROR(VLOOKUP(Orders!C619,Customers!$A$2:$E$301,5,FALSE),"Unknown")</f>
        <v>SMB</v>
      </c>
      <c r="G619">
        <f>IFERROR(VLOOKUP(Orders!C619,Customers!$A$2:$C$301,3,FALSE),"")</f>
        <v>44</v>
      </c>
      <c r="H619" t="str">
        <f>VLOOKUP(D619,Sales_Reps!$A$2:$C$31,3,FALSE)</f>
        <v>West</v>
      </c>
      <c r="I619" s="44">
        <f t="shared" si="21"/>
        <v>45323</v>
      </c>
      <c r="L619" t="str">
        <f>Orders!K619</f>
        <v>Pune</v>
      </c>
      <c r="M619">
        <f>Orders!G619</f>
        <v>2720</v>
      </c>
      <c r="N619">
        <f>IFERROR(VLOOKUP(Orders!D619,Products!$A$2:$D$61,4,FALSE),"")</f>
        <v>1962</v>
      </c>
      <c r="O619">
        <f t="shared" si="22"/>
        <v>0.2786764705882353</v>
      </c>
      <c r="Q619" t="str">
        <f>Orders!D619</f>
        <v>PROD-015</v>
      </c>
    </row>
    <row r="620" spans="1:17" x14ac:dyDescent="0.3">
      <c r="A620" t="str">
        <f>Orders!A620</f>
        <v>ORD-00619</v>
      </c>
      <c r="B620">
        <f>Orders!B620</f>
        <v>45627</v>
      </c>
      <c r="C620">
        <f>Orders!I620</f>
        <v>6704.46</v>
      </c>
      <c r="D620" t="str">
        <f>Orders!E620</f>
        <v>R008</v>
      </c>
      <c r="E620" t="str">
        <f>IFERROR(VLOOKUP(Orders!D620,Products!$A$2:$C$61,3,FALSE),"Unknown")</f>
        <v>Electronics</v>
      </c>
      <c r="F620" t="str">
        <f>IFERROR(VLOOKUP(Orders!C620,Customers!$A$2:$E$301,5,FALSE),"Unknown")</f>
        <v>Retail</v>
      </c>
      <c r="G620">
        <f>IFERROR(VLOOKUP(Orders!C620,Customers!$A$2:$C$301,3,FALSE),"")</f>
        <v>56</v>
      </c>
      <c r="H620" t="str">
        <f>VLOOKUP(D620,Sales_Reps!$A$2:$C$31,3,FALSE)</f>
        <v>North</v>
      </c>
      <c r="I620" s="44">
        <f t="shared" si="21"/>
        <v>45627</v>
      </c>
      <c r="L620" t="str">
        <f>Orders!K620</f>
        <v>Mumbai</v>
      </c>
      <c r="M620">
        <f>Orders!G620</f>
        <v>3570</v>
      </c>
      <c r="N620">
        <f>IFERROR(VLOOKUP(Orders!D620,Products!$A$2:$D$61,4,FALSE),"")</f>
        <v>1665</v>
      </c>
      <c r="O620">
        <f t="shared" si="22"/>
        <v>0.53361344537815125</v>
      </c>
      <c r="Q620" t="str">
        <f>Orders!D620</f>
        <v>PROD-003</v>
      </c>
    </row>
    <row r="621" spans="1:17" x14ac:dyDescent="0.3">
      <c r="A621" t="str">
        <f>Orders!A621</f>
        <v>ORD-00620</v>
      </c>
      <c r="B621">
        <f>Orders!B621</f>
        <v>45574</v>
      </c>
      <c r="C621">
        <f>Orders!I621</f>
        <v>10068</v>
      </c>
      <c r="D621" t="str">
        <f>Orders!E621</f>
        <v>R001</v>
      </c>
      <c r="E621" t="str">
        <f>IFERROR(VLOOKUP(Orders!D621,Products!$A$2:$C$61,3,FALSE),"Unknown")</f>
        <v>Sports</v>
      </c>
      <c r="F621" t="str">
        <f>IFERROR(VLOOKUP(Orders!C621,Customers!$A$2:$E$301,5,FALSE),"Unknown")</f>
        <v>Retail</v>
      </c>
      <c r="G621">
        <f>IFERROR(VLOOKUP(Orders!C621,Customers!$A$2:$C$301,3,FALSE),"")</f>
        <v>36</v>
      </c>
      <c r="H621" t="str">
        <f>VLOOKUP(D621,Sales_Reps!$A$2:$C$31,3,FALSE)</f>
        <v>North</v>
      </c>
      <c r="I621" s="44">
        <f t="shared" si="21"/>
        <v>45566</v>
      </c>
      <c r="L621" t="str">
        <f>Orders!K621</f>
        <v>Pune</v>
      </c>
      <c r="M621">
        <f>Orders!G621</f>
        <v>2400</v>
      </c>
      <c r="N621">
        <f>IFERROR(VLOOKUP(Orders!D621,Products!$A$2:$D$61,4,FALSE),"")</f>
        <v>974</v>
      </c>
      <c r="O621">
        <f t="shared" si="22"/>
        <v>0.59416666666666662</v>
      </c>
      <c r="Q621" t="str">
        <f>Orders!D621</f>
        <v>PROD-058</v>
      </c>
    </row>
    <row r="622" spans="1:17" x14ac:dyDescent="0.3">
      <c r="A622" t="str">
        <f>Orders!A622</f>
        <v>ORD-00621</v>
      </c>
      <c r="B622">
        <f>Orders!B622</f>
        <v>45592</v>
      </c>
      <c r="C622">
        <f>Orders!I622</f>
        <v>6583</v>
      </c>
      <c r="D622" t="str">
        <f>Orders!E622</f>
        <v>R002</v>
      </c>
      <c r="E622" t="str">
        <f>IFERROR(VLOOKUP(Orders!D622,Products!$A$2:$C$61,3,FALSE),"Unknown")</f>
        <v>Grocery</v>
      </c>
      <c r="F622" t="str">
        <f>IFERROR(VLOOKUP(Orders!C622,Customers!$A$2:$E$301,5,FALSE),"Unknown")</f>
        <v>SMB</v>
      </c>
      <c r="G622">
        <f>IFERROR(VLOOKUP(Orders!C622,Customers!$A$2:$C$301,3,FALSE),"")</f>
        <v>53</v>
      </c>
      <c r="H622" t="str">
        <f>VLOOKUP(D622,Sales_Reps!$A$2:$C$31,3,FALSE)</f>
        <v>North</v>
      </c>
      <c r="I622" s="44">
        <f t="shared" si="21"/>
        <v>45566</v>
      </c>
      <c r="L622" t="str">
        <f>Orders!K622</f>
        <v>Mumbai</v>
      </c>
      <c r="M622">
        <f>Orders!G622</f>
        <v>2270</v>
      </c>
      <c r="N622">
        <f>IFERROR(VLOOKUP(Orders!D622,Products!$A$2:$D$61,4,FALSE),"")</f>
        <v>1203</v>
      </c>
      <c r="O622">
        <f t="shared" si="22"/>
        <v>0.47004405286343615</v>
      </c>
      <c r="Q622" t="str">
        <f>Orders!D622</f>
        <v>PROD-024</v>
      </c>
    </row>
    <row r="623" spans="1:17" x14ac:dyDescent="0.3">
      <c r="A623" t="str">
        <f>Orders!A623</f>
        <v>ORD-00622</v>
      </c>
      <c r="B623">
        <f>Orders!B623</f>
        <v>45509</v>
      </c>
      <c r="C623">
        <f>Orders!I623</f>
        <v>846.81</v>
      </c>
      <c r="D623" t="str">
        <f>Orders!E623</f>
        <v>R012</v>
      </c>
      <c r="E623" t="str">
        <f>IFERROR(VLOOKUP(Orders!D623,Products!$A$2:$C$61,3,FALSE),"Unknown")</f>
        <v>Grocery</v>
      </c>
      <c r="F623" t="str">
        <f>IFERROR(VLOOKUP(Orders!C623,Customers!$A$2:$E$301,5,FALSE),"Unknown")</f>
        <v>Corporate</v>
      </c>
      <c r="G623">
        <f>IFERROR(VLOOKUP(Orders!C623,Customers!$A$2:$C$301,3,FALSE),"")</f>
        <v>46</v>
      </c>
      <c r="H623" t="str">
        <f>VLOOKUP(D623,Sales_Reps!$A$2:$C$31,3,FALSE)</f>
        <v>South</v>
      </c>
      <c r="I623" s="44">
        <f t="shared" si="21"/>
        <v>45505</v>
      </c>
      <c r="L623" t="str">
        <f>Orders!K623</f>
        <v>Delhi</v>
      </c>
      <c r="M623">
        <f>Orders!G623</f>
        <v>970</v>
      </c>
      <c r="N623">
        <f>IFERROR(VLOOKUP(Orders!D623,Products!$A$2:$D$61,4,FALSE),"")</f>
        <v>434</v>
      </c>
      <c r="O623">
        <f t="shared" si="22"/>
        <v>0.5525773195876289</v>
      </c>
      <c r="Q623" t="str">
        <f>Orders!D623</f>
        <v>PROD-030</v>
      </c>
    </row>
    <row r="624" spans="1:17" x14ac:dyDescent="0.3">
      <c r="A624" t="str">
        <f>Orders!A624</f>
        <v>ORD-00623</v>
      </c>
      <c r="B624">
        <f>Orders!B624</f>
        <v>45307</v>
      </c>
      <c r="C624">
        <f>Orders!I624</f>
        <v>29078.6</v>
      </c>
      <c r="D624" t="str">
        <f>Orders!E624</f>
        <v>R018</v>
      </c>
      <c r="E624" t="str">
        <f>IFERROR(VLOOKUP(Orders!D624,Products!$A$2:$C$61,3,FALSE),"Unknown")</f>
        <v>Sports</v>
      </c>
      <c r="F624" t="str">
        <f>IFERROR(VLOOKUP(Orders!C624,Customers!$A$2:$E$301,5,FALSE),"Unknown")</f>
        <v>SMB</v>
      </c>
      <c r="G624">
        <f>IFERROR(VLOOKUP(Orders!C624,Customers!$A$2:$C$301,3,FALSE),"")</f>
        <v>43</v>
      </c>
      <c r="H624" t="str">
        <f>VLOOKUP(D624,Sales_Reps!$A$2:$C$31,3,FALSE)</f>
        <v>East</v>
      </c>
      <c r="I624" s="44">
        <f t="shared" si="21"/>
        <v>45292</v>
      </c>
      <c r="L624" t="str">
        <f>Orders!K624</f>
        <v>Bengaluru</v>
      </c>
      <c r="M624">
        <f>Orders!G624</f>
        <v>6940</v>
      </c>
      <c r="N624">
        <f>IFERROR(VLOOKUP(Orders!D624,Products!$A$2:$D$61,4,FALSE),"")</f>
        <v>2827</v>
      </c>
      <c r="O624">
        <f t="shared" si="22"/>
        <v>0.5926512968299712</v>
      </c>
      <c r="Q624" t="str">
        <f>Orders!D624</f>
        <v>PROD-056</v>
      </c>
    </row>
    <row r="625" spans="1:17" x14ac:dyDescent="0.3">
      <c r="A625" t="str">
        <f>Orders!A625</f>
        <v>ORD-00624</v>
      </c>
      <c r="B625">
        <f>Orders!B625</f>
        <v>45586</v>
      </c>
      <c r="C625">
        <f>Orders!I625</f>
        <v>23568.240000000002</v>
      </c>
      <c r="D625" t="str">
        <f>Orders!E625</f>
        <v>R009</v>
      </c>
      <c r="E625" t="str">
        <f>IFERROR(VLOOKUP(Orders!D625,Products!$A$2:$C$61,3,FALSE),"Unknown")</f>
        <v>Sports</v>
      </c>
      <c r="F625" t="str">
        <f>IFERROR(VLOOKUP(Orders!C625,Customers!$A$2:$E$301,5,FALSE),"Unknown")</f>
        <v>Retail</v>
      </c>
      <c r="G625">
        <f>IFERROR(VLOOKUP(Orders!C625,Customers!$A$2:$C$301,3,FALSE),"")</f>
        <v>53</v>
      </c>
      <c r="H625" t="str">
        <f>VLOOKUP(D625,Sales_Reps!$A$2:$C$31,3,FALSE)</f>
        <v>South</v>
      </c>
      <c r="I625" s="44">
        <f t="shared" si="21"/>
        <v>45566</v>
      </c>
      <c r="L625" t="str">
        <f>Orders!K625</f>
        <v>Hyderabad</v>
      </c>
      <c r="M625">
        <f>Orders!G625</f>
        <v>6940</v>
      </c>
      <c r="N625">
        <f>IFERROR(VLOOKUP(Orders!D625,Products!$A$2:$D$61,4,FALSE),"")</f>
        <v>2827</v>
      </c>
      <c r="O625">
        <f t="shared" si="22"/>
        <v>0.5926512968299712</v>
      </c>
      <c r="Q625" t="str">
        <f>Orders!D625</f>
        <v>PROD-056</v>
      </c>
    </row>
    <row r="626" spans="1:17" x14ac:dyDescent="0.3">
      <c r="A626" t="str">
        <f>Orders!A626</f>
        <v>ORD-00625</v>
      </c>
      <c r="B626">
        <f>Orders!B626</f>
        <v>45587</v>
      </c>
      <c r="C626">
        <f>Orders!I626</f>
        <v>992.83</v>
      </c>
      <c r="D626" t="str">
        <f>Orders!E626</f>
        <v>R006</v>
      </c>
      <c r="E626" t="str">
        <f>IFERROR(VLOOKUP(Orders!D626,Products!$A$2:$C$61,3,FALSE),"Unknown")</f>
        <v>Sports</v>
      </c>
      <c r="F626" t="str">
        <f>IFERROR(VLOOKUP(Orders!C626,Customers!$A$2:$E$301,5,FALSE),"Unknown")</f>
        <v>Retail</v>
      </c>
      <c r="G626">
        <f>IFERROR(VLOOKUP(Orders!C626,Customers!$A$2:$C$301,3,FALSE),"")</f>
        <v>25</v>
      </c>
      <c r="H626" t="str">
        <f>VLOOKUP(D626,Sales_Reps!$A$2:$C$31,3,FALSE)</f>
        <v>North</v>
      </c>
      <c r="I626" s="44">
        <f t="shared" si="21"/>
        <v>45566</v>
      </c>
      <c r="L626" t="str">
        <f>Orders!K626</f>
        <v>Pune</v>
      </c>
      <c r="M626">
        <f>Orders!G626</f>
        <v>1010</v>
      </c>
      <c r="N626">
        <f>IFERROR(VLOOKUP(Orders!D626,Products!$A$2:$D$61,4,FALSE),"")</f>
        <v>516</v>
      </c>
      <c r="O626">
        <f t="shared" si="22"/>
        <v>0.4891089108910891</v>
      </c>
      <c r="Q626" t="str">
        <f>Orders!D626</f>
        <v>PROD-054</v>
      </c>
    </row>
    <row r="627" spans="1:17" x14ac:dyDescent="0.3">
      <c r="A627" t="str">
        <f>Orders!A627</f>
        <v>ORD-00626</v>
      </c>
      <c r="B627">
        <f>Orders!B627</f>
        <v>45609</v>
      </c>
      <c r="C627">
        <f>Orders!I627</f>
        <v>20387.16</v>
      </c>
      <c r="D627" t="str">
        <f>Orders!E627</f>
        <v>R007</v>
      </c>
      <c r="E627" t="str">
        <f>IFERROR(VLOOKUP(Orders!D627,Products!$A$2:$C$61,3,FALSE),"Unknown")</f>
        <v>Electronics</v>
      </c>
      <c r="F627" t="str">
        <f>IFERROR(VLOOKUP(Orders!C627,Customers!$A$2:$E$301,5,FALSE),"Unknown")</f>
        <v>Retail</v>
      </c>
      <c r="G627">
        <f>IFERROR(VLOOKUP(Orders!C627,Customers!$A$2:$C$301,3,FALSE),"")</f>
        <v>35</v>
      </c>
      <c r="H627" t="str">
        <f>VLOOKUP(D627,Sales_Reps!$A$2:$C$31,3,FALSE)</f>
        <v>North</v>
      </c>
      <c r="I627" s="44">
        <f t="shared" si="21"/>
        <v>45597</v>
      </c>
      <c r="L627" t="str">
        <f>Orders!K627</f>
        <v>Delhi</v>
      </c>
      <c r="M627">
        <f>Orders!G627</f>
        <v>3870</v>
      </c>
      <c r="N627">
        <f>IFERROR(VLOOKUP(Orders!D627,Products!$A$2:$D$61,4,FALSE),"")</f>
        <v>1559</v>
      </c>
      <c r="O627">
        <f t="shared" si="22"/>
        <v>0.59715762273901807</v>
      </c>
      <c r="Q627" t="str">
        <f>Orders!D627</f>
        <v>PROD-004</v>
      </c>
    </row>
    <row r="628" spans="1:17" x14ac:dyDescent="0.3">
      <c r="A628" t="str">
        <f>Orders!A628</f>
        <v>ORD-00627</v>
      </c>
      <c r="B628">
        <f>Orders!B628</f>
        <v>45316</v>
      </c>
      <c r="C628">
        <f>Orders!I628</f>
        <v>33782.400000000001</v>
      </c>
      <c r="D628" t="str">
        <f>Orders!E628</f>
        <v>R011</v>
      </c>
      <c r="E628" t="str">
        <f>IFERROR(VLOOKUP(Orders!D628,Products!$A$2:$C$61,3,FALSE),"Unknown")</f>
        <v>Beauty</v>
      </c>
      <c r="F628" t="str">
        <f>IFERROR(VLOOKUP(Orders!C628,Customers!$A$2:$E$301,5,FALSE),"Unknown")</f>
        <v>SMB</v>
      </c>
      <c r="G628">
        <f>IFERROR(VLOOKUP(Orders!C628,Customers!$A$2:$C$301,3,FALSE),"")</f>
        <v>48</v>
      </c>
      <c r="H628" t="str">
        <f>VLOOKUP(D628,Sales_Reps!$A$2:$C$31,3,FALSE)</f>
        <v>South</v>
      </c>
      <c r="I628" s="44">
        <f t="shared" si="21"/>
        <v>45292</v>
      </c>
      <c r="L628" t="str">
        <f>Orders!K628</f>
        <v>Hyderabad</v>
      </c>
      <c r="M628">
        <f>Orders!G628</f>
        <v>5100</v>
      </c>
      <c r="N628">
        <f>IFERROR(VLOOKUP(Orders!D628,Products!$A$2:$D$61,4,FALSE),"")</f>
        <v>2237</v>
      </c>
      <c r="O628">
        <f t="shared" si="22"/>
        <v>0.56137254901960787</v>
      </c>
      <c r="Q628" t="str">
        <f>Orders!D628</f>
        <v>PROD-048</v>
      </c>
    </row>
    <row r="629" spans="1:17" x14ac:dyDescent="0.3">
      <c r="A629" t="str">
        <f>Orders!A629</f>
        <v>ORD-00628</v>
      </c>
      <c r="B629">
        <f>Orders!B629</f>
        <v>45451</v>
      </c>
      <c r="C629">
        <f>Orders!I629</f>
        <v>5473.12</v>
      </c>
      <c r="D629" t="str">
        <f>Orders!E629</f>
        <v>R008</v>
      </c>
      <c r="E629" t="str">
        <f>IFERROR(VLOOKUP(Orders!D629,Products!$A$2:$C$61,3,FALSE),"Unknown")</f>
        <v>Apparel</v>
      </c>
      <c r="F629" t="str">
        <f>IFERROR(VLOOKUP(Orders!C629,Customers!$A$2:$E$301,5,FALSE),"Unknown")</f>
        <v>Retail</v>
      </c>
      <c r="G629">
        <f>IFERROR(VLOOKUP(Orders!C629,Customers!$A$2:$C$301,3,FALSE),"")</f>
        <v>65</v>
      </c>
      <c r="H629" t="str">
        <f>VLOOKUP(D629,Sales_Reps!$A$2:$C$31,3,FALSE)</f>
        <v>North</v>
      </c>
      <c r="I629" s="44">
        <f t="shared" si="21"/>
        <v>45444</v>
      </c>
      <c r="L629" t="str">
        <f>Orders!K629</f>
        <v>Pune</v>
      </c>
      <c r="M629">
        <f>Orders!G629</f>
        <v>3160</v>
      </c>
      <c r="N629">
        <f>IFERROR(VLOOKUP(Orders!D629,Products!$A$2:$D$61,4,FALSE),"")</f>
        <v>1886</v>
      </c>
      <c r="O629">
        <f t="shared" si="22"/>
        <v>0.4031645569620253</v>
      </c>
      <c r="Q629" t="str">
        <f>Orders!D629</f>
        <v>PROD-012</v>
      </c>
    </row>
    <row r="630" spans="1:17" x14ac:dyDescent="0.3">
      <c r="A630" t="str">
        <f>Orders!A630</f>
        <v>ORD-00629</v>
      </c>
      <c r="B630">
        <f>Orders!B630</f>
        <v>45554</v>
      </c>
      <c r="C630">
        <f>Orders!I630</f>
        <v>13083.2</v>
      </c>
      <c r="D630" t="str">
        <f>Orders!E630</f>
        <v>R011</v>
      </c>
      <c r="E630" t="str">
        <f>IFERROR(VLOOKUP(Orders!D630,Products!$A$2:$C$61,3,FALSE),"Unknown")</f>
        <v>Grocery</v>
      </c>
      <c r="F630" t="str">
        <f>IFERROR(VLOOKUP(Orders!C630,Customers!$A$2:$E$301,5,FALSE),"Unknown")</f>
        <v>SMB</v>
      </c>
      <c r="G630">
        <f>IFERROR(VLOOKUP(Orders!C630,Customers!$A$2:$C$301,3,FALSE),"")</f>
        <v>47</v>
      </c>
      <c r="H630" t="str">
        <f>VLOOKUP(D630,Sales_Reps!$A$2:$C$31,3,FALSE)</f>
        <v>South</v>
      </c>
      <c r="I630" s="44">
        <f t="shared" si="21"/>
        <v>45536</v>
      </c>
      <c r="L630" t="str">
        <f>Orders!K630</f>
        <v>Mumbai</v>
      </c>
      <c r="M630">
        <f>Orders!G630</f>
        <v>2210</v>
      </c>
      <c r="N630">
        <f>IFERROR(VLOOKUP(Orders!D630,Products!$A$2:$D$61,4,FALSE),"")</f>
        <v>1010</v>
      </c>
      <c r="O630">
        <f t="shared" si="22"/>
        <v>0.54298642533936647</v>
      </c>
      <c r="Q630" t="str">
        <f>Orders!D630</f>
        <v>PROD-029</v>
      </c>
    </row>
    <row r="631" spans="1:17" x14ac:dyDescent="0.3">
      <c r="A631" t="str">
        <f>Orders!A631</f>
        <v>ORD-00630</v>
      </c>
      <c r="B631">
        <f>Orders!B631</f>
        <v>45567</v>
      </c>
      <c r="C631">
        <f>Orders!I631</f>
        <v>15130</v>
      </c>
      <c r="D631" t="str">
        <f>Orders!E631</f>
        <v>R026</v>
      </c>
      <c r="E631" t="str">
        <f>IFERROR(VLOOKUP(Orders!D631,Products!$A$2:$C$61,3,FALSE),"Unknown")</f>
        <v>Apparel</v>
      </c>
      <c r="F631" t="str">
        <f>IFERROR(VLOOKUP(Orders!C631,Customers!$A$2:$E$301,5,FALSE),"Unknown")</f>
        <v>SMB</v>
      </c>
      <c r="G631">
        <f>IFERROR(VLOOKUP(Orders!C631,Customers!$A$2:$C$301,3,FALSE),"")</f>
        <v>53</v>
      </c>
      <c r="H631" t="str">
        <f>VLOOKUP(D631,Sales_Reps!$A$2:$C$31,3,FALSE)</f>
        <v>West</v>
      </c>
      <c r="I631" s="44">
        <f t="shared" si="21"/>
        <v>45566</v>
      </c>
      <c r="L631" t="str">
        <f>Orders!K631</f>
        <v>Delhi</v>
      </c>
      <c r="M631">
        <f>Orders!G631</f>
        <v>3560</v>
      </c>
      <c r="N631">
        <f>IFERROR(VLOOKUP(Orders!D631,Products!$A$2:$D$61,4,FALSE),"")</f>
        <v>2629</v>
      </c>
      <c r="O631">
        <f t="shared" si="22"/>
        <v>0.26151685393258428</v>
      </c>
      <c r="Q631" t="str">
        <f>Orders!D631</f>
        <v>PROD-018</v>
      </c>
    </row>
    <row r="632" spans="1:17" x14ac:dyDescent="0.3">
      <c r="A632" t="str">
        <f>Orders!A632</f>
        <v>ORD-00631</v>
      </c>
      <c r="B632">
        <f>Orders!B632</f>
        <v>45633</v>
      </c>
      <c r="C632">
        <f>Orders!I632</f>
        <v>5220.3999999999996</v>
      </c>
      <c r="D632" t="str">
        <f>Orders!E632</f>
        <v>R010</v>
      </c>
      <c r="E632" t="str">
        <f>IFERROR(VLOOKUP(Orders!D632,Products!$A$2:$C$61,3,FALSE),"Unknown")</f>
        <v>Apparel</v>
      </c>
      <c r="F632" t="str">
        <f>IFERROR(VLOOKUP(Orders!C632,Customers!$A$2:$E$301,5,FALSE),"Unknown")</f>
        <v>Retail</v>
      </c>
      <c r="G632">
        <f>IFERROR(VLOOKUP(Orders!C632,Customers!$A$2:$C$301,3,FALSE),"")</f>
        <v>27</v>
      </c>
      <c r="H632" t="str">
        <f>VLOOKUP(D632,Sales_Reps!$A$2:$C$31,3,FALSE)</f>
        <v>South</v>
      </c>
      <c r="I632" s="44">
        <f t="shared" si="21"/>
        <v>45627</v>
      </c>
      <c r="L632" t="str">
        <f>Orders!K632</f>
        <v>Bengaluru</v>
      </c>
      <c r="M632">
        <f>Orders!G632</f>
        <v>620</v>
      </c>
      <c r="N632">
        <f>IFERROR(VLOOKUP(Orders!D632,Products!$A$2:$D$61,4,FALSE),"")</f>
        <v>396</v>
      </c>
      <c r="O632">
        <f t="shared" si="22"/>
        <v>0.36129032258064514</v>
      </c>
      <c r="Q632" t="str">
        <f>Orders!D632</f>
        <v>PROD-016</v>
      </c>
    </row>
    <row r="633" spans="1:17" x14ac:dyDescent="0.3">
      <c r="A633" t="str">
        <f>Orders!A633</f>
        <v>ORD-00632</v>
      </c>
      <c r="B633">
        <f>Orders!B633</f>
        <v>45588</v>
      </c>
      <c r="C633">
        <f>Orders!I633</f>
        <v>8122.68</v>
      </c>
      <c r="D633" t="str">
        <f>Orders!E633</f>
        <v>R002</v>
      </c>
      <c r="E633" t="str">
        <f>IFERROR(VLOOKUP(Orders!D633,Products!$A$2:$C$61,3,FALSE),"Unknown")</f>
        <v>Grocery</v>
      </c>
      <c r="F633" t="str">
        <f>IFERROR(VLOOKUP(Orders!C633,Customers!$A$2:$E$301,5,FALSE),"Unknown")</f>
        <v>Retail</v>
      </c>
      <c r="G633">
        <f>IFERROR(VLOOKUP(Orders!C633,Customers!$A$2:$C$301,3,FALSE),"")</f>
        <v>65</v>
      </c>
      <c r="H633" t="str">
        <f>VLOOKUP(D633,Sales_Reps!$A$2:$C$31,3,FALSE)</f>
        <v>North</v>
      </c>
      <c r="I633" s="44">
        <f t="shared" si="21"/>
        <v>45566</v>
      </c>
      <c r="L633" t="str">
        <f>Orders!K633</f>
        <v>Mumbai</v>
      </c>
      <c r="M633">
        <f>Orders!G633</f>
        <v>2760</v>
      </c>
      <c r="N633">
        <f>IFERROR(VLOOKUP(Orders!D633,Products!$A$2:$D$61,4,FALSE),"")</f>
        <v>1435</v>
      </c>
      <c r="O633">
        <f t="shared" si="22"/>
        <v>0.48007246376811596</v>
      </c>
      <c r="Q633" t="str">
        <f>Orders!D633</f>
        <v>PROD-021</v>
      </c>
    </row>
    <row r="634" spans="1:17" x14ac:dyDescent="0.3">
      <c r="A634" t="str">
        <f>Orders!A634</f>
        <v>ORD-00633</v>
      </c>
      <c r="B634">
        <f>Orders!B634</f>
        <v>45634</v>
      </c>
      <c r="C634">
        <f>Orders!I634</f>
        <v>7181.1</v>
      </c>
      <c r="D634" t="str">
        <f>Orders!E634</f>
        <v>R005</v>
      </c>
      <c r="E634" t="str">
        <f>IFERROR(VLOOKUP(Orders!D634,Products!$A$2:$C$61,3,FALSE),"Unknown")</f>
        <v>Sports</v>
      </c>
      <c r="F634" t="str">
        <f>IFERROR(VLOOKUP(Orders!C634,Customers!$A$2:$E$301,5,FALSE),"Unknown")</f>
        <v>SMB</v>
      </c>
      <c r="G634">
        <f>IFERROR(VLOOKUP(Orders!C634,Customers!$A$2:$C$301,3,FALSE),"")</f>
        <v>50</v>
      </c>
      <c r="H634" t="str">
        <f>VLOOKUP(D634,Sales_Reps!$A$2:$C$31,3,FALSE)</f>
        <v>North</v>
      </c>
      <c r="I634" s="44">
        <f t="shared" si="21"/>
        <v>45627</v>
      </c>
      <c r="L634" t="str">
        <f>Orders!K634</f>
        <v>Delhi</v>
      </c>
      <c r="M634">
        <f>Orders!G634</f>
        <v>1010</v>
      </c>
      <c r="N634">
        <f>IFERROR(VLOOKUP(Orders!D634,Products!$A$2:$D$61,4,FALSE),"")</f>
        <v>516</v>
      </c>
      <c r="O634">
        <f t="shared" si="22"/>
        <v>0.4891089108910891</v>
      </c>
      <c r="Q634" t="str">
        <f>Orders!D634</f>
        <v>PROD-054</v>
      </c>
    </row>
    <row r="635" spans="1:17" x14ac:dyDescent="0.3">
      <c r="A635" t="str">
        <f>Orders!A635</f>
        <v>ORD-00634</v>
      </c>
      <c r="B635">
        <f>Orders!B635</f>
        <v>45352</v>
      </c>
      <c r="C635">
        <f>Orders!I635</f>
        <v>3286.92</v>
      </c>
      <c r="D635" t="str">
        <f>Orders!E635</f>
        <v>R002</v>
      </c>
      <c r="E635" t="str">
        <f>IFERROR(VLOOKUP(Orders!D635,Products!$A$2:$C$61,3,FALSE),"Unknown")</f>
        <v>Apparel</v>
      </c>
      <c r="F635" t="str">
        <f>IFERROR(VLOOKUP(Orders!C635,Customers!$A$2:$E$301,5,FALSE),"Unknown")</f>
        <v>SMB</v>
      </c>
      <c r="G635">
        <f>IFERROR(VLOOKUP(Orders!C635,Customers!$A$2:$C$301,3,FALSE),"")</f>
        <v>40</v>
      </c>
      <c r="H635" t="str">
        <f>VLOOKUP(D635,Sales_Reps!$A$2:$C$31,3,FALSE)</f>
        <v>North</v>
      </c>
      <c r="I635" s="44">
        <f t="shared" si="21"/>
        <v>45352</v>
      </c>
      <c r="L635" t="str">
        <f>Orders!K635</f>
        <v>Hyderabad</v>
      </c>
      <c r="M635">
        <f>Orders!G635</f>
        <v>3640</v>
      </c>
      <c r="N635">
        <f>IFERROR(VLOOKUP(Orders!D635,Products!$A$2:$D$61,4,FALSE),"")</f>
        <v>2611</v>
      </c>
      <c r="O635">
        <f t="shared" si="22"/>
        <v>0.28269230769230769</v>
      </c>
      <c r="Q635" t="str">
        <f>Orders!D635</f>
        <v>PROD-013</v>
      </c>
    </row>
    <row r="636" spans="1:17" x14ac:dyDescent="0.3">
      <c r="A636" t="str">
        <f>Orders!A636</f>
        <v>ORD-00635</v>
      </c>
      <c r="B636">
        <f>Orders!B636</f>
        <v>45489</v>
      </c>
      <c r="C636">
        <f>Orders!I636</f>
        <v>697</v>
      </c>
      <c r="D636" t="str">
        <f>Orders!E636</f>
        <v>R010</v>
      </c>
      <c r="E636" t="str">
        <f>IFERROR(VLOOKUP(Orders!D636,Products!$A$2:$C$61,3,FALSE),"Unknown")</f>
        <v>Apparel</v>
      </c>
      <c r="F636" t="str">
        <f>IFERROR(VLOOKUP(Orders!C636,Customers!$A$2:$E$301,5,FALSE),"Unknown")</f>
        <v>SMB</v>
      </c>
      <c r="G636">
        <f>IFERROR(VLOOKUP(Orders!C636,Customers!$A$2:$C$301,3,FALSE),"")</f>
        <v>52</v>
      </c>
      <c r="H636" t="str">
        <f>VLOOKUP(D636,Sales_Reps!$A$2:$C$31,3,FALSE)</f>
        <v>South</v>
      </c>
      <c r="I636" s="44">
        <f t="shared" si="21"/>
        <v>45474</v>
      </c>
      <c r="L636" t="str">
        <f>Orders!K636</f>
        <v>Chennai</v>
      </c>
      <c r="M636">
        <f>Orders!G636</f>
        <v>820</v>
      </c>
      <c r="N636">
        <f>IFERROR(VLOOKUP(Orders!D636,Products!$A$2:$D$61,4,FALSE),"")</f>
        <v>391</v>
      </c>
      <c r="O636">
        <f t="shared" si="22"/>
        <v>0.52317073170731709</v>
      </c>
      <c r="Q636" t="str">
        <f>Orders!D636</f>
        <v>PROD-020</v>
      </c>
    </row>
    <row r="637" spans="1:17" x14ac:dyDescent="0.3">
      <c r="A637" t="str">
        <f>Orders!A637</f>
        <v>ORD-00636</v>
      </c>
      <c r="B637">
        <f>Orders!B637</f>
        <v>45342</v>
      </c>
      <c r="C637">
        <f>Orders!I637</f>
        <v>12084.8</v>
      </c>
      <c r="D637" t="str">
        <f>Orders!E637</f>
        <v>R011</v>
      </c>
      <c r="E637" t="str">
        <f>IFERROR(VLOOKUP(Orders!D637,Products!$A$2:$C$61,3,FALSE),"Unknown")</f>
        <v>Apparel</v>
      </c>
      <c r="F637" t="str">
        <f>IFERROR(VLOOKUP(Orders!C637,Customers!$A$2:$E$301,5,FALSE),"Unknown")</f>
        <v>Retail</v>
      </c>
      <c r="G637">
        <f>IFERROR(VLOOKUP(Orders!C637,Customers!$A$2:$C$301,3,FALSE),"")</f>
        <v>49</v>
      </c>
      <c r="H637" t="str">
        <f>VLOOKUP(D637,Sales_Reps!$A$2:$C$31,3,FALSE)</f>
        <v>South</v>
      </c>
      <c r="I637" s="44">
        <f t="shared" si="21"/>
        <v>45323</v>
      </c>
      <c r="L637" t="str">
        <f>Orders!K637</f>
        <v>Chennai</v>
      </c>
      <c r="M637">
        <f>Orders!G637</f>
        <v>3640</v>
      </c>
      <c r="N637">
        <f>IFERROR(VLOOKUP(Orders!D637,Products!$A$2:$D$61,4,FALSE),"")</f>
        <v>2611</v>
      </c>
      <c r="O637">
        <f t="shared" si="22"/>
        <v>0.28269230769230769</v>
      </c>
      <c r="Q637" t="str">
        <f>Orders!D637</f>
        <v>PROD-013</v>
      </c>
    </row>
    <row r="638" spans="1:17" x14ac:dyDescent="0.3">
      <c r="A638" t="str">
        <f>Orders!A638</f>
        <v>ORD-00637</v>
      </c>
      <c r="B638">
        <f>Orders!B638</f>
        <v>45425</v>
      </c>
      <c r="C638">
        <f>Orders!I638</f>
        <v>12411.7</v>
      </c>
      <c r="D638" t="str">
        <f>Orders!E638</f>
        <v>R002</v>
      </c>
      <c r="E638" t="str">
        <f>IFERROR(VLOOKUP(Orders!D638,Products!$A$2:$C$61,3,FALSE),"Unknown")</f>
        <v>Grocery</v>
      </c>
      <c r="F638" t="str">
        <f>IFERROR(VLOOKUP(Orders!C638,Customers!$A$2:$E$301,5,FALSE),"Unknown")</f>
        <v>Corporate</v>
      </c>
      <c r="G638">
        <f>IFERROR(VLOOKUP(Orders!C638,Customers!$A$2:$C$301,3,FALSE),"")</f>
        <v>42</v>
      </c>
      <c r="H638" t="str">
        <f>VLOOKUP(D638,Sales_Reps!$A$2:$C$31,3,FALSE)</f>
        <v>North</v>
      </c>
      <c r="I638" s="44">
        <f t="shared" si="21"/>
        <v>45413</v>
      </c>
      <c r="L638" t="str">
        <f>Orders!K638</f>
        <v>Pune</v>
      </c>
      <c r="M638">
        <f>Orders!G638</f>
        <v>2380</v>
      </c>
      <c r="N638">
        <f>IFERROR(VLOOKUP(Orders!D638,Products!$A$2:$D$61,4,FALSE),"")</f>
        <v>1182</v>
      </c>
      <c r="O638">
        <f t="shared" si="22"/>
        <v>0.50336134453781511</v>
      </c>
      <c r="Q638" t="str">
        <f>Orders!D638</f>
        <v>PROD-023</v>
      </c>
    </row>
    <row r="639" spans="1:17" x14ac:dyDescent="0.3">
      <c r="A639" t="str">
        <f>Orders!A639</f>
        <v>ORD-00638</v>
      </c>
      <c r="B639">
        <f>Orders!B639</f>
        <v>45598</v>
      </c>
      <c r="C639">
        <f>Orders!I639</f>
        <v>643.5</v>
      </c>
      <c r="D639" t="str">
        <f>Orders!E639</f>
        <v>R008</v>
      </c>
      <c r="E639" t="str">
        <f>IFERROR(VLOOKUP(Orders!D639,Products!$A$2:$C$61,3,FALSE),"Unknown")</f>
        <v>Home</v>
      </c>
      <c r="F639" t="str">
        <f>IFERROR(VLOOKUP(Orders!C639,Customers!$A$2:$E$301,5,FALSE),"Unknown")</f>
        <v>Retail</v>
      </c>
      <c r="G639">
        <f>IFERROR(VLOOKUP(Orders!C639,Customers!$A$2:$C$301,3,FALSE),"")</f>
        <v>36</v>
      </c>
      <c r="H639" t="str">
        <f>VLOOKUP(D639,Sales_Reps!$A$2:$C$31,3,FALSE)</f>
        <v>North</v>
      </c>
      <c r="I639" s="44">
        <f t="shared" si="21"/>
        <v>45597</v>
      </c>
      <c r="L639" t="str">
        <f>Orders!K639</f>
        <v>Pune</v>
      </c>
      <c r="M639">
        <f>Orders!G639</f>
        <v>660</v>
      </c>
      <c r="N639">
        <f>IFERROR(VLOOKUP(Orders!D639,Products!$A$2:$D$61,4,FALSE),"")</f>
        <v>329</v>
      </c>
      <c r="O639">
        <f t="shared" si="22"/>
        <v>0.50151515151515147</v>
      </c>
      <c r="Q639" t="str">
        <f>Orders!D639</f>
        <v>PROD-037</v>
      </c>
    </row>
    <row r="640" spans="1:17" x14ac:dyDescent="0.3">
      <c r="A640" t="str">
        <f>Orders!A640</f>
        <v>ORD-00639</v>
      </c>
      <c r="B640">
        <f>Orders!B640</f>
        <v>45353</v>
      </c>
      <c r="C640">
        <f>Orders!I640</f>
        <v>21590.73</v>
      </c>
      <c r="D640" t="str">
        <f>Orders!E640</f>
        <v>R020</v>
      </c>
      <c r="E640" t="str">
        <f>IFERROR(VLOOKUP(Orders!D640,Products!$A$2:$C$61,3,FALSE),"Unknown")</f>
        <v>Electronics</v>
      </c>
      <c r="F640" t="str">
        <f>IFERROR(VLOOKUP(Orders!C640,Customers!$A$2:$E$301,5,FALSE),"Unknown")</f>
        <v>Retail</v>
      </c>
      <c r="G640">
        <f>IFERROR(VLOOKUP(Orders!C640,Customers!$A$2:$C$301,3,FALSE),"")</f>
        <v>35</v>
      </c>
      <c r="H640" t="str">
        <f>VLOOKUP(D640,Sales_Reps!$A$2:$C$31,3,FALSE)</f>
        <v>East</v>
      </c>
      <c r="I640" s="44">
        <f t="shared" si="21"/>
        <v>45352</v>
      </c>
      <c r="L640" t="str">
        <f>Orders!K640</f>
        <v>Pune</v>
      </c>
      <c r="M640">
        <f>Orders!G640</f>
        <v>3870</v>
      </c>
      <c r="N640">
        <f>IFERROR(VLOOKUP(Orders!D640,Products!$A$2:$D$61,4,FALSE),"")</f>
        <v>1559</v>
      </c>
      <c r="O640">
        <f t="shared" si="22"/>
        <v>0.59715762273901807</v>
      </c>
      <c r="Q640" t="str">
        <f>Orders!D640</f>
        <v>PROD-004</v>
      </c>
    </row>
    <row r="641" spans="1:17" x14ac:dyDescent="0.3">
      <c r="A641" t="str">
        <f>Orders!A641</f>
        <v>ORD-00640</v>
      </c>
      <c r="B641">
        <f>Orders!B641</f>
        <v>45542</v>
      </c>
      <c r="C641">
        <f>Orders!I641</f>
        <v>3651.9</v>
      </c>
      <c r="D641" t="str">
        <f>Orders!E641</f>
        <v>R016</v>
      </c>
      <c r="E641" t="str">
        <f>IFERROR(VLOOKUP(Orders!D641,Products!$A$2:$C$61,3,FALSE),"Unknown")</f>
        <v>Home</v>
      </c>
      <c r="F641" t="str">
        <f>IFERROR(VLOOKUP(Orders!C641,Customers!$A$2:$E$301,5,FALSE),"Unknown")</f>
        <v>Retail</v>
      </c>
      <c r="G641">
        <f>IFERROR(VLOOKUP(Orders!C641,Customers!$A$2:$C$301,3,FALSE),"")</f>
        <v>24</v>
      </c>
      <c r="H641" t="str">
        <f>VLOOKUP(D641,Sales_Reps!$A$2:$C$31,3,FALSE)</f>
        <v>South</v>
      </c>
      <c r="I641" s="44">
        <f t="shared" si="21"/>
        <v>45536</v>
      </c>
      <c r="L641" t="str">
        <f>Orders!K641</f>
        <v>Chennai</v>
      </c>
      <c r="M641">
        <f>Orders!G641</f>
        <v>370</v>
      </c>
      <c r="N641">
        <f>IFERROR(VLOOKUP(Orders!D641,Products!$A$2:$D$61,4,FALSE),"")</f>
        <v>288</v>
      </c>
      <c r="O641">
        <f t="shared" si="22"/>
        <v>0.22162162162162163</v>
      </c>
      <c r="Q641" t="str">
        <f>Orders!D641</f>
        <v>PROD-032</v>
      </c>
    </row>
    <row r="642" spans="1:17" x14ac:dyDescent="0.3">
      <c r="A642" t="str">
        <f>Orders!A642</f>
        <v>ORD-00641</v>
      </c>
      <c r="B642">
        <f>Orders!B642</f>
        <v>45365</v>
      </c>
      <c r="C642">
        <f>Orders!I642</f>
        <v>3569.32</v>
      </c>
      <c r="D642" t="str">
        <f>Orders!E642</f>
        <v>R018</v>
      </c>
      <c r="E642" t="str">
        <f>IFERROR(VLOOKUP(Orders!D642,Products!$A$2:$C$61,3,FALSE),"Unknown")</f>
        <v>Apparel</v>
      </c>
      <c r="F642" t="str">
        <f>IFERROR(VLOOKUP(Orders!C642,Customers!$A$2:$E$301,5,FALSE),"Unknown")</f>
        <v>SMB</v>
      </c>
      <c r="G642">
        <f>IFERROR(VLOOKUP(Orders!C642,Customers!$A$2:$C$301,3,FALSE),"")</f>
        <v>40</v>
      </c>
      <c r="H642" t="str">
        <f>VLOOKUP(D642,Sales_Reps!$A$2:$C$31,3,FALSE)</f>
        <v>East</v>
      </c>
      <c r="I642" s="44">
        <f t="shared" si="21"/>
        <v>45352</v>
      </c>
      <c r="L642" t="str">
        <f>Orders!K642</f>
        <v>Hyderabad</v>
      </c>
      <c r="M642">
        <f>Orders!G642</f>
        <v>3620</v>
      </c>
      <c r="N642">
        <f>IFERROR(VLOOKUP(Orders!D642,Products!$A$2:$D$61,4,FALSE),"")</f>
        <v>2509</v>
      </c>
      <c r="O642">
        <f t="shared" si="22"/>
        <v>0.3069060773480663</v>
      </c>
      <c r="Q642" t="str">
        <f>Orders!D642</f>
        <v>PROD-014</v>
      </c>
    </row>
    <row r="643" spans="1:17" x14ac:dyDescent="0.3">
      <c r="A643" t="str">
        <f>Orders!A643</f>
        <v>ORD-00642</v>
      </c>
      <c r="B643">
        <f>Orders!B643</f>
        <v>45574</v>
      </c>
      <c r="C643">
        <f>Orders!I643</f>
        <v>21226.799999999999</v>
      </c>
      <c r="D643" t="str">
        <f>Orders!E643</f>
        <v>R005</v>
      </c>
      <c r="E643" t="str">
        <f>IFERROR(VLOOKUP(Orders!D643,Products!$A$2:$C$61,3,FALSE),"Unknown")</f>
        <v>Electronics</v>
      </c>
      <c r="F643" t="str">
        <f>IFERROR(VLOOKUP(Orders!C643,Customers!$A$2:$E$301,5,FALSE),"Unknown")</f>
        <v>Retail</v>
      </c>
      <c r="G643">
        <f>IFERROR(VLOOKUP(Orders!C643,Customers!$A$2:$C$301,3,FALSE),"")</f>
        <v>55</v>
      </c>
      <c r="H643" t="str">
        <f>VLOOKUP(D643,Sales_Reps!$A$2:$C$31,3,FALSE)</f>
        <v>North</v>
      </c>
      <c r="I643" s="44">
        <f t="shared" ref="I643:I706" si="23">DATE(YEAR(B643),MONTH(B643),1)</f>
        <v>45566</v>
      </c>
      <c r="L643" t="str">
        <f>Orders!K643</f>
        <v>Bengaluru</v>
      </c>
      <c r="M643">
        <f>Orders!G643</f>
        <v>2660</v>
      </c>
      <c r="N643">
        <f>IFERROR(VLOOKUP(Orders!D643,Products!$A$2:$D$61,4,FALSE),"")</f>
        <v>1259</v>
      </c>
      <c r="O643">
        <f t="shared" ref="O643:O706" si="24">IF(OR(N643="",M643&lt;=0),"",(M643-N643)/M643)</f>
        <v>0.52669172932330832</v>
      </c>
      <c r="Q643" t="str">
        <f>Orders!D643</f>
        <v>PROD-008</v>
      </c>
    </row>
    <row r="644" spans="1:17" x14ac:dyDescent="0.3">
      <c r="A644" t="str">
        <f>Orders!A644</f>
        <v>ORD-00643</v>
      </c>
      <c r="B644">
        <f>Orders!B644</f>
        <v>45614</v>
      </c>
      <c r="C644">
        <f>Orders!I644</f>
        <v>25840.5</v>
      </c>
      <c r="D644" t="str">
        <f>Orders!E644</f>
        <v>R015</v>
      </c>
      <c r="E644" t="str">
        <f>IFERROR(VLOOKUP(Orders!D644,Products!$A$2:$C$61,3,FALSE),"Unknown")</f>
        <v>Sports</v>
      </c>
      <c r="F644" t="str">
        <f>IFERROR(VLOOKUP(Orders!C644,Customers!$A$2:$E$301,5,FALSE),"Unknown")</f>
        <v>Corporate</v>
      </c>
      <c r="G644">
        <f>IFERROR(VLOOKUP(Orders!C644,Customers!$A$2:$C$301,3,FALSE),"")</f>
        <v>55</v>
      </c>
      <c r="H644" t="str">
        <f>VLOOKUP(D644,Sales_Reps!$A$2:$C$31,3,FALSE)</f>
        <v>South</v>
      </c>
      <c r="I644" s="44">
        <f t="shared" si="23"/>
        <v>45597</v>
      </c>
      <c r="L644" t="str">
        <f>Orders!K644</f>
        <v>Delhi</v>
      </c>
      <c r="M644">
        <f>Orders!G644</f>
        <v>3450</v>
      </c>
      <c r="N644">
        <f>IFERROR(VLOOKUP(Orders!D644,Products!$A$2:$D$61,4,FALSE),"")</f>
        <v>2467</v>
      </c>
      <c r="O644">
        <f t="shared" si="24"/>
        <v>0.28492753623188405</v>
      </c>
      <c r="Q644" t="str">
        <f>Orders!D644</f>
        <v>PROD-051</v>
      </c>
    </row>
    <row r="645" spans="1:17" x14ac:dyDescent="0.3">
      <c r="A645" t="str">
        <f>Orders!A645</f>
        <v>ORD-00644</v>
      </c>
      <c r="B645">
        <f>Orders!B645</f>
        <v>45629</v>
      </c>
      <c r="C645">
        <f>Orders!I645</f>
        <v>11875.5</v>
      </c>
      <c r="D645" t="str">
        <f>Orders!E645</f>
        <v>R013</v>
      </c>
      <c r="E645" t="str">
        <f>IFERROR(VLOOKUP(Orders!D645,Products!$A$2:$C$61,3,FALSE),"Unknown")</f>
        <v>Grocery</v>
      </c>
      <c r="F645" t="str">
        <f>IFERROR(VLOOKUP(Orders!C645,Customers!$A$2:$E$301,5,FALSE),"Unknown")</f>
        <v>Corporate</v>
      </c>
      <c r="G645">
        <f>IFERROR(VLOOKUP(Orders!C645,Customers!$A$2:$C$301,3,FALSE),"")</f>
        <v>31</v>
      </c>
      <c r="H645" t="str">
        <f>VLOOKUP(D645,Sales_Reps!$A$2:$C$31,3,FALSE)</f>
        <v>South</v>
      </c>
      <c r="I645" s="44">
        <f t="shared" si="23"/>
        <v>45627</v>
      </c>
      <c r="L645" t="str">
        <f>Orders!K645</f>
        <v>Bengaluru</v>
      </c>
      <c r="M645">
        <f>Orders!G645</f>
        <v>4060</v>
      </c>
      <c r="N645">
        <f>IFERROR(VLOOKUP(Orders!D645,Products!$A$2:$D$61,4,FALSE),"")</f>
        <v>2911</v>
      </c>
      <c r="O645">
        <f t="shared" si="24"/>
        <v>0.28300492610837441</v>
      </c>
      <c r="Q645" t="str">
        <f>Orders!D645</f>
        <v>PROD-025</v>
      </c>
    </row>
    <row r="646" spans="1:17" x14ac:dyDescent="0.3">
      <c r="A646" t="str">
        <f>Orders!A646</f>
        <v>ORD-00645</v>
      </c>
      <c r="B646">
        <f>Orders!B646</f>
        <v>45294</v>
      </c>
      <c r="C646">
        <f>Orders!I646</f>
        <v>2689.92</v>
      </c>
      <c r="D646" t="str">
        <f>Orders!E646</f>
        <v>R021</v>
      </c>
      <c r="E646" t="str">
        <f>IFERROR(VLOOKUP(Orders!D646,Products!$A$2:$C$61,3,FALSE),"Unknown")</f>
        <v>Sports</v>
      </c>
      <c r="F646" t="str">
        <f>IFERROR(VLOOKUP(Orders!C646,Customers!$A$2:$E$301,5,FALSE),"Unknown")</f>
        <v>Corporate</v>
      </c>
      <c r="G646">
        <f>IFERROR(VLOOKUP(Orders!C646,Customers!$A$2:$C$301,3,FALSE),"")</f>
        <v>55</v>
      </c>
      <c r="H646" t="str">
        <f>VLOOKUP(D646,Sales_Reps!$A$2:$C$31,3,FALSE)</f>
        <v>East</v>
      </c>
      <c r="I646" s="44">
        <f t="shared" si="23"/>
        <v>45292</v>
      </c>
      <c r="L646" t="str">
        <f>Orders!K646</f>
        <v>Chennai</v>
      </c>
      <c r="M646">
        <f>Orders!G646</f>
        <v>960</v>
      </c>
      <c r="N646">
        <f>IFERROR(VLOOKUP(Orders!D646,Products!$A$2:$D$61,4,FALSE),"")</f>
        <v>705</v>
      </c>
      <c r="O646">
        <f t="shared" si="24"/>
        <v>0.265625</v>
      </c>
      <c r="Q646" t="str">
        <f>Orders!D646</f>
        <v>PROD-057</v>
      </c>
    </row>
    <row r="647" spans="1:17" x14ac:dyDescent="0.3">
      <c r="A647" t="str">
        <f>Orders!A647</f>
        <v>ORD-00646</v>
      </c>
      <c r="B647">
        <f>Orders!B647</f>
        <v>45418</v>
      </c>
      <c r="C647">
        <f>Orders!I647</f>
        <v>8841.84</v>
      </c>
      <c r="D647" t="str">
        <f>Orders!E647</f>
        <v>R008</v>
      </c>
      <c r="E647" t="str">
        <f>IFERROR(VLOOKUP(Orders!D647,Products!$A$2:$C$61,3,FALSE),"Unknown")</f>
        <v>Electronics</v>
      </c>
      <c r="F647" t="str">
        <f>IFERROR(VLOOKUP(Orders!C647,Customers!$A$2:$E$301,5,FALSE),"Unknown")</f>
        <v>SMB</v>
      </c>
      <c r="G647">
        <f>IFERROR(VLOOKUP(Orders!C647,Customers!$A$2:$C$301,3,FALSE),"")</f>
        <v>43</v>
      </c>
      <c r="H647" t="str">
        <f>VLOOKUP(D647,Sales_Reps!$A$2:$C$31,3,FALSE)</f>
        <v>North</v>
      </c>
      <c r="I647" s="44">
        <f t="shared" si="23"/>
        <v>45413</v>
      </c>
      <c r="L647" t="str">
        <f>Orders!K647</f>
        <v>Hyderabad</v>
      </c>
      <c r="M647">
        <f>Orders!G647</f>
        <v>2660</v>
      </c>
      <c r="N647">
        <f>IFERROR(VLOOKUP(Orders!D647,Products!$A$2:$D$61,4,FALSE),"")</f>
        <v>1259</v>
      </c>
      <c r="O647">
        <f t="shared" si="24"/>
        <v>0.52669172932330832</v>
      </c>
      <c r="Q647" t="str">
        <f>Orders!D647</f>
        <v>PROD-008</v>
      </c>
    </row>
    <row r="648" spans="1:17" x14ac:dyDescent="0.3">
      <c r="A648" t="str">
        <f>Orders!A648</f>
        <v>ORD-00647</v>
      </c>
      <c r="B648">
        <f>Orders!B648</f>
        <v>45369</v>
      </c>
      <c r="C648">
        <f>Orders!I648</f>
        <v>11345.46</v>
      </c>
      <c r="D648" t="str">
        <f>Orders!E648</f>
        <v>R018</v>
      </c>
      <c r="E648" t="str">
        <f>IFERROR(VLOOKUP(Orders!D648,Products!$A$2:$C$61,3,FALSE),"Unknown")</f>
        <v>Grocery</v>
      </c>
      <c r="F648" t="str">
        <f>IFERROR(VLOOKUP(Orders!C648,Customers!$A$2:$E$301,5,FALSE),"Unknown")</f>
        <v>SMB</v>
      </c>
      <c r="G648">
        <f>IFERROR(VLOOKUP(Orders!C648,Customers!$A$2:$C$301,3,FALSE),"")</f>
        <v>65</v>
      </c>
      <c r="H648" t="str">
        <f>VLOOKUP(D648,Sales_Reps!$A$2:$C$31,3,FALSE)</f>
        <v>East</v>
      </c>
      <c r="I648" s="44">
        <f t="shared" si="23"/>
        <v>45352</v>
      </c>
      <c r="L648" t="str">
        <f>Orders!K648</f>
        <v>Hyderabad</v>
      </c>
      <c r="M648">
        <f>Orders!G648</f>
        <v>2270</v>
      </c>
      <c r="N648">
        <f>IFERROR(VLOOKUP(Orders!D648,Products!$A$2:$D$61,4,FALSE),"")</f>
        <v>1203</v>
      </c>
      <c r="O648">
        <f t="shared" si="24"/>
        <v>0.47004405286343615</v>
      </c>
      <c r="Q648" t="str">
        <f>Orders!D648</f>
        <v>PROD-024</v>
      </c>
    </row>
    <row r="649" spans="1:17" x14ac:dyDescent="0.3">
      <c r="A649" t="str">
        <f>Orders!A649</f>
        <v>ORD-00648</v>
      </c>
      <c r="B649">
        <f>Orders!B649</f>
        <v>45549</v>
      </c>
      <c r="C649">
        <f>Orders!I649</f>
        <v>14836.5</v>
      </c>
      <c r="D649" t="str">
        <f>Orders!E649</f>
        <v>R025</v>
      </c>
      <c r="E649" t="str">
        <f>IFERROR(VLOOKUP(Orders!D649,Products!$A$2:$C$61,3,FALSE),"Unknown")</f>
        <v>Grocery</v>
      </c>
      <c r="F649" t="str">
        <f>IFERROR(VLOOKUP(Orders!C649,Customers!$A$2:$E$301,5,FALSE),"Unknown")</f>
        <v>SMB</v>
      </c>
      <c r="G649">
        <f>IFERROR(VLOOKUP(Orders!C649,Customers!$A$2:$C$301,3,FALSE),"")</f>
        <v>28</v>
      </c>
      <c r="H649" t="str">
        <f>VLOOKUP(D649,Sales_Reps!$A$2:$C$31,3,FALSE)</f>
        <v>West</v>
      </c>
      <c r="I649" s="44">
        <f t="shared" si="23"/>
        <v>45536</v>
      </c>
      <c r="L649" t="str">
        <f>Orders!K649</f>
        <v>Bengaluru</v>
      </c>
      <c r="M649">
        <f>Orders!G649</f>
        <v>3780</v>
      </c>
      <c r="N649">
        <f>IFERROR(VLOOKUP(Orders!D649,Products!$A$2:$D$61,4,FALSE),"")</f>
        <v>2436</v>
      </c>
      <c r="O649">
        <f t="shared" si="24"/>
        <v>0.35555555555555557</v>
      </c>
      <c r="Q649" t="str">
        <f>Orders!D649</f>
        <v>PROD-027</v>
      </c>
    </row>
    <row r="650" spans="1:17" x14ac:dyDescent="0.3">
      <c r="A650" t="str">
        <f>Orders!A650</f>
        <v>ORD-00649</v>
      </c>
      <c r="B650">
        <f>Orders!B650</f>
        <v>45505</v>
      </c>
      <c r="C650">
        <f>Orders!I650</f>
        <v>5359.2</v>
      </c>
      <c r="D650" t="str">
        <f>Orders!E650</f>
        <v>R019</v>
      </c>
      <c r="E650" t="str">
        <f>IFERROR(VLOOKUP(Orders!D650,Products!$A$2:$C$61,3,FALSE),"Unknown")</f>
        <v>Home</v>
      </c>
      <c r="F650" t="str">
        <f>IFERROR(VLOOKUP(Orders!C650,Customers!$A$2:$E$301,5,FALSE),"Unknown")</f>
        <v>Retail</v>
      </c>
      <c r="G650">
        <f>IFERROR(VLOOKUP(Orders!C650,Customers!$A$2:$C$301,3,FALSE),"")</f>
        <v>55</v>
      </c>
      <c r="H650" t="str">
        <f>VLOOKUP(D650,Sales_Reps!$A$2:$C$31,3,FALSE)</f>
        <v>East</v>
      </c>
      <c r="I650" s="44">
        <f t="shared" si="23"/>
        <v>45505</v>
      </c>
      <c r="L650" t="str">
        <f>Orders!K650</f>
        <v>Delhi</v>
      </c>
      <c r="M650">
        <f>Orders!G650</f>
        <v>660</v>
      </c>
      <c r="N650">
        <f>IFERROR(VLOOKUP(Orders!D650,Products!$A$2:$D$61,4,FALSE),"")</f>
        <v>329</v>
      </c>
      <c r="O650">
        <f t="shared" si="24"/>
        <v>0.50151515151515147</v>
      </c>
      <c r="Q650" t="str">
        <f>Orders!D650</f>
        <v>PROD-037</v>
      </c>
    </row>
    <row r="651" spans="1:17" x14ac:dyDescent="0.3">
      <c r="A651" t="str">
        <f>Orders!A651</f>
        <v>ORD-00650</v>
      </c>
      <c r="B651">
        <f>Orders!B651</f>
        <v>45413</v>
      </c>
      <c r="C651">
        <f>Orders!I651</f>
        <v>31667.7</v>
      </c>
      <c r="D651" t="str">
        <f>Orders!E651</f>
        <v>R024</v>
      </c>
      <c r="E651" t="str">
        <f>IFERROR(VLOOKUP(Orders!D651,Products!$A$2:$C$61,3,FALSE),"Unknown")</f>
        <v>Home</v>
      </c>
      <c r="F651" t="str">
        <f>IFERROR(VLOOKUP(Orders!C651,Customers!$A$2:$E$301,5,FALSE),"Unknown")</f>
        <v>Corporate</v>
      </c>
      <c r="G651">
        <f>IFERROR(VLOOKUP(Orders!C651,Customers!$A$2:$C$301,3,FALSE),"")</f>
        <v>40</v>
      </c>
      <c r="H651" t="str">
        <f>VLOOKUP(D651,Sales_Reps!$A$2:$C$31,3,FALSE)</f>
        <v>West</v>
      </c>
      <c r="I651" s="44">
        <f t="shared" si="23"/>
        <v>45413</v>
      </c>
      <c r="L651" t="str">
        <f>Orders!K651</f>
        <v>Pune</v>
      </c>
      <c r="M651">
        <f>Orders!G651</f>
        <v>3730</v>
      </c>
      <c r="N651">
        <f>IFERROR(VLOOKUP(Orders!D651,Products!$A$2:$D$61,4,FALSE),"")</f>
        <v>2135</v>
      </c>
      <c r="O651">
        <f t="shared" si="24"/>
        <v>0.42761394101876676</v>
      </c>
      <c r="Q651" t="str">
        <f>Orders!D651</f>
        <v>PROD-031</v>
      </c>
    </row>
    <row r="652" spans="1:17" x14ac:dyDescent="0.3">
      <c r="A652" t="str">
        <f>Orders!A652</f>
        <v>ORD-00651</v>
      </c>
      <c r="B652">
        <f>Orders!B652</f>
        <v>45559</v>
      </c>
      <c r="C652">
        <f>Orders!I652</f>
        <v>19463.64</v>
      </c>
      <c r="D652" t="str">
        <f>Orders!E652</f>
        <v>R021</v>
      </c>
      <c r="E652" t="str">
        <f>IFERROR(VLOOKUP(Orders!D652,Products!$A$2:$C$61,3,FALSE),"Unknown")</f>
        <v>Grocery</v>
      </c>
      <c r="F652" t="str">
        <f>IFERROR(VLOOKUP(Orders!C652,Customers!$A$2:$E$301,5,FALSE),"Unknown")</f>
        <v>SMB</v>
      </c>
      <c r="G652">
        <f>IFERROR(VLOOKUP(Orders!C652,Customers!$A$2:$C$301,3,FALSE),"")</f>
        <v>27</v>
      </c>
      <c r="H652" t="str">
        <f>VLOOKUP(D652,Sales_Reps!$A$2:$C$31,3,FALSE)</f>
        <v>East</v>
      </c>
      <c r="I652" s="44">
        <f t="shared" si="23"/>
        <v>45536</v>
      </c>
      <c r="L652" t="str">
        <f>Orders!K652</f>
        <v>DELHI</v>
      </c>
      <c r="M652">
        <f>Orders!G652</f>
        <v>4060</v>
      </c>
      <c r="N652">
        <f>IFERROR(VLOOKUP(Orders!D652,Products!$A$2:$D$61,4,FALSE),"")</f>
        <v>2911</v>
      </c>
      <c r="O652">
        <f t="shared" si="24"/>
        <v>0.28300492610837441</v>
      </c>
      <c r="Q652" t="str">
        <f>Orders!D652</f>
        <v>PROD-025</v>
      </c>
    </row>
    <row r="653" spans="1:17" x14ac:dyDescent="0.3">
      <c r="A653" t="str">
        <f>Orders!A653</f>
        <v>ORD-00652</v>
      </c>
      <c r="B653">
        <f>Orders!B653</f>
        <v>45525</v>
      </c>
      <c r="C653">
        <f>Orders!I653</f>
        <v>3736.42</v>
      </c>
      <c r="D653" t="str">
        <f>Orders!E653</f>
        <v>R003</v>
      </c>
      <c r="E653" t="str">
        <f>IFERROR(VLOOKUP(Orders!D653,Products!$A$2:$C$61,3,FALSE),"Unknown")</f>
        <v>Grocery</v>
      </c>
      <c r="F653" t="str">
        <f>IFERROR(VLOOKUP(Orders!C653,Customers!$A$2:$E$301,5,FALSE),"Unknown")</f>
        <v>SMB</v>
      </c>
      <c r="G653">
        <f>IFERROR(VLOOKUP(Orders!C653,Customers!$A$2:$C$301,3,FALSE),"")</f>
        <v>36</v>
      </c>
      <c r="H653" t="str">
        <f>VLOOKUP(D653,Sales_Reps!$A$2:$C$31,3,FALSE)</f>
        <v>North</v>
      </c>
      <c r="I653" s="44">
        <f t="shared" si="23"/>
        <v>45505</v>
      </c>
      <c r="L653" t="str">
        <f>Orders!K653</f>
        <v>Bengaluru</v>
      </c>
      <c r="M653">
        <f>Orders!G653</f>
        <v>2270</v>
      </c>
      <c r="N653">
        <f>IFERROR(VLOOKUP(Orders!D653,Products!$A$2:$D$61,4,FALSE),"")</f>
        <v>1203</v>
      </c>
      <c r="O653">
        <f t="shared" si="24"/>
        <v>0.47004405286343615</v>
      </c>
      <c r="Q653" t="str">
        <f>Orders!D653</f>
        <v>PROD-024</v>
      </c>
    </row>
    <row r="654" spans="1:17" x14ac:dyDescent="0.3">
      <c r="A654" t="str">
        <f>Orders!A654</f>
        <v>ORD-00653</v>
      </c>
      <c r="B654">
        <f>Orders!B654</f>
        <v>45610</v>
      </c>
      <c r="C654">
        <f>Orders!I654</f>
        <v>22523.13</v>
      </c>
      <c r="D654" t="str">
        <f>Orders!E654</f>
        <v>R028</v>
      </c>
      <c r="E654" t="str">
        <f>IFERROR(VLOOKUP(Orders!D654,Products!$A$2:$C$61,3,FALSE),"Unknown")</f>
        <v>Electronics</v>
      </c>
      <c r="F654" t="str">
        <f>IFERROR(VLOOKUP(Orders!C654,Customers!$A$2:$E$301,5,FALSE),"Unknown")</f>
        <v>SMB</v>
      </c>
      <c r="G654">
        <f>IFERROR(VLOOKUP(Orders!C654,Customers!$A$2:$C$301,3,FALSE),"")</f>
        <v>48</v>
      </c>
      <c r="H654" t="str">
        <f>VLOOKUP(D654,Sales_Reps!$A$2:$C$31,3,FALSE)</f>
        <v>West</v>
      </c>
      <c r="I654" s="44">
        <f t="shared" si="23"/>
        <v>45597</v>
      </c>
      <c r="L654" t="str">
        <f>Orders!K654</f>
        <v>Hyderabad</v>
      </c>
      <c r="M654">
        <f>Orders!G654</f>
        <v>3570</v>
      </c>
      <c r="N654">
        <f>IFERROR(VLOOKUP(Orders!D654,Products!$A$2:$D$61,4,FALSE),"")</f>
        <v>1665</v>
      </c>
      <c r="O654">
        <f t="shared" si="24"/>
        <v>0.53361344537815125</v>
      </c>
      <c r="Q654" t="str">
        <f>Orders!D654</f>
        <v>PROD-003</v>
      </c>
    </row>
    <row r="655" spans="1:17" x14ac:dyDescent="0.3">
      <c r="A655" t="str">
        <f>Orders!A655</f>
        <v>ORD-00654</v>
      </c>
      <c r="B655">
        <f>Orders!B655</f>
        <v>45521</v>
      </c>
      <c r="C655">
        <f>Orders!I655</f>
        <v>11602.5</v>
      </c>
      <c r="D655" t="str">
        <f>Orders!E655</f>
        <v>R004</v>
      </c>
      <c r="E655" t="str">
        <f>IFERROR(VLOOKUP(Orders!D655,Products!$A$2:$C$61,3,FALSE),"Unknown")</f>
        <v>Grocery</v>
      </c>
      <c r="F655" t="str">
        <f>IFERROR(VLOOKUP(Orders!C655,Customers!$A$2:$E$301,5,FALSE),"Unknown")</f>
        <v>Retail</v>
      </c>
      <c r="G655">
        <f>IFERROR(VLOOKUP(Orders!C655,Customers!$A$2:$C$301,3,FALSE),"")</f>
        <v>52</v>
      </c>
      <c r="H655" t="str">
        <f>VLOOKUP(D655,Sales_Reps!$A$2:$C$31,3,FALSE)</f>
        <v>North</v>
      </c>
      <c r="I655" s="44">
        <f t="shared" si="23"/>
        <v>45505</v>
      </c>
      <c r="L655" t="str">
        <f>Orders!K655</f>
        <v>Hyderabad</v>
      </c>
      <c r="M655">
        <f>Orders!G655</f>
        <v>2210</v>
      </c>
      <c r="N655">
        <f>IFERROR(VLOOKUP(Orders!D655,Products!$A$2:$D$61,4,FALSE),"")</f>
        <v>1010</v>
      </c>
      <c r="O655">
        <f t="shared" si="24"/>
        <v>0.54298642533936647</v>
      </c>
      <c r="Q655" t="str">
        <f>Orders!D655</f>
        <v>PROD-029</v>
      </c>
    </row>
    <row r="656" spans="1:17" x14ac:dyDescent="0.3">
      <c r="A656" t="str">
        <f>Orders!A656</f>
        <v>ORD-00655</v>
      </c>
      <c r="B656">
        <f>Orders!B656</f>
        <v>45381</v>
      </c>
      <c r="C656">
        <f>Orders!I656</f>
        <v>1762.56</v>
      </c>
      <c r="D656" t="str">
        <f>Orders!E656</f>
        <v>R026</v>
      </c>
      <c r="E656" t="str">
        <f>IFERROR(VLOOKUP(Orders!D656,Products!$A$2:$C$61,3,FALSE),"Unknown")</f>
        <v>Sports</v>
      </c>
      <c r="F656" t="str">
        <f>IFERROR(VLOOKUP(Orders!C656,Customers!$A$2:$E$301,5,FALSE),"Unknown")</f>
        <v>SMB</v>
      </c>
      <c r="G656">
        <f>IFERROR(VLOOKUP(Orders!C656,Customers!$A$2:$C$301,3,FALSE),"")</f>
        <v>43</v>
      </c>
      <c r="H656" t="str">
        <f>VLOOKUP(D656,Sales_Reps!$A$2:$C$31,3,FALSE)</f>
        <v>West</v>
      </c>
      <c r="I656" s="44">
        <f t="shared" si="23"/>
        <v>45352</v>
      </c>
      <c r="L656" t="str">
        <f>Orders!K656</f>
        <v>Mumbai</v>
      </c>
      <c r="M656">
        <f>Orders!G656</f>
        <v>960</v>
      </c>
      <c r="N656">
        <f>IFERROR(VLOOKUP(Orders!D656,Products!$A$2:$D$61,4,FALSE),"")</f>
        <v>705</v>
      </c>
      <c r="O656">
        <f t="shared" si="24"/>
        <v>0.265625</v>
      </c>
      <c r="Q656" t="str">
        <f>Orders!D656</f>
        <v>PROD-057</v>
      </c>
    </row>
    <row r="657" spans="1:17" x14ac:dyDescent="0.3">
      <c r="A657" t="str">
        <f>Orders!A657</f>
        <v>ORD-00656</v>
      </c>
      <c r="B657">
        <f>Orders!B657</f>
        <v>45401</v>
      </c>
      <c r="C657">
        <f>Orders!I657</f>
        <v>24358.32</v>
      </c>
      <c r="D657" t="str">
        <f>Orders!E657</f>
        <v>R026</v>
      </c>
      <c r="E657" t="str">
        <f>IFERROR(VLOOKUP(Orders!D657,Products!$A$2:$C$61,3,FALSE),"Unknown")</f>
        <v>Sports</v>
      </c>
      <c r="F657" t="str">
        <f>IFERROR(VLOOKUP(Orders!C657,Customers!$A$2:$E$301,5,FALSE),"Unknown")</f>
        <v>Corporate</v>
      </c>
      <c r="G657">
        <f>IFERROR(VLOOKUP(Orders!C657,Customers!$A$2:$C$301,3,FALSE),"")</f>
        <v>22</v>
      </c>
      <c r="H657" t="str">
        <f>VLOOKUP(D657,Sales_Reps!$A$2:$C$31,3,FALSE)</f>
        <v>West</v>
      </c>
      <c r="I657" s="44">
        <f t="shared" si="23"/>
        <v>45383</v>
      </c>
      <c r="L657" t="str">
        <f>Orders!K657</f>
        <v>Hyderabad</v>
      </c>
      <c r="M657">
        <f>Orders!G657</f>
        <v>3780</v>
      </c>
      <c r="N657">
        <f>IFERROR(VLOOKUP(Orders!D657,Products!$A$2:$D$61,4,FALSE),"")</f>
        <v>1860</v>
      </c>
      <c r="O657">
        <f t="shared" si="24"/>
        <v>0.50793650793650791</v>
      </c>
      <c r="Q657" t="str">
        <f>Orders!D657</f>
        <v>PROD-059</v>
      </c>
    </row>
    <row r="658" spans="1:17" x14ac:dyDescent="0.3">
      <c r="A658" t="str">
        <f>Orders!A658</f>
        <v>ORD-00657</v>
      </c>
      <c r="B658">
        <f>Orders!B658</f>
        <v>45581</v>
      </c>
      <c r="C658">
        <f>Orders!I658</f>
        <v>9322.7999999999993</v>
      </c>
      <c r="D658" t="str">
        <f>Orders!E658</f>
        <v>R014</v>
      </c>
      <c r="E658" t="str">
        <f>IFERROR(VLOOKUP(Orders!D658,Products!$A$2:$C$61,3,FALSE),"Unknown")</f>
        <v>Beauty</v>
      </c>
      <c r="F658" t="str">
        <f>IFERROR(VLOOKUP(Orders!C658,Customers!$A$2:$E$301,5,FALSE),"Unknown")</f>
        <v>Corporate</v>
      </c>
      <c r="G658">
        <f>IFERROR(VLOOKUP(Orders!C658,Customers!$A$2:$C$301,3,FALSE),"")</f>
        <v>44</v>
      </c>
      <c r="H658" t="str">
        <f>VLOOKUP(D658,Sales_Reps!$A$2:$C$31,3,FALSE)</f>
        <v>South</v>
      </c>
      <c r="I658" s="44">
        <f t="shared" si="23"/>
        <v>45566</v>
      </c>
      <c r="L658" t="str">
        <f>Orders!K658</f>
        <v>Chennai</v>
      </c>
      <c r="M658">
        <f>Orders!G658</f>
        <v>5100</v>
      </c>
      <c r="N658">
        <f>IFERROR(VLOOKUP(Orders!D658,Products!$A$2:$D$61,4,FALSE),"")</f>
        <v>2237</v>
      </c>
      <c r="O658">
        <f t="shared" si="24"/>
        <v>0.56137254901960787</v>
      </c>
      <c r="Q658" t="str">
        <f>Orders!D658</f>
        <v>PROD-048</v>
      </c>
    </row>
    <row r="659" spans="1:17" x14ac:dyDescent="0.3">
      <c r="A659" t="str">
        <f>Orders!A659</f>
        <v>ORD-00658</v>
      </c>
      <c r="B659">
        <f>Orders!B659</f>
        <v>45414</v>
      </c>
      <c r="C659">
        <f>Orders!I659</f>
        <v>8273.2800000000007</v>
      </c>
      <c r="D659" t="str">
        <f>Orders!E659</f>
        <v>R021</v>
      </c>
      <c r="E659" t="str">
        <f>IFERROR(VLOOKUP(Orders!D659,Products!$A$2:$C$61,3,FALSE),"Unknown")</f>
        <v>Apparel</v>
      </c>
      <c r="F659" t="str">
        <f>IFERROR(VLOOKUP(Orders!C659,Customers!$A$2:$E$301,5,FALSE),"Unknown")</f>
        <v>SMB</v>
      </c>
      <c r="G659">
        <f>IFERROR(VLOOKUP(Orders!C659,Customers!$A$2:$C$301,3,FALSE),"")</f>
        <v>26</v>
      </c>
      <c r="H659" t="str">
        <f>VLOOKUP(D659,Sales_Reps!$A$2:$C$31,3,FALSE)</f>
        <v>East</v>
      </c>
      <c r="I659" s="44">
        <f t="shared" si="23"/>
        <v>45413</v>
      </c>
      <c r="L659" t="str">
        <f>Orders!K659</f>
        <v>Bengaluru</v>
      </c>
      <c r="M659">
        <f>Orders!G659</f>
        <v>2480</v>
      </c>
      <c r="N659">
        <f>IFERROR(VLOOKUP(Orders!D659,Products!$A$2:$D$61,4,FALSE),"")</f>
        <v>1173</v>
      </c>
      <c r="O659">
        <f t="shared" si="24"/>
        <v>0.52701612903225803</v>
      </c>
      <c r="Q659" t="str">
        <f>Orders!D659</f>
        <v>PROD-019</v>
      </c>
    </row>
    <row r="660" spans="1:17" x14ac:dyDescent="0.3">
      <c r="A660" t="str">
        <f>Orders!A660</f>
        <v>ORD-00659</v>
      </c>
      <c r="B660">
        <f>Orders!B660</f>
        <v>45443</v>
      </c>
      <c r="C660">
        <f>Orders!I660</f>
        <v>9234</v>
      </c>
      <c r="D660" t="str">
        <f>Orders!E660</f>
        <v>R018</v>
      </c>
      <c r="E660" t="str">
        <f>IFERROR(VLOOKUP(Orders!D660,Products!$A$2:$C$61,3,FALSE),"Unknown")</f>
        <v>Home</v>
      </c>
      <c r="F660" t="str">
        <f>IFERROR(VLOOKUP(Orders!C660,Customers!$A$2:$E$301,5,FALSE),"Unknown")</f>
        <v>Corporate</v>
      </c>
      <c r="G660">
        <f>IFERROR(VLOOKUP(Orders!C660,Customers!$A$2:$C$301,3,FALSE),"")</f>
        <v>46</v>
      </c>
      <c r="H660" t="str">
        <f>VLOOKUP(D660,Sales_Reps!$A$2:$C$31,3,FALSE)</f>
        <v>East</v>
      </c>
      <c r="I660" s="44">
        <f t="shared" si="23"/>
        <v>45413</v>
      </c>
      <c r="L660" t="str">
        <f>Orders!K660</f>
        <v>Mumbai</v>
      </c>
      <c r="M660">
        <f>Orders!G660</f>
        <v>1080</v>
      </c>
      <c r="N660">
        <f>IFERROR(VLOOKUP(Orders!D660,Products!$A$2:$D$61,4,FALSE),"")</f>
        <v>519</v>
      </c>
      <c r="O660">
        <f t="shared" si="24"/>
        <v>0.51944444444444449</v>
      </c>
      <c r="Q660" t="str">
        <f>Orders!D660</f>
        <v>PROD-040</v>
      </c>
    </row>
    <row r="661" spans="1:17" x14ac:dyDescent="0.3">
      <c r="A661" t="str">
        <f>Orders!A661</f>
        <v>ORD-00660</v>
      </c>
      <c r="B661">
        <f>Orders!B661</f>
        <v>45377</v>
      </c>
      <c r="C661">
        <f>Orders!I661</f>
        <v>14378</v>
      </c>
      <c r="D661" t="str">
        <f>Orders!E661</f>
        <v>R029</v>
      </c>
      <c r="E661" t="str">
        <f>IFERROR(VLOOKUP(Orders!D661,Products!$A$2:$C$61,3,FALSE),"Unknown")</f>
        <v>Electronics</v>
      </c>
      <c r="F661" t="str">
        <f>IFERROR(VLOOKUP(Orders!C661,Customers!$A$2:$E$301,5,FALSE),"Unknown")</f>
        <v>Retail</v>
      </c>
      <c r="G661">
        <f>IFERROR(VLOOKUP(Orders!C661,Customers!$A$2:$C$301,3,FALSE),"")</f>
        <v>40</v>
      </c>
      <c r="H661" t="str">
        <f>VLOOKUP(D661,Sales_Reps!$A$2:$C$31,3,FALSE)</f>
        <v>West</v>
      </c>
      <c r="I661" s="44">
        <f t="shared" si="23"/>
        <v>45352</v>
      </c>
      <c r="L661" t="str">
        <f>Orders!K661</f>
        <v>Delhi</v>
      </c>
      <c r="M661">
        <f>Orders!G661</f>
        <v>2600</v>
      </c>
      <c r="N661">
        <f>IFERROR(VLOOKUP(Orders!D661,Products!$A$2:$D$61,4,FALSE),"")</f>
        <v>1052</v>
      </c>
      <c r="O661">
        <f t="shared" si="24"/>
        <v>0.5953846153846154</v>
      </c>
      <c r="Q661" t="str">
        <f>Orders!D661</f>
        <v>PROD-002</v>
      </c>
    </row>
    <row r="662" spans="1:17" x14ac:dyDescent="0.3">
      <c r="A662" t="str">
        <f>Orders!A662</f>
        <v>ORD-00661</v>
      </c>
      <c r="B662">
        <f>Orders!B662</f>
        <v>45622</v>
      </c>
      <c r="C662">
        <f>Orders!I662</f>
        <v>16980.599999999999</v>
      </c>
      <c r="D662" t="str">
        <f>Orders!E662</f>
        <v>R015</v>
      </c>
      <c r="E662" t="str">
        <f>IFERROR(VLOOKUP(Orders!D662,Products!$A$2:$C$61,3,FALSE),"Unknown")</f>
        <v>Electronics</v>
      </c>
      <c r="F662" t="str">
        <f>IFERROR(VLOOKUP(Orders!C662,Customers!$A$2:$E$301,5,FALSE),"Unknown")</f>
        <v>Retail</v>
      </c>
      <c r="G662">
        <f>IFERROR(VLOOKUP(Orders!C662,Customers!$A$2:$C$301,3,FALSE),"")</f>
        <v>36</v>
      </c>
      <c r="H662" t="str">
        <f>VLOOKUP(D662,Sales_Reps!$A$2:$C$31,3,FALSE)</f>
        <v>South</v>
      </c>
      <c r="I662" s="44">
        <f t="shared" si="23"/>
        <v>45597</v>
      </c>
      <c r="L662" t="str">
        <f>Orders!K662</f>
        <v>Chennai</v>
      </c>
      <c r="M662">
        <f>Orders!G662</f>
        <v>2600</v>
      </c>
      <c r="N662">
        <f>IFERROR(VLOOKUP(Orders!D662,Products!$A$2:$D$61,4,FALSE),"")</f>
        <v>1052</v>
      </c>
      <c r="O662">
        <f t="shared" si="24"/>
        <v>0.5953846153846154</v>
      </c>
      <c r="Q662" t="str">
        <f>Orders!D662</f>
        <v>PROD-002</v>
      </c>
    </row>
    <row r="663" spans="1:17" x14ac:dyDescent="0.3">
      <c r="A663" t="str">
        <f>Orders!A663</f>
        <v>ORD-00662</v>
      </c>
      <c r="B663">
        <f>Orders!B663</f>
        <v>45403</v>
      </c>
      <c r="C663">
        <f>Orders!I663</f>
        <v>5392.32</v>
      </c>
      <c r="D663" t="str">
        <f>Orders!E663</f>
        <v>R023</v>
      </c>
      <c r="E663" t="str">
        <f>IFERROR(VLOOKUP(Orders!D663,Products!$A$2:$C$61,3,FALSE),"Unknown")</f>
        <v>Apparel</v>
      </c>
      <c r="F663" t="str">
        <f>IFERROR(VLOOKUP(Orders!C663,Customers!$A$2:$E$301,5,FALSE),"Unknown")</f>
        <v>SMB</v>
      </c>
      <c r="G663">
        <f>IFERROR(VLOOKUP(Orders!C663,Customers!$A$2:$C$301,3,FALSE),"")</f>
        <v>50</v>
      </c>
      <c r="H663" t="str">
        <f>VLOOKUP(D663,Sales_Reps!$A$2:$C$31,3,FALSE)</f>
        <v>East</v>
      </c>
      <c r="I663" s="44">
        <f t="shared" si="23"/>
        <v>45383</v>
      </c>
      <c r="L663" t="str">
        <f>Orders!K663</f>
        <v>Delhi</v>
      </c>
      <c r="M663">
        <f>Orders!G663</f>
        <v>820</v>
      </c>
      <c r="N663">
        <f>IFERROR(VLOOKUP(Orders!D663,Products!$A$2:$D$61,4,FALSE),"")</f>
        <v>391</v>
      </c>
      <c r="O663">
        <f t="shared" si="24"/>
        <v>0.52317073170731709</v>
      </c>
      <c r="Q663" t="str">
        <f>Orders!D663</f>
        <v>PROD-020</v>
      </c>
    </row>
    <row r="664" spans="1:17" x14ac:dyDescent="0.3">
      <c r="A664" t="str">
        <f>Orders!A664</f>
        <v>ORD-00663</v>
      </c>
      <c r="B664">
        <f>Orders!B664</f>
        <v>45532</v>
      </c>
      <c r="C664">
        <f>Orders!I664</f>
        <v>2367.36</v>
      </c>
      <c r="D664" t="str">
        <f>Orders!E664</f>
        <v>R009</v>
      </c>
      <c r="E664" t="str">
        <f>IFERROR(VLOOKUP(Orders!D664,Products!$A$2:$C$61,3,FALSE),"Unknown")</f>
        <v>Sports</v>
      </c>
      <c r="F664" t="str">
        <f>IFERROR(VLOOKUP(Orders!C664,Customers!$A$2:$E$301,5,FALSE),"Unknown")</f>
        <v>Retail</v>
      </c>
      <c r="G664">
        <f>IFERROR(VLOOKUP(Orders!C664,Customers!$A$2:$C$301,3,FALSE),"")</f>
        <v>49</v>
      </c>
      <c r="H664" t="str">
        <f>VLOOKUP(D664,Sales_Reps!$A$2:$C$31,3,FALSE)</f>
        <v>South</v>
      </c>
      <c r="I664" s="44">
        <f t="shared" si="23"/>
        <v>45505</v>
      </c>
      <c r="L664" t="str">
        <f>Orders!K664</f>
        <v>Pune</v>
      </c>
      <c r="M664">
        <f>Orders!G664</f>
        <v>960</v>
      </c>
      <c r="N664">
        <f>IFERROR(VLOOKUP(Orders!D664,Products!$A$2:$D$61,4,FALSE),"")</f>
        <v>705</v>
      </c>
      <c r="O664">
        <f t="shared" si="24"/>
        <v>0.265625</v>
      </c>
      <c r="Q664" t="str">
        <f>Orders!D664</f>
        <v>PROD-057</v>
      </c>
    </row>
    <row r="665" spans="1:17" x14ac:dyDescent="0.3">
      <c r="A665" t="str">
        <f>Orders!A665</f>
        <v>ORD-00664</v>
      </c>
      <c r="B665">
        <f>Orders!B665</f>
        <v>45301</v>
      </c>
      <c r="C665">
        <f>Orders!I665</f>
        <v>3024.56</v>
      </c>
      <c r="D665" t="str">
        <f>Orders!E665</f>
        <v>R023</v>
      </c>
      <c r="E665" t="str">
        <f>IFERROR(VLOOKUP(Orders!D665,Products!$A$2:$C$61,3,FALSE),"Unknown")</f>
        <v>Beauty</v>
      </c>
      <c r="F665" t="str">
        <f>IFERROR(VLOOKUP(Orders!C665,Customers!$A$2:$E$301,5,FALSE),"Unknown")</f>
        <v>Corporate</v>
      </c>
      <c r="G665">
        <f>IFERROR(VLOOKUP(Orders!C665,Customers!$A$2:$C$301,3,FALSE),"")</f>
        <v>55</v>
      </c>
      <c r="H665" t="str">
        <f>VLOOKUP(D665,Sales_Reps!$A$2:$C$31,3,FALSE)</f>
        <v>East</v>
      </c>
      <c r="I665" s="44">
        <f t="shared" si="23"/>
        <v>45292</v>
      </c>
      <c r="L665" t="str">
        <f>Orders!K665</f>
        <v>Delhi</v>
      </c>
      <c r="M665">
        <f>Orders!G665</f>
        <v>1540</v>
      </c>
      <c r="N665">
        <f>IFERROR(VLOOKUP(Orders!D665,Products!$A$2:$D$61,4,FALSE),"")</f>
        <v>647</v>
      </c>
      <c r="O665">
        <f t="shared" si="24"/>
        <v>0.57987012987012987</v>
      </c>
      <c r="Q665" t="str">
        <f>Orders!D665</f>
        <v>PROD-041</v>
      </c>
    </row>
    <row r="666" spans="1:17" x14ac:dyDescent="0.3">
      <c r="A666" t="str">
        <f>Orders!A666</f>
        <v>ORD-00665</v>
      </c>
      <c r="B666">
        <f>Orders!B666</f>
        <v>45622</v>
      </c>
      <c r="C666">
        <f>Orders!I666</f>
        <v>33693.699999999997</v>
      </c>
      <c r="D666" t="str">
        <f>Orders!E666</f>
        <v>R030</v>
      </c>
      <c r="E666" t="str">
        <f>IFERROR(VLOOKUP(Orders!D666,Products!$A$2:$C$61,3,FALSE),"Unknown")</f>
        <v>Sports</v>
      </c>
      <c r="F666" t="str">
        <f>IFERROR(VLOOKUP(Orders!C666,Customers!$A$2:$E$301,5,FALSE),"Unknown")</f>
        <v>SMB</v>
      </c>
      <c r="G666">
        <f>IFERROR(VLOOKUP(Orders!C666,Customers!$A$2:$C$301,3,FALSE),"")</f>
        <v>44</v>
      </c>
      <c r="H666" t="str">
        <f>VLOOKUP(D666,Sales_Reps!$A$2:$C$31,3,FALSE)</f>
        <v>West</v>
      </c>
      <c r="I666" s="44">
        <f t="shared" si="23"/>
        <v>45597</v>
      </c>
      <c r="L666" t="str">
        <f>Orders!K666</f>
        <v>Bengaluru</v>
      </c>
      <c r="M666">
        <f>Orders!G666</f>
        <v>6940</v>
      </c>
      <c r="N666">
        <f>IFERROR(VLOOKUP(Orders!D666,Products!$A$2:$D$61,4,FALSE),"")</f>
        <v>2827</v>
      </c>
      <c r="O666">
        <f t="shared" si="24"/>
        <v>0.5926512968299712</v>
      </c>
      <c r="Q666" t="str">
        <f>Orders!D666</f>
        <v>PROD-056</v>
      </c>
    </row>
    <row r="667" spans="1:17" x14ac:dyDescent="0.3">
      <c r="A667" t="str">
        <f>Orders!A667</f>
        <v>ORD-00666</v>
      </c>
      <c r="B667">
        <f>Orders!B667</f>
        <v>45531</v>
      </c>
      <c r="C667">
        <f>Orders!I667</f>
        <v>5482.4</v>
      </c>
      <c r="D667" t="str">
        <f>Orders!E667</f>
        <v>R013</v>
      </c>
      <c r="E667" t="str">
        <f>IFERROR(VLOOKUP(Orders!D667,Products!$A$2:$C$61,3,FALSE),"Unknown")</f>
        <v>Beauty</v>
      </c>
      <c r="F667" t="str">
        <f>IFERROR(VLOOKUP(Orders!C667,Customers!$A$2:$E$301,5,FALSE),"Unknown")</f>
        <v>SMB</v>
      </c>
      <c r="G667">
        <f>IFERROR(VLOOKUP(Orders!C667,Customers!$A$2:$C$301,3,FALSE),"")</f>
        <v>53</v>
      </c>
      <c r="H667" t="str">
        <f>VLOOKUP(D667,Sales_Reps!$A$2:$C$31,3,FALSE)</f>
        <v>South</v>
      </c>
      <c r="I667" s="44">
        <f t="shared" si="23"/>
        <v>45505</v>
      </c>
      <c r="L667" t="str">
        <f>Orders!K667</f>
        <v>Chennai</v>
      </c>
      <c r="M667">
        <f>Orders!G667</f>
        <v>1540</v>
      </c>
      <c r="N667">
        <f>IFERROR(VLOOKUP(Orders!D667,Products!$A$2:$D$61,4,FALSE),"")</f>
        <v>647</v>
      </c>
      <c r="O667">
        <f t="shared" si="24"/>
        <v>0.57987012987012987</v>
      </c>
      <c r="Q667" t="str">
        <f>Orders!D667</f>
        <v>PROD-041</v>
      </c>
    </row>
    <row r="668" spans="1:17" x14ac:dyDescent="0.3">
      <c r="A668" t="str">
        <f>Orders!A668</f>
        <v>ORD-00667</v>
      </c>
      <c r="B668">
        <f>Orders!B668</f>
        <v>45326</v>
      </c>
      <c r="C668">
        <f>Orders!I668</f>
        <v>23543.759999999998</v>
      </c>
      <c r="D668" t="str">
        <f>Orders!E668</f>
        <v>R012</v>
      </c>
      <c r="E668" t="str">
        <f>IFERROR(VLOOKUP(Orders!D668,Products!$A$2:$C$61,3,FALSE),"Unknown")</f>
        <v>Home</v>
      </c>
      <c r="F668" t="str">
        <f>IFERROR(VLOOKUP(Orders!C668,Customers!$A$2:$E$301,5,FALSE),"Unknown")</f>
        <v>Retail</v>
      </c>
      <c r="G668">
        <f>IFERROR(VLOOKUP(Orders!C668,Customers!$A$2:$C$301,3,FALSE),"")</f>
        <v>53</v>
      </c>
      <c r="H668" t="str">
        <f>VLOOKUP(D668,Sales_Reps!$A$2:$C$31,3,FALSE)</f>
        <v>South</v>
      </c>
      <c r="I668" s="44">
        <f t="shared" si="23"/>
        <v>45323</v>
      </c>
      <c r="L668" t="str">
        <f>Orders!K668</f>
        <v>Delhi</v>
      </c>
      <c r="M668">
        <f>Orders!G668</f>
        <v>3730</v>
      </c>
      <c r="N668">
        <f>IFERROR(VLOOKUP(Orders!D668,Products!$A$2:$D$61,4,FALSE),"")</f>
        <v>2135</v>
      </c>
      <c r="O668">
        <f t="shared" si="24"/>
        <v>0.42761394101876676</v>
      </c>
      <c r="Q668" t="str">
        <f>Orders!D668</f>
        <v>PROD-031</v>
      </c>
    </row>
    <row r="669" spans="1:17" x14ac:dyDescent="0.3">
      <c r="A669" t="str">
        <f>Orders!A669</f>
        <v>ORD-00668</v>
      </c>
      <c r="B669">
        <f>Orders!B669</f>
        <v>45635</v>
      </c>
      <c r="C669">
        <f>Orders!I669</f>
        <v>19088.16</v>
      </c>
      <c r="D669" t="str">
        <f>Orders!E669</f>
        <v>R023</v>
      </c>
      <c r="E669" t="str">
        <f>IFERROR(VLOOKUP(Orders!D669,Products!$A$2:$C$61,3,FALSE),"Unknown")</f>
        <v>Grocery</v>
      </c>
      <c r="F669" t="str">
        <f>IFERROR(VLOOKUP(Orders!C669,Customers!$A$2:$E$301,5,FALSE),"Unknown")</f>
        <v>Retail</v>
      </c>
      <c r="G669">
        <f>IFERROR(VLOOKUP(Orders!C669,Customers!$A$2:$C$301,3,FALSE),"")</f>
        <v>34</v>
      </c>
      <c r="H669" t="str">
        <f>VLOOKUP(D669,Sales_Reps!$A$2:$C$31,3,FALSE)</f>
        <v>East</v>
      </c>
      <c r="I669" s="44">
        <f t="shared" si="23"/>
        <v>45627</v>
      </c>
      <c r="L669" t="str">
        <f>Orders!K669</f>
        <v>Bengaluru</v>
      </c>
      <c r="M669">
        <f>Orders!G669</f>
        <v>2760</v>
      </c>
      <c r="N669">
        <f>IFERROR(VLOOKUP(Orders!D669,Products!$A$2:$D$61,4,FALSE),"")</f>
        <v>1435</v>
      </c>
      <c r="O669">
        <f t="shared" si="24"/>
        <v>0.48007246376811596</v>
      </c>
      <c r="Q669" t="str">
        <f>Orders!D669</f>
        <v>PROD-021</v>
      </c>
    </row>
    <row r="670" spans="1:17" x14ac:dyDescent="0.3">
      <c r="A670" t="str">
        <f>Orders!A670</f>
        <v>ORD-00669</v>
      </c>
      <c r="B670">
        <f>Orders!B670</f>
        <v>45431</v>
      </c>
      <c r="C670">
        <f>Orders!I670</f>
        <v>9730.4699999999993</v>
      </c>
      <c r="D670" t="str">
        <f>Orders!E670</f>
        <v>R020</v>
      </c>
      <c r="E670" t="str">
        <f>IFERROR(VLOOKUP(Orders!D670,Products!$A$2:$C$61,3,FALSE),"Unknown")</f>
        <v>Electronics</v>
      </c>
      <c r="F670" t="str">
        <f>IFERROR(VLOOKUP(Orders!C670,Customers!$A$2:$E$301,5,FALSE),"Unknown")</f>
        <v>Corporate</v>
      </c>
      <c r="G670">
        <f>IFERROR(VLOOKUP(Orders!C670,Customers!$A$2:$C$301,3,FALSE),"")</f>
        <v>51</v>
      </c>
      <c r="H670" t="str">
        <f>VLOOKUP(D670,Sales_Reps!$A$2:$C$31,3,FALSE)</f>
        <v>East</v>
      </c>
      <c r="I670" s="44">
        <f t="shared" si="23"/>
        <v>45413</v>
      </c>
      <c r="L670" t="str">
        <f>Orders!K670</f>
        <v>Chennai</v>
      </c>
      <c r="M670">
        <f>Orders!G670</f>
        <v>3970</v>
      </c>
      <c r="N670">
        <f>IFERROR(VLOOKUP(Orders!D670,Products!$A$2:$D$61,4,FALSE),"")</f>
        <v>2865</v>
      </c>
      <c r="O670">
        <f t="shared" si="24"/>
        <v>0.27833753148614609</v>
      </c>
      <c r="Q670" t="str">
        <f>Orders!D670</f>
        <v>PROD-006</v>
      </c>
    </row>
    <row r="671" spans="1:17" x14ac:dyDescent="0.3">
      <c r="A671" t="str">
        <f>Orders!A671</f>
        <v>ORD-00670</v>
      </c>
      <c r="B671">
        <f>Orders!B671</f>
        <v>45393</v>
      </c>
      <c r="C671">
        <f>Orders!I671</f>
        <v>11400.48</v>
      </c>
      <c r="D671" t="str">
        <f>Orders!E671</f>
        <v>R023</v>
      </c>
      <c r="E671" t="str">
        <f>IFERROR(VLOOKUP(Orders!D671,Products!$A$2:$C$61,3,FALSE),"Unknown")</f>
        <v>Grocery</v>
      </c>
      <c r="F671" t="str">
        <f>IFERROR(VLOOKUP(Orders!C671,Customers!$A$2:$E$301,5,FALSE),"Unknown")</f>
        <v>SMB</v>
      </c>
      <c r="G671">
        <f>IFERROR(VLOOKUP(Orders!C671,Customers!$A$2:$C$301,3,FALSE),"")</f>
        <v>28</v>
      </c>
      <c r="H671" t="str">
        <f>VLOOKUP(D671,Sales_Reps!$A$2:$C$31,3,FALSE)</f>
        <v>East</v>
      </c>
      <c r="I671" s="44">
        <f t="shared" si="23"/>
        <v>45383</v>
      </c>
      <c r="L671" t="str">
        <f>Orders!K671</f>
        <v>Bengaluru</v>
      </c>
      <c r="M671">
        <f>Orders!G671</f>
        <v>3780</v>
      </c>
      <c r="N671">
        <f>IFERROR(VLOOKUP(Orders!D671,Products!$A$2:$D$61,4,FALSE),"")</f>
        <v>2436</v>
      </c>
      <c r="O671">
        <f t="shared" si="24"/>
        <v>0.35555555555555557</v>
      </c>
      <c r="Q671" t="str">
        <f>Orders!D671</f>
        <v>PROD-027</v>
      </c>
    </row>
    <row r="672" spans="1:17" x14ac:dyDescent="0.3">
      <c r="A672" t="str">
        <f>Orders!A672</f>
        <v>ORD-00671</v>
      </c>
      <c r="B672">
        <f>Orders!B672</f>
        <v>45295</v>
      </c>
      <c r="C672">
        <f>Orders!I672</f>
        <v>23718.400000000001</v>
      </c>
      <c r="D672" t="str">
        <f>Orders!E672</f>
        <v>R008</v>
      </c>
      <c r="E672" t="str">
        <f>IFERROR(VLOOKUP(Orders!D672,Products!$A$2:$C$61,3,FALSE),"Unknown")</f>
        <v>Apparel</v>
      </c>
      <c r="F672" t="str">
        <f>IFERROR(VLOOKUP(Orders!C672,Customers!$A$2:$E$301,5,FALSE),"Unknown")</f>
        <v>Retail</v>
      </c>
      <c r="G672">
        <f>IFERROR(VLOOKUP(Orders!C672,Customers!$A$2:$C$301,3,FALSE),"")</f>
        <v>52</v>
      </c>
      <c r="H672" t="str">
        <f>VLOOKUP(D672,Sales_Reps!$A$2:$C$31,3,FALSE)</f>
        <v>North</v>
      </c>
      <c r="I672" s="44">
        <f t="shared" si="23"/>
        <v>45292</v>
      </c>
      <c r="L672" t="str">
        <f>Orders!K672</f>
        <v>Bengaluru</v>
      </c>
      <c r="M672">
        <f>Orders!G672</f>
        <v>2720</v>
      </c>
      <c r="N672">
        <f>IFERROR(VLOOKUP(Orders!D672,Products!$A$2:$D$61,4,FALSE),"")</f>
        <v>1962</v>
      </c>
      <c r="O672">
        <f t="shared" si="24"/>
        <v>0.2786764705882353</v>
      </c>
      <c r="Q672" t="str">
        <f>Orders!D672</f>
        <v>PROD-015</v>
      </c>
    </row>
    <row r="673" spans="1:17" x14ac:dyDescent="0.3">
      <c r="A673" t="str">
        <f>Orders!A673</f>
        <v>ORD-00672</v>
      </c>
      <c r="B673">
        <f>Orders!B673</f>
        <v>45371</v>
      </c>
      <c r="C673">
        <f>Orders!I673</f>
        <v>18678.849999999999</v>
      </c>
      <c r="D673" t="str">
        <f>Orders!E673</f>
        <v>R017</v>
      </c>
      <c r="E673" t="str">
        <f>IFERROR(VLOOKUP(Orders!D673,Products!$A$2:$C$61,3,FALSE),"Unknown")</f>
        <v>Electronics</v>
      </c>
      <c r="F673" t="str">
        <f>IFERROR(VLOOKUP(Orders!C673,Customers!$A$2:$E$301,5,FALSE),"Unknown")</f>
        <v>Retail</v>
      </c>
      <c r="G673">
        <f>IFERROR(VLOOKUP(Orders!C673,Customers!$A$2:$C$301,3,FALSE),"")</f>
        <v>49</v>
      </c>
      <c r="H673" t="str">
        <f>VLOOKUP(D673,Sales_Reps!$A$2:$C$31,3,FALSE)</f>
        <v>East</v>
      </c>
      <c r="I673" s="44">
        <f t="shared" si="23"/>
        <v>45352</v>
      </c>
      <c r="L673" t="str">
        <f>Orders!K673</f>
        <v>Mumbai</v>
      </c>
      <c r="M673">
        <f>Orders!G673</f>
        <v>3970</v>
      </c>
      <c r="N673">
        <f>IFERROR(VLOOKUP(Orders!D673,Products!$A$2:$D$61,4,FALSE),"")</f>
        <v>2865</v>
      </c>
      <c r="O673">
        <f t="shared" si="24"/>
        <v>0.27833753148614609</v>
      </c>
      <c r="Q673" t="str">
        <f>Orders!D673</f>
        <v>PROD-006</v>
      </c>
    </row>
    <row r="674" spans="1:17" x14ac:dyDescent="0.3">
      <c r="A674" t="str">
        <f>Orders!A674</f>
        <v>ORD-00673</v>
      </c>
      <c r="B674">
        <f>Orders!B674</f>
        <v>45601</v>
      </c>
      <c r="C674">
        <f>Orders!I674</f>
        <v>1982.76</v>
      </c>
      <c r="D674" t="str">
        <f>Orders!E674</f>
        <v>R011</v>
      </c>
      <c r="E674" t="str">
        <f>IFERROR(VLOOKUP(Orders!D674,Products!$A$2:$C$61,3,FALSE),"Unknown")</f>
        <v>Apparel</v>
      </c>
      <c r="F674" t="str">
        <f>IFERROR(VLOOKUP(Orders!C674,Customers!$A$2:$E$301,5,FALSE),"Unknown")</f>
        <v>SMB</v>
      </c>
      <c r="G674">
        <f>IFERROR(VLOOKUP(Orders!C674,Customers!$A$2:$C$301,3,FALSE),"")</f>
        <v>39</v>
      </c>
      <c r="H674" t="str">
        <f>VLOOKUP(D674,Sales_Reps!$A$2:$C$31,3,FALSE)</f>
        <v>South</v>
      </c>
      <c r="I674" s="44">
        <f t="shared" si="23"/>
        <v>45597</v>
      </c>
      <c r="L674" t="str">
        <f>Orders!K674</f>
        <v>Pune</v>
      </c>
      <c r="M674">
        <f>Orders!G674</f>
        <v>820</v>
      </c>
      <c r="N674">
        <f>IFERROR(VLOOKUP(Orders!D674,Products!$A$2:$D$61,4,FALSE),"")</f>
        <v>391</v>
      </c>
      <c r="O674">
        <f t="shared" si="24"/>
        <v>0.52317073170731709</v>
      </c>
      <c r="Q674" t="str">
        <f>Orders!D674</f>
        <v>PROD-020</v>
      </c>
    </row>
    <row r="675" spans="1:17" x14ac:dyDescent="0.3">
      <c r="A675" t="str">
        <f>Orders!A675</f>
        <v>ORD-00674</v>
      </c>
      <c r="B675">
        <f>Orders!B675</f>
        <v>45471</v>
      </c>
      <c r="C675">
        <f>Orders!I675</f>
        <v>3910.34</v>
      </c>
      <c r="D675" t="str">
        <f>Orders!E675</f>
        <v>R010</v>
      </c>
      <c r="E675" t="str">
        <f>IFERROR(VLOOKUP(Orders!D675,Products!$A$2:$C$61,3,FALSE),"Unknown")</f>
        <v>Apparel</v>
      </c>
      <c r="F675" t="str">
        <f>IFERROR(VLOOKUP(Orders!C675,Customers!$A$2:$E$301,5,FALSE),"Unknown")</f>
        <v>Retail</v>
      </c>
      <c r="G675">
        <f>IFERROR(VLOOKUP(Orders!C675,Customers!$A$2:$C$301,3,FALSE),"")</f>
        <v>37</v>
      </c>
      <c r="H675" t="str">
        <f>VLOOKUP(D675,Sales_Reps!$A$2:$C$31,3,FALSE)</f>
        <v>South</v>
      </c>
      <c r="I675" s="44">
        <f t="shared" si="23"/>
        <v>45444</v>
      </c>
      <c r="L675" t="str">
        <f>Orders!K675</f>
        <v>Mumbai</v>
      </c>
      <c r="M675">
        <f>Orders!G675</f>
        <v>620</v>
      </c>
      <c r="N675">
        <f>IFERROR(VLOOKUP(Orders!D675,Products!$A$2:$D$61,4,FALSE),"")</f>
        <v>396</v>
      </c>
      <c r="O675">
        <f t="shared" si="24"/>
        <v>0.36129032258064514</v>
      </c>
      <c r="Q675" t="str">
        <f>Orders!D675</f>
        <v>PROD-016</v>
      </c>
    </row>
    <row r="676" spans="1:17" x14ac:dyDescent="0.3">
      <c r="A676" t="str">
        <f>Orders!A676</f>
        <v>ORD-00675</v>
      </c>
      <c r="B676">
        <f>Orders!B676</f>
        <v>45318</v>
      </c>
      <c r="C676">
        <f>Orders!I676</f>
        <v>14967.44</v>
      </c>
      <c r="D676" t="str">
        <f>Orders!E676</f>
        <v>R027</v>
      </c>
      <c r="E676" t="str">
        <f>IFERROR(VLOOKUP(Orders!D676,Products!$A$2:$C$61,3,FALSE),"Unknown")</f>
        <v>Beauty</v>
      </c>
      <c r="F676" t="str">
        <f>IFERROR(VLOOKUP(Orders!C676,Customers!$A$2:$E$301,5,FALSE),"Unknown")</f>
        <v>Retail</v>
      </c>
      <c r="G676">
        <f>IFERROR(VLOOKUP(Orders!C676,Customers!$A$2:$C$301,3,FALSE),"")</f>
        <v>31</v>
      </c>
      <c r="H676" t="str">
        <f>VLOOKUP(D676,Sales_Reps!$A$2:$C$31,3,FALSE)</f>
        <v>West</v>
      </c>
      <c r="I676" s="44">
        <f t="shared" si="23"/>
        <v>45292</v>
      </c>
      <c r="L676" t="str">
        <f>Orders!K676</f>
        <v>Hyderabad</v>
      </c>
      <c r="M676">
        <f>Orders!G676</f>
        <v>2290</v>
      </c>
      <c r="N676">
        <f>IFERROR(VLOOKUP(Orders!D676,Products!$A$2:$D$61,4,FALSE),"")</f>
        <v>1219</v>
      </c>
      <c r="O676">
        <f t="shared" si="24"/>
        <v>0.46768558951965067</v>
      </c>
      <c r="Q676" t="str">
        <f>Orders!D676</f>
        <v>PROD-042</v>
      </c>
    </row>
    <row r="677" spans="1:17" x14ac:dyDescent="0.3">
      <c r="A677" t="str">
        <f>Orders!A677</f>
        <v>ORD-00676</v>
      </c>
      <c r="B677">
        <f>Orders!B677</f>
        <v>45364</v>
      </c>
      <c r="C677">
        <f>Orders!I677</f>
        <v>2374.56</v>
      </c>
      <c r="D677" t="str">
        <f>Orders!E677</f>
        <v>R025</v>
      </c>
      <c r="E677" t="str">
        <f>IFERROR(VLOOKUP(Orders!D677,Products!$A$2:$C$61,3,FALSE),"Unknown")</f>
        <v>Grocery</v>
      </c>
      <c r="F677" t="str">
        <f>IFERROR(VLOOKUP(Orders!C677,Customers!$A$2:$E$301,5,FALSE),"Unknown")</f>
        <v>Corporate</v>
      </c>
      <c r="G677">
        <f>IFERROR(VLOOKUP(Orders!C677,Customers!$A$2:$C$301,3,FALSE),"")</f>
        <v>41</v>
      </c>
      <c r="H677" t="str">
        <f>VLOOKUP(D677,Sales_Reps!$A$2:$C$31,3,FALSE)</f>
        <v>West</v>
      </c>
      <c r="I677" s="44">
        <f t="shared" si="23"/>
        <v>45352</v>
      </c>
      <c r="L677" t="str">
        <f>Orders!K677</f>
        <v>Bengaluru</v>
      </c>
      <c r="M677">
        <f>Orders!G677</f>
        <v>970</v>
      </c>
      <c r="N677">
        <f>IFERROR(VLOOKUP(Orders!D677,Products!$A$2:$D$61,4,FALSE),"")</f>
        <v>434</v>
      </c>
      <c r="O677">
        <f t="shared" si="24"/>
        <v>0.5525773195876289</v>
      </c>
      <c r="Q677" t="str">
        <f>Orders!D677</f>
        <v>PROD-030</v>
      </c>
    </row>
    <row r="678" spans="1:17" x14ac:dyDescent="0.3">
      <c r="A678" t="str">
        <f>Orders!A678</f>
        <v>ORD-00677</v>
      </c>
      <c r="B678">
        <f>Orders!B678</f>
        <v>45419</v>
      </c>
      <c r="C678">
        <f>Orders!I678</f>
        <v>674.14</v>
      </c>
      <c r="D678" t="str">
        <f>Orders!E678</f>
        <v>R014</v>
      </c>
      <c r="E678" t="str">
        <f>IFERROR(VLOOKUP(Orders!D678,Products!$A$2:$C$61,3,FALSE),"Unknown")</f>
        <v>Home</v>
      </c>
      <c r="F678" t="str">
        <f>IFERROR(VLOOKUP(Orders!C678,Customers!$A$2:$E$301,5,FALSE),"Unknown")</f>
        <v>Retail</v>
      </c>
      <c r="G678">
        <f>IFERROR(VLOOKUP(Orders!C678,Customers!$A$2:$C$301,3,FALSE),"")</f>
        <v>47</v>
      </c>
      <c r="H678" t="str">
        <f>VLOOKUP(D678,Sales_Reps!$A$2:$C$31,3,FALSE)</f>
        <v>South</v>
      </c>
      <c r="I678" s="44">
        <f t="shared" si="23"/>
        <v>45413</v>
      </c>
      <c r="L678" t="str">
        <f>Orders!K678</f>
        <v>Delhi</v>
      </c>
      <c r="M678">
        <f>Orders!G678</f>
        <v>370</v>
      </c>
      <c r="N678">
        <f>IFERROR(VLOOKUP(Orders!D678,Products!$A$2:$D$61,4,FALSE),"")</f>
        <v>288</v>
      </c>
      <c r="O678">
        <f t="shared" si="24"/>
        <v>0.22162162162162163</v>
      </c>
      <c r="Q678" t="str">
        <f>Orders!D678</f>
        <v>PROD-032</v>
      </c>
    </row>
    <row r="679" spans="1:17" x14ac:dyDescent="0.3">
      <c r="A679" t="str">
        <f>Orders!A679</f>
        <v>ORD-00678</v>
      </c>
      <c r="B679">
        <f>Orders!B679</f>
        <v>45632</v>
      </c>
      <c r="C679">
        <f>Orders!I679</f>
        <v>1345.63</v>
      </c>
      <c r="D679" t="str">
        <f>Orders!E679</f>
        <v>R007</v>
      </c>
      <c r="E679" t="str">
        <f>IFERROR(VLOOKUP(Orders!D679,Products!$A$2:$C$61,3,FALSE),"Unknown")</f>
        <v>Electronics</v>
      </c>
      <c r="F679" t="str">
        <f>IFERROR(VLOOKUP(Orders!C679,Customers!$A$2:$E$301,5,FALSE),"Unknown")</f>
        <v>SMB</v>
      </c>
      <c r="G679">
        <f>IFERROR(VLOOKUP(Orders!C679,Customers!$A$2:$C$301,3,FALSE),"")</f>
        <v>26</v>
      </c>
      <c r="H679" t="str">
        <f>VLOOKUP(D679,Sales_Reps!$A$2:$C$31,3,FALSE)</f>
        <v>North</v>
      </c>
      <c r="I679" s="44">
        <f t="shared" si="23"/>
        <v>45627</v>
      </c>
      <c r="L679" t="str">
        <f>Orders!K679</f>
        <v>Delhi</v>
      </c>
      <c r="M679">
        <f>Orders!G679</f>
        <v>1430</v>
      </c>
      <c r="N679">
        <f>IFERROR(VLOOKUP(Orders!D679,Products!$A$2:$D$61,4,FALSE),"")</f>
        <v>861</v>
      </c>
      <c r="O679">
        <f t="shared" si="24"/>
        <v>0.39790209790209791</v>
      </c>
      <c r="Q679" t="str">
        <f>Orders!D679</f>
        <v>PROD-007</v>
      </c>
    </row>
    <row r="680" spans="1:17" x14ac:dyDescent="0.3">
      <c r="A680" t="str">
        <f>Orders!A680</f>
        <v>ORD-00679</v>
      </c>
      <c r="B680">
        <f>Orders!B680</f>
        <v>45494</v>
      </c>
      <c r="C680">
        <f>Orders!I680</f>
        <v>3403.2</v>
      </c>
      <c r="D680" t="str">
        <f>Orders!E680</f>
        <v>R030</v>
      </c>
      <c r="E680" t="str">
        <f>IFERROR(VLOOKUP(Orders!D680,Products!$A$2:$C$61,3,FALSE),"Unknown")</f>
        <v>Sports</v>
      </c>
      <c r="F680" t="str">
        <f>IFERROR(VLOOKUP(Orders!C680,Customers!$A$2:$E$301,5,FALSE),"Unknown")</f>
        <v>Retail</v>
      </c>
      <c r="G680">
        <f>IFERROR(VLOOKUP(Orders!C680,Customers!$A$2:$C$301,3,FALSE),"")</f>
        <v>37</v>
      </c>
      <c r="H680" t="str">
        <f>VLOOKUP(D680,Sales_Reps!$A$2:$C$31,3,FALSE)</f>
        <v>West</v>
      </c>
      <c r="I680" s="44">
        <f t="shared" si="23"/>
        <v>45474</v>
      </c>
      <c r="L680" t="str">
        <f>Orders!K680</f>
        <v>Bengaluru</v>
      </c>
      <c r="M680">
        <f>Orders!G680</f>
        <v>2400</v>
      </c>
      <c r="N680">
        <f>IFERROR(VLOOKUP(Orders!D680,Products!$A$2:$D$61,4,FALSE),"")</f>
        <v>974</v>
      </c>
      <c r="O680">
        <f t="shared" si="24"/>
        <v>0.59416666666666662</v>
      </c>
      <c r="Q680" t="str">
        <f>Orders!D680</f>
        <v>PROD-058</v>
      </c>
    </row>
    <row r="681" spans="1:17" x14ac:dyDescent="0.3">
      <c r="A681" t="str">
        <f>Orders!A681</f>
        <v>ORD-00680</v>
      </c>
      <c r="B681">
        <f>Orders!B681</f>
        <v>45337</v>
      </c>
      <c r="C681">
        <f>Orders!I681</f>
        <v>12097.8</v>
      </c>
      <c r="D681" t="str">
        <f>Orders!E681</f>
        <v>R011</v>
      </c>
      <c r="E681" t="str">
        <f>IFERROR(VLOOKUP(Orders!D681,Products!$A$2:$C$61,3,FALSE),"Unknown")</f>
        <v>Electronics</v>
      </c>
      <c r="F681" t="str">
        <f>IFERROR(VLOOKUP(Orders!C681,Customers!$A$2:$E$301,5,FALSE),"Unknown")</f>
        <v>SMB</v>
      </c>
      <c r="G681">
        <f>IFERROR(VLOOKUP(Orders!C681,Customers!$A$2:$C$301,3,FALSE),"")</f>
        <v>53</v>
      </c>
      <c r="H681" t="str">
        <f>VLOOKUP(D681,Sales_Reps!$A$2:$C$31,3,FALSE)</f>
        <v>South</v>
      </c>
      <c r="I681" s="44">
        <f t="shared" si="23"/>
        <v>45323</v>
      </c>
      <c r="L681" t="str">
        <f>Orders!K681</f>
        <v>Delhi</v>
      </c>
      <c r="M681">
        <f>Orders!G681</f>
        <v>1430</v>
      </c>
      <c r="N681">
        <f>IFERROR(VLOOKUP(Orders!D681,Products!$A$2:$D$61,4,FALSE),"")</f>
        <v>861</v>
      </c>
      <c r="O681">
        <f t="shared" si="24"/>
        <v>0.39790209790209791</v>
      </c>
      <c r="Q681" t="str">
        <f>Orders!D681</f>
        <v>PROD-007</v>
      </c>
    </row>
    <row r="682" spans="1:17" x14ac:dyDescent="0.3">
      <c r="A682" t="str">
        <f>Orders!A682</f>
        <v>ORD-00681</v>
      </c>
      <c r="B682">
        <f>Orders!B682</f>
        <v>45510</v>
      </c>
      <c r="C682">
        <f>Orders!I682</f>
        <v>16167.68</v>
      </c>
      <c r="D682" t="str">
        <f>Orders!E682</f>
        <v>R007</v>
      </c>
      <c r="E682" t="str">
        <f>IFERROR(VLOOKUP(Orders!D682,Products!$A$2:$C$61,3,FALSE),"Unknown")</f>
        <v>Apparel</v>
      </c>
      <c r="F682" t="str">
        <f>IFERROR(VLOOKUP(Orders!C682,Customers!$A$2:$E$301,5,FALSE),"Unknown")</f>
        <v>SMB</v>
      </c>
      <c r="G682">
        <f>IFERROR(VLOOKUP(Orders!C682,Customers!$A$2:$C$301,3,FALSE),"")</f>
        <v>48</v>
      </c>
      <c r="H682" t="str">
        <f>VLOOKUP(D682,Sales_Reps!$A$2:$C$31,3,FALSE)</f>
        <v>North</v>
      </c>
      <c r="I682" s="44">
        <f t="shared" si="23"/>
        <v>45505</v>
      </c>
      <c r="L682" t="str">
        <f>Orders!K682</f>
        <v>Delhi</v>
      </c>
      <c r="M682">
        <f>Orders!G682</f>
        <v>2720</v>
      </c>
      <c r="N682">
        <f>IFERROR(VLOOKUP(Orders!D682,Products!$A$2:$D$61,4,FALSE),"")</f>
        <v>1962</v>
      </c>
      <c r="O682">
        <f t="shared" si="24"/>
        <v>0.2786764705882353</v>
      </c>
      <c r="Q682" t="str">
        <f>Orders!D682</f>
        <v>PROD-015</v>
      </c>
    </row>
    <row r="683" spans="1:17" x14ac:dyDescent="0.3">
      <c r="A683" t="str">
        <f>Orders!A683</f>
        <v>ORD-00682</v>
      </c>
      <c r="B683">
        <f>Orders!B683</f>
        <v>45572</v>
      </c>
      <c r="C683">
        <f>Orders!I683</f>
        <v>30938.52</v>
      </c>
      <c r="D683" t="str">
        <f>Orders!E683</f>
        <v>R027</v>
      </c>
      <c r="E683" t="str">
        <f>IFERROR(VLOOKUP(Orders!D683,Products!$A$2:$C$61,3,FALSE),"Unknown")</f>
        <v>Sports</v>
      </c>
      <c r="F683" t="str">
        <f>IFERROR(VLOOKUP(Orders!C683,Customers!$A$2:$E$301,5,FALSE),"Unknown")</f>
        <v>Retail</v>
      </c>
      <c r="G683">
        <f>IFERROR(VLOOKUP(Orders!C683,Customers!$A$2:$C$301,3,FALSE),"")</f>
        <v>24</v>
      </c>
      <c r="H683" t="str">
        <f>VLOOKUP(D683,Sales_Reps!$A$2:$C$31,3,FALSE)</f>
        <v>West</v>
      </c>
      <c r="I683" s="44">
        <f t="shared" si="23"/>
        <v>45566</v>
      </c>
      <c r="L683" t="str">
        <f>Orders!K683</f>
        <v>Chennai</v>
      </c>
      <c r="M683">
        <f>Orders!G683</f>
        <v>6940</v>
      </c>
      <c r="N683">
        <f>IFERROR(VLOOKUP(Orders!D683,Products!$A$2:$D$61,4,FALSE),"")</f>
        <v>2827</v>
      </c>
      <c r="O683">
        <f t="shared" si="24"/>
        <v>0.5926512968299712</v>
      </c>
      <c r="Q683" t="str">
        <f>Orders!D683</f>
        <v>PROD-056</v>
      </c>
    </row>
    <row r="684" spans="1:17" x14ac:dyDescent="0.3">
      <c r="A684" t="str">
        <f>Orders!A684</f>
        <v>ORD-00683</v>
      </c>
      <c r="B684">
        <f>Orders!B684</f>
        <v>45472</v>
      </c>
      <c r="C684">
        <f>Orders!I684</f>
        <v>7634.58</v>
      </c>
      <c r="D684" t="str">
        <f>Orders!E684</f>
        <v>R007</v>
      </c>
      <c r="E684" t="str">
        <f>IFERROR(VLOOKUP(Orders!D684,Products!$A$2:$C$61,3,FALSE),"Unknown")</f>
        <v>Apparel</v>
      </c>
      <c r="F684" t="str">
        <f>IFERROR(VLOOKUP(Orders!C684,Customers!$A$2:$E$301,5,FALSE),"Unknown")</f>
        <v>Corporate</v>
      </c>
      <c r="G684">
        <f>IFERROR(VLOOKUP(Orders!C684,Customers!$A$2:$C$301,3,FALSE),"")</f>
        <v>42</v>
      </c>
      <c r="H684" t="str">
        <f>VLOOKUP(D684,Sales_Reps!$A$2:$C$31,3,FALSE)</f>
        <v>North</v>
      </c>
      <c r="I684" s="44">
        <f t="shared" si="23"/>
        <v>45444</v>
      </c>
      <c r="L684" t="str">
        <f>Orders!K684</f>
        <v>Pune</v>
      </c>
      <c r="M684">
        <f>Orders!G684</f>
        <v>3620</v>
      </c>
      <c r="N684">
        <f>IFERROR(VLOOKUP(Orders!D684,Products!$A$2:$D$61,4,FALSE),"")</f>
        <v>2509</v>
      </c>
      <c r="O684">
        <f t="shared" si="24"/>
        <v>0.3069060773480663</v>
      </c>
      <c r="Q684" t="str">
        <f>Orders!D684</f>
        <v>PROD-014</v>
      </c>
    </row>
    <row r="685" spans="1:17" x14ac:dyDescent="0.3">
      <c r="A685" t="str">
        <f>Orders!A685</f>
        <v>ORD-00684</v>
      </c>
      <c r="B685">
        <f>Orders!B685</f>
        <v>45615</v>
      </c>
      <c r="C685">
        <f>Orders!I685</f>
        <v>15966.72</v>
      </c>
      <c r="D685" t="str">
        <f>Orders!E685</f>
        <v>R025</v>
      </c>
      <c r="E685" t="str">
        <f>IFERROR(VLOOKUP(Orders!D685,Products!$A$2:$C$61,3,FALSE),"Unknown")</f>
        <v>Electronics</v>
      </c>
      <c r="F685" t="str">
        <f>IFERROR(VLOOKUP(Orders!C685,Customers!$A$2:$E$301,5,FALSE),"Unknown")</f>
        <v>SMB</v>
      </c>
      <c r="G685">
        <f>IFERROR(VLOOKUP(Orders!C685,Customers!$A$2:$C$301,3,FALSE),"")</f>
        <v>53</v>
      </c>
      <c r="H685" t="str">
        <f>VLOOKUP(D685,Sales_Reps!$A$2:$C$31,3,FALSE)</f>
        <v>West</v>
      </c>
      <c r="I685" s="44">
        <f t="shared" si="23"/>
        <v>45597</v>
      </c>
      <c r="L685" t="str">
        <f>Orders!K685</f>
        <v>Chennai</v>
      </c>
      <c r="M685">
        <f>Orders!G685</f>
        <v>2640</v>
      </c>
      <c r="N685">
        <f>IFERROR(VLOOKUP(Orders!D685,Products!$A$2:$D$61,4,FALSE),"")</f>
        <v>1149</v>
      </c>
      <c r="O685">
        <f t="shared" si="24"/>
        <v>0.56477272727272732</v>
      </c>
      <c r="Q685" t="str">
        <f>Orders!D685</f>
        <v>PROD-010</v>
      </c>
    </row>
    <row r="686" spans="1:17" x14ac:dyDescent="0.3">
      <c r="A686" t="str">
        <f>Orders!A686</f>
        <v>ORD-00685</v>
      </c>
      <c r="B686">
        <f>Orders!B686</f>
        <v>45349</v>
      </c>
      <c r="C686">
        <f>Orders!I686</f>
        <v>14246.55</v>
      </c>
      <c r="D686" t="str">
        <f>Orders!E686</f>
        <v>R006</v>
      </c>
      <c r="E686" t="str">
        <f>IFERROR(VLOOKUP(Orders!D686,Products!$A$2:$C$61,3,FALSE),"Unknown")</f>
        <v>Home</v>
      </c>
      <c r="F686" t="str">
        <f>IFERROR(VLOOKUP(Orders!C686,Customers!$A$2:$E$301,5,FALSE),"Unknown")</f>
        <v>Retail</v>
      </c>
      <c r="G686">
        <f>IFERROR(VLOOKUP(Orders!C686,Customers!$A$2:$C$301,3,FALSE),"")</f>
        <v>56</v>
      </c>
      <c r="H686" t="str">
        <f>VLOOKUP(D686,Sales_Reps!$A$2:$C$31,3,FALSE)</f>
        <v>North</v>
      </c>
      <c r="I686" s="44">
        <f t="shared" si="23"/>
        <v>45323</v>
      </c>
      <c r="L686" t="str">
        <f>Orders!K686</f>
        <v>Mumbai</v>
      </c>
      <c r="M686">
        <f>Orders!G686</f>
        <v>5490</v>
      </c>
      <c r="N686">
        <f>IFERROR(VLOOKUP(Orders!D686,Products!$A$2:$D$61,4,FALSE),"")</f>
        <v>2549</v>
      </c>
      <c r="O686">
        <f t="shared" si="24"/>
        <v>0.53570127504553733</v>
      </c>
      <c r="Q686" t="str">
        <f>Orders!D686</f>
        <v>PROD-038</v>
      </c>
    </row>
    <row r="687" spans="1:17" x14ac:dyDescent="0.3">
      <c r="A687" t="str">
        <f>Orders!A687</f>
        <v>ORD-00686</v>
      </c>
      <c r="B687">
        <f>Orders!B687</f>
        <v>45413</v>
      </c>
      <c r="C687">
        <f>Orders!I687</f>
        <v>13822.68</v>
      </c>
      <c r="D687" t="str">
        <f>Orders!E687</f>
        <v>R017</v>
      </c>
      <c r="E687" t="str">
        <f>IFERROR(VLOOKUP(Orders!D687,Products!$A$2:$C$61,3,FALSE),"Unknown")</f>
        <v>Home</v>
      </c>
      <c r="F687" t="str">
        <f>IFERROR(VLOOKUP(Orders!C687,Customers!$A$2:$E$301,5,FALSE),"Unknown")</f>
        <v>SMB</v>
      </c>
      <c r="G687">
        <f>IFERROR(VLOOKUP(Orders!C687,Customers!$A$2:$C$301,3,FALSE),"")</f>
        <v>39</v>
      </c>
      <c r="H687" t="str">
        <f>VLOOKUP(D687,Sales_Reps!$A$2:$C$31,3,FALSE)</f>
        <v>East</v>
      </c>
      <c r="I687" s="44">
        <f t="shared" si="23"/>
        <v>45413</v>
      </c>
      <c r="L687" t="str">
        <f>Orders!K687</f>
        <v>Pune</v>
      </c>
      <c r="M687">
        <f>Orders!G687</f>
        <v>5080</v>
      </c>
      <c r="N687">
        <f>IFERROR(VLOOKUP(Orders!D687,Products!$A$2:$D$61,4,FALSE),"")</f>
        <v>2459</v>
      </c>
      <c r="O687">
        <f t="shared" si="24"/>
        <v>0.51594488188976373</v>
      </c>
      <c r="Q687" t="str">
        <f>Orders!D687</f>
        <v>PROD-034</v>
      </c>
    </row>
    <row r="688" spans="1:17" x14ac:dyDescent="0.3">
      <c r="A688" t="str">
        <f>Orders!A688</f>
        <v>ORD-00687</v>
      </c>
      <c r="B688">
        <f>Orders!B688</f>
        <v>45515</v>
      </c>
      <c r="C688">
        <f>Orders!I688</f>
        <v>6924.96</v>
      </c>
      <c r="D688" t="str">
        <f>Orders!E688</f>
        <v>R030</v>
      </c>
      <c r="E688" t="str">
        <f>IFERROR(VLOOKUP(Orders!D688,Products!$A$2:$C$61,3,FALSE),"Unknown")</f>
        <v>Beauty</v>
      </c>
      <c r="F688" t="str">
        <f>IFERROR(VLOOKUP(Orders!C688,Customers!$A$2:$E$301,5,FALSE),"Unknown")</f>
        <v>SMB</v>
      </c>
      <c r="G688">
        <f>IFERROR(VLOOKUP(Orders!C688,Customers!$A$2:$C$301,3,FALSE),"")</f>
        <v>28</v>
      </c>
      <c r="H688" t="str">
        <f>VLOOKUP(D688,Sales_Reps!$A$2:$C$31,3,FALSE)</f>
        <v>West</v>
      </c>
      <c r="I688" s="44">
        <f t="shared" si="23"/>
        <v>45505</v>
      </c>
      <c r="L688" t="str">
        <f>Orders!K688</f>
        <v>Bengaluru</v>
      </c>
      <c r="M688">
        <f>Orders!G688</f>
        <v>2290</v>
      </c>
      <c r="N688">
        <f>IFERROR(VLOOKUP(Orders!D688,Products!$A$2:$D$61,4,FALSE),"")</f>
        <v>1219</v>
      </c>
      <c r="O688">
        <f t="shared" si="24"/>
        <v>0.46768558951965067</v>
      </c>
      <c r="Q688" t="str">
        <f>Orders!D688</f>
        <v>PROD-042</v>
      </c>
    </row>
    <row r="689" spans="1:17" x14ac:dyDescent="0.3">
      <c r="A689" t="str">
        <f>Orders!A689</f>
        <v>ORD-00688</v>
      </c>
      <c r="B689">
        <f>Orders!B689</f>
        <v>45463</v>
      </c>
      <c r="C689">
        <f>Orders!I689</f>
        <v>17539.2</v>
      </c>
      <c r="D689" t="str">
        <f>Orders!E689</f>
        <v>R011</v>
      </c>
      <c r="E689" t="str">
        <f>IFERROR(VLOOKUP(Orders!D689,Products!$A$2:$C$61,3,FALSE),"Unknown")</f>
        <v>Home</v>
      </c>
      <c r="F689" t="str">
        <f>IFERROR(VLOOKUP(Orders!C689,Customers!$A$2:$E$301,5,FALSE),"Unknown")</f>
        <v>Retail</v>
      </c>
      <c r="G689">
        <f>IFERROR(VLOOKUP(Orders!C689,Customers!$A$2:$C$301,3,FALSE),"")</f>
        <v>22</v>
      </c>
      <c r="H689" t="str">
        <f>VLOOKUP(D689,Sales_Reps!$A$2:$C$31,3,FALSE)</f>
        <v>South</v>
      </c>
      <c r="I689" s="44">
        <f t="shared" si="23"/>
        <v>45444</v>
      </c>
      <c r="L689" t="str">
        <f>Orders!K689</f>
        <v>Pune</v>
      </c>
      <c r="M689">
        <f>Orders!G689</f>
        <v>2030</v>
      </c>
      <c r="N689">
        <f>IFERROR(VLOOKUP(Orders!D689,Products!$A$2:$D$61,4,FALSE),"")</f>
        <v>1143</v>
      </c>
      <c r="O689">
        <f t="shared" si="24"/>
        <v>0.43694581280788175</v>
      </c>
      <c r="Q689" t="str">
        <f>Orders!D689</f>
        <v>PROD-033</v>
      </c>
    </row>
    <row r="690" spans="1:17" x14ac:dyDescent="0.3">
      <c r="A690" t="str">
        <f>Orders!A690</f>
        <v>ORD-00689</v>
      </c>
      <c r="B690">
        <f>Orders!B690</f>
        <v>45607</v>
      </c>
      <c r="C690">
        <f>Orders!I690</f>
        <v>11997.7</v>
      </c>
      <c r="D690" t="str">
        <f>Orders!E690</f>
        <v>R012</v>
      </c>
      <c r="E690" t="str">
        <f>IFERROR(VLOOKUP(Orders!D690,Products!$A$2:$C$61,3,FALSE),"Unknown")</f>
        <v>Electronics</v>
      </c>
      <c r="F690" t="str">
        <f>IFERROR(VLOOKUP(Orders!C690,Customers!$A$2:$E$301,5,FALSE),"Unknown")</f>
        <v>SMB</v>
      </c>
      <c r="G690">
        <f>IFERROR(VLOOKUP(Orders!C690,Customers!$A$2:$C$301,3,FALSE),"")</f>
        <v>61</v>
      </c>
      <c r="H690" t="str">
        <f>VLOOKUP(D690,Sales_Reps!$A$2:$C$31,3,FALSE)</f>
        <v>South</v>
      </c>
      <c r="I690" s="44">
        <f t="shared" si="23"/>
        <v>45597</v>
      </c>
      <c r="L690" t="str">
        <f>Orders!K690</f>
        <v>Mumbai</v>
      </c>
      <c r="M690">
        <f>Orders!G690</f>
        <v>1430</v>
      </c>
      <c r="N690">
        <f>IFERROR(VLOOKUP(Orders!D690,Products!$A$2:$D$61,4,FALSE),"")</f>
        <v>861</v>
      </c>
      <c r="O690">
        <f t="shared" si="24"/>
        <v>0.39790209790209791</v>
      </c>
      <c r="Q690" t="str">
        <f>Orders!D690</f>
        <v>PROD-007</v>
      </c>
    </row>
    <row r="691" spans="1:17" x14ac:dyDescent="0.3">
      <c r="A691" t="str">
        <f>Orders!A691</f>
        <v>ORD-00690</v>
      </c>
      <c r="B691">
        <f>Orders!B691</f>
        <v>45357</v>
      </c>
      <c r="C691">
        <f>Orders!I691</f>
        <v>2921.94</v>
      </c>
      <c r="D691" t="str">
        <f>Orders!E691</f>
        <v>R009</v>
      </c>
      <c r="E691" t="str">
        <f>IFERROR(VLOOKUP(Orders!D691,Products!$A$2:$C$61,3,FALSE),"Unknown")</f>
        <v>Grocery</v>
      </c>
      <c r="F691" t="str">
        <f>IFERROR(VLOOKUP(Orders!C691,Customers!$A$2:$E$301,5,FALSE),"Unknown")</f>
        <v>SMB</v>
      </c>
      <c r="G691">
        <f>IFERROR(VLOOKUP(Orders!C691,Customers!$A$2:$C$301,3,FALSE),"")</f>
        <v>54</v>
      </c>
      <c r="H691" t="str">
        <f>VLOOKUP(D691,Sales_Reps!$A$2:$C$31,3,FALSE)</f>
        <v>South</v>
      </c>
      <c r="I691" s="44">
        <f t="shared" si="23"/>
        <v>45352</v>
      </c>
      <c r="L691" t="str">
        <f>Orders!K691</f>
        <v>Mumbai</v>
      </c>
      <c r="M691">
        <f>Orders!G691</f>
        <v>3780</v>
      </c>
      <c r="N691">
        <f>IFERROR(VLOOKUP(Orders!D691,Products!$A$2:$D$61,4,FALSE),"")</f>
        <v>2436</v>
      </c>
      <c r="O691">
        <f t="shared" si="24"/>
        <v>0.35555555555555557</v>
      </c>
      <c r="Q691" t="str">
        <f>Orders!D691</f>
        <v>PROD-027</v>
      </c>
    </row>
    <row r="692" spans="1:17" x14ac:dyDescent="0.3">
      <c r="A692" t="str">
        <f>Orders!A692</f>
        <v>ORD-00691</v>
      </c>
      <c r="B692">
        <f>Orders!B692</f>
        <v>45443</v>
      </c>
      <c r="C692">
        <f>Orders!I692</f>
        <v>27365.599999999999</v>
      </c>
      <c r="D692" t="str">
        <f>Orders!E692</f>
        <v>R021</v>
      </c>
      <c r="E692" t="str">
        <f>IFERROR(VLOOKUP(Orders!D692,Products!$A$2:$C$61,3,FALSE),"Unknown")</f>
        <v>Apparel</v>
      </c>
      <c r="F692" t="str">
        <f>IFERROR(VLOOKUP(Orders!C692,Customers!$A$2:$E$301,5,FALSE),"Unknown")</f>
        <v>Retail</v>
      </c>
      <c r="G692">
        <f>IFERROR(VLOOKUP(Orders!C692,Customers!$A$2:$C$301,3,FALSE),"")</f>
        <v>50</v>
      </c>
      <c r="H692" t="str">
        <f>VLOOKUP(D692,Sales_Reps!$A$2:$C$31,3,FALSE)</f>
        <v>East</v>
      </c>
      <c r="I692" s="44">
        <f t="shared" si="23"/>
        <v>45413</v>
      </c>
      <c r="L692" t="str">
        <f>Orders!K692</f>
        <v>Mumbai</v>
      </c>
      <c r="M692">
        <f>Orders!G692</f>
        <v>3160</v>
      </c>
      <c r="N692">
        <f>IFERROR(VLOOKUP(Orders!D692,Products!$A$2:$D$61,4,FALSE),"")</f>
        <v>1886</v>
      </c>
      <c r="O692">
        <f t="shared" si="24"/>
        <v>0.4031645569620253</v>
      </c>
      <c r="Q692" t="str">
        <f>Orders!D692</f>
        <v>PROD-012</v>
      </c>
    </row>
    <row r="693" spans="1:17" x14ac:dyDescent="0.3">
      <c r="A693" t="str">
        <f>Orders!A693</f>
        <v>ORD-00692</v>
      </c>
      <c r="B693">
        <f>Orders!B693</f>
        <v>45422</v>
      </c>
      <c r="C693">
        <f>Orders!I693</f>
        <v>2648.36</v>
      </c>
      <c r="D693" t="str">
        <f>Orders!E693</f>
        <v>R003</v>
      </c>
      <c r="E693" t="str">
        <f>IFERROR(VLOOKUP(Orders!D693,Products!$A$2:$C$61,3,FALSE),"Unknown")</f>
        <v>Electronics</v>
      </c>
      <c r="F693" t="str">
        <f>IFERROR(VLOOKUP(Orders!C693,Customers!$A$2:$E$301,5,FALSE),"Unknown")</f>
        <v>Retail</v>
      </c>
      <c r="G693">
        <f>IFERROR(VLOOKUP(Orders!C693,Customers!$A$2:$C$301,3,FALSE),"")</f>
        <v>65</v>
      </c>
      <c r="H693" t="str">
        <f>VLOOKUP(D693,Sales_Reps!$A$2:$C$31,3,FALSE)</f>
        <v>North</v>
      </c>
      <c r="I693" s="44">
        <f t="shared" si="23"/>
        <v>45413</v>
      </c>
      <c r="L693" t="str">
        <f>Orders!K693</f>
        <v>Pune</v>
      </c>
      <c r="M693">
        <f>Orders!G693</f>
        <v>1430</v>
      </c>
      <c r="N693">
        <f>IFERROR(VLOOKUP(Orders!D693,Products!$A$2:$D$61,4,FALSE),"")</f>
        <v>861</v>
      </c>
      <c r="O693">
        <f t="shared" si="24"/>
        <v>0.39790209790209791</v>
      </c>
      <c r="Q693" t="str">
        <f>Orders!D693</f>
        <v>PROD-007</v>
      </c>
    </row>
    <row r="694" spans="1:17" x14ac:dyDescent="0.3">
      <c r="A694" t="str">
        <f>Orders!A694</f>
        <v>ORD-00693</v>
      </c>
      <c r="B694">
        <f>Orders!B694</f>
        <v>45640</v>
      </c>
      <c r="C694">
        <f>Orders!I694</f>
        <v>15231.2</v>
      </c>
      <c r="D694" t="str">
        <f>Orders!E694</f>
        <v>R006</v>
      </c>
      <c r="E694" t="str">
        <f>IFERROR(VLOOKUP(Orders!D694,Products!$A$2:$C$61,3,FALSE),"Unknown")</f>
        <v>Apparel</v>
      </c>
      <c r="F694" t="str">
        <f>IFERROR(VLOOKUP(Orders!C694,Customers!$A$2:$E$301,5,FALSE),"Unknown")</f>
        <v>SMB</v>
      </c>
      <c r="G694">
        <f>IFERROR(VLOOKUP(Orders!C694,Customers!$A$2:$C$301,3,FALSE),"")</f>
        <v>64</v>
      </c>
      <c r="H694" t="str">
        <f>VLOOKUP(D694,Sales_Reps!$A$2:$C$31,3,FALSE)</f>
        <v>North</v>
      </c>
      <c r="I694" s="44">
        <f t="shared" si="23"/>
        <v>45627</v>
      </c>
      <c r="L694" t="str">
        <f>Orders!K694</f>
        <v>Bengaluru</v>
      </c>
      <c r="M694">
        <f>Orders!G694</f>
        <v>3160</v>
      </c>
      <c r="N694">
        <f>IFERROR(VLOOKUP(Orders!D694,Products!$A$2:$D$61,4,FALSE),"")</f>
        <v>1886</v>
      </c>
      <c r="O694">
        <f t="shared" si="24"/>
        <v>0.4031645569620253</v>
      </c>
      <c r="Q694" t="str">
        <f>Orders!D694</f>
        <v>PROD-012</v>
      </c>
    </row>
    <row r="695" spans="1:17" x14ac:dyDescent="0.3">
      <c r="A695" t="str">
        <f>Orders!A695</f>
        <v>ORD-00694</v>
      </c>
      <c r="B695">
        <f>Orders!B695</f>
        <v>45521</v>
      </c>
      <c r="C695">
        <f>Orders!I695</f>
        <v>3288.44</v>
      </c>
      <c r="D695" t="str">
        <f>Orders!E695</f>
        <v>R004</v>
      </c>
      <c r="E695" t="str">
        <f>IFERROR(VLOOKUP(Orders!D695,Products!$A$2:$C$61,3,FALSE),"Unknown")</f>
        <v>Beauty</v>
      </c>
      <c r="F695" t="str">
        <f>IFERROR(VLOOKUP(Orders!C695,Customers!$A$2:$E$301,5,FALSE),"Unknown")</f>
        <v>Retail</v>
      </c>
      <c r="G695">
        <f>IFERROR(VLOOKUP(Orders!C695,Customers!$A$2:$C$301,3,FALSE),"")</f>
        <v>36</v>
      </c>
      <c r="H695" t="str">
        <f>VLOOKUP(D695,Sales_Reps!$A$2:$C$31,3,FALSE)</f>
        <v>North</v>
      </c>
      <c r="I695" s="44">
        <f t="shared" si="23"/>
        <v>45505</v>
      </c>
      <c r="L695" t="str">
        <f>Orders!K695</f>
        <v>Pune</v>
      </c>
      <c r="M695">
        <f>Orders!G695</f>
        <v>2290</v>
      </c>
      <c r="N695">
        <f>IFERROR(VLOOKUP(Orders!D695,Products!$A$2:$D$61,4,FALSE),"")</f>
        <v>1219</v>
      </c>
      <c r="O695">
        <f t="shared" si="24"/>
        <v>0.46768558951965067</v>
      </c>
      <c r="Q695" t="str">
        <f>Orders!D695</f>
        <v>PROD-042</v>
      </c>
    </row>
    <row r="696" spans="1:17" x14ac:dyDescent="0.3">
      <c r="A696" t="str">
        <f>Orders!A696</f>
        <v>ORD-00695</v>
      </c>
      <c r="B696">
        <f>Orders!B696</f>
        <v>45366</v>
      </c>
      <c r="C696">
        <f>Orders!I696</f>
        <v>14127.75</v>
      </c>
      <c r="D696" t="str">
        <f>Orders!E696</f>
        <v>R015</v>
      </c>
      <c r="E696" t="str">
        <f>IFERROR(VLOOKUP(Orders!D696,Products!$A$2:$C$61,3,FALSE),"Unknown")</f>
        <v>Apparel</v>
      </c>
      <c r="F696" t="str">
        <f>IFERROR(VLOOKUP(Orders!C696,Customers!$A$2:$E$301,5,FALSE),"Unknown")</f>
        <v>Retail</v>
      </c>
      <c r="G696">
        <f>IFERROR(VLOOKUP(Orders!C696,Customers!$A$2:$C$301,3,FALSE),"")</f>
        <v>36</v>
      </c>
      <c r="H696" t="str">
        <f>VLOOKUP(D696,Sales_Reps!$A$2:$C$31,3,FALSE)</f>
        <v>South</v>
      </c>
      <c r="I696" s="44">
        <f t="shared" si="23"/>
        <v>45352</v>
      </c>
      <c r="L696" t="str">
        <f>Orders!K696</f>
        <v>Pune</v>
      </c>
      <c r="M696">
        <f>Orders!G696</f>
        <v>3450</v>
      </c>
      <c r="N696">
        <f>IFERROR(VLOOKUP(Orders!D696,Products!$A$2:$D$61,4,FALSE),"")</f>
        <v>1748</v>
      </c>
      <c r="O696">
        <f t="shared" si="24"/>
        <v>0.49333333333333335</v>
      </c>
      <c r="Q696" t="str">
        <f>Orders!D696</f>
        <v>PROD-011</v>
      </c>
    </row>
    <row r="697" spans="1:17" x14ac:dyDescent="0.3">
      <c r="A697" t="str">
        <f>Orders!A697</f>
        <v>ORD-00696</v>
      </c>
      <c r="B697">
        <f>Orders!B697</f>
        <v>45439</v>
      </c>
      <c r="C697">
        <f>Orders!I697</f>
        <v>2894.28</v>
      </c>
      <c r="D697" t="str">
        <f>Orders!E697</f>
        <v>R001</v>
      </c>
      <c r="E697" t="str">
        <f>IFERROR(VLOOKUP(Orders!D697,Products!$A$2:$C$61,3,FALSE),"Unknown")</f>
        <v>Apparel</v>
      </c>
      <c r="F697" t="str">
        <f>IFERROR(VLOOKUP(Orders!C697,Customers!$A$2:$E$301,5,FALSE),"Unknown")</f>
        <v>Retail</v>
      </c>
      <c r="G697">
        <f>IFERROR(VLOOKUP(Orders!C697,Customers!$A$2:$C$301,3,FALSE),"")</f>
        <v>51</v>
      </c>
      <c r="H697" t="str">
        <f>VLOOKUP(D697,Sales_Reps!$A$2:$C$31,3,FALSE)</f>
        <v>North</v>
      </c>
      <c r="I697" s="44">
        <f t="shared" si="23"/>
        <v>45413</v>
      </c>
      <c r="L697" t="str">
        <f>Orders!K697</f>
        <v>Chennai</v>
      </c>
      <c r="M697">
        <f>Orders!G697</f>
        <v>3560</v>
      </c>
      <c r="N697">
        <f>IFERROR(VLOOKUP(Orders!D697,Products!$A$2:$D$61,4,FALSE),"")</f>
        <v>2629</v>
      </c>
      <c r="O697">
        <f t="shared" si="24"/>
        <v>0.26151685393258428</v>
      </c>
      <c r="Q697" t="str">
        <f>Orders!D697</f>
        <v>PROD-018</v>
      </c>
    </row>
    <row r="698" spans="1:17" x14ac:dyDescent="0.3">
      <c r="A698" t="str">
        <f>Orders!A698</f>
        <v>ORD-00697</v>
      </c>
      <c r="B698">
        <f>Orders!B698</f>
        <v>45426</v>
      </c>
      <c r="C698">
        <f>Orders!I698</f>
        <v>17604</v>
      </c>
      <c r="D698" t="str">
        <f>Orders!E698</f>
        <v>R009</v>
      </c>
      <c r="E698" t="str">
        <f>IFERROR(VLOOKUP(Orders!D698,Products!$A$2:$C$61,3,FALSE),"Unknown")</f>
        <v>Sports</v>
      </c>
      <c r="F698" t="str">
        <f>IFERROR(VLOOKUP(Orders!C698,Customers!$A$2:$E$301,5,FALSE),"Unknown")</f>
        <v>Corporate</v>
      </c>
      <c r="G698">
        <f>IFERROR(VLOOKUP(Orders!C698,Customers!$A$2:$C$301,3,FALSE),"")</f>
        <v>46</v>
      </c>
      <c r="H698" t="str">
        <f>VLOOKUP(D698,Sales_Reps!$A$2:$C$31,3,FALSE)</f>
        <v>South</v>
      </c>
      <c r="I698" s="44">
        <f t="shared" si="23"/>
        <v>45413</v>
      </c>
      <c r="L698" t="str">
        <f>Orders!K698</f>
        <v>Hyderabad</v>
      </c>
      <c r="M698">
        <f>Orders!G698</f>
        <v>2400</v>
      </c>
      <c r="N698">
        <f>IFERROR(VLOOKUP(Orders!D698,Products!$A$2:$D$61,4,FALSE),"")</f>
        <v>974</v>
      </c>
      <c r="O698">
        <f t="shared" si="24"/>
        <v>0.59416666666666662</v>
      </c>
      <c r="Q698" t="str">
        <f>Orders!D698</f>
        <v>PROD-058</v>
      </c>
    </row>
    <row r="699" spans="1:17" x14ac:dyDescent="0.3">
      <c r="A699" t="str">
        <f>Orders!A699</f>
        <v>ORD-00698</v>
      </c>
      <c r="B699">
        <f>Orders!B699</f>
        <v>45415</v>
      </c>
      <c r="C699">
        <f>Orders!I699</f>
        <v>32426.73</v>
      </c>
      <c r="D699" t="str">
        <f>Orders!E699</f>
        <v>R023</v>
      </c>
      <c r="E699" t="str">
        <f>IFERROR(VLOOKUP(Orders!D699,Products!$A$2:$C$61,3,FALSE),"Unknown")</f>
        <v>Electronics</v>
      </c>
      <c r="F699" t="str">
        <f>IFERROR(VLOOKUP(Orders!C699,Customers!$A$2:$E$301,5,FALSE),"Unknown")</f>
        <v>Retail</v>
      </c>
      <c r="G699">
        <f>IFERROR(VLOOKUP(Orders!C699,Customers!$A$2:$C$301,3,FALSE),"")</f>
        <v>60</v>
      </c>
      <c r="H699" t="str">
        <f>VLOOKUP(D699,Sales_Reps!$A$2:$C$31,3,FALSE)</f>
        <v>East</v>
      </c>
      <c r="I699" s="44">
        <f t="shared" si="23"/>
        <v>45413</v>
      </c>
      <c r="L699" t="str">
        <f>Orders!K699</f>
        <v>Chennai</v>
      </c>
      <c r="M699">
        <f>Orders!G699</f>
        <v>3870</v>
      </c>
      <c r="N699">
        <f>IFERROR(VLOOKUP(Orders!D699,Products!$A$2:$D$61,4,FALSE),"")</f>
        <v>1559</v>
      </c>
      <c r="O699">
        <f t="shared" si="24"/>
        <v>0.59715762273901807</v>
      </c>
      <c r="Q699" t="str">
        <f>Orders!D699</f>
        <v>PROD-004</v>
      </c>
    </row>
    <row r="700" spans="1:17" x14ac:dyDescent="0.3">
      <c r="A700" t="str">
        <f>Orders!A700</f>
        <v>ORD-00699</v>
      </c>
      <c r="B700">
        <f>Orders!B700</f>
        <v>45620</v>
      </c>
      <c r="C700">
        <f>Orders!I700</f>
        <v>16158.9</v>
      </c>
      <c r="D700" t="str">
        <f>Orders!E700</f>
        <v>R022</v>
      </c>
      <c r="E700" t="str">
        <f>IFERROR(VLOOKUP(Orders!D700,Products!$A$2:$C$61,3,FALSE),"Unknown")</f>
        <v>Grocery</v>
      </c>
      <c r="F700" t="str">
        <f>IFERROR(VLOOKUP(Orders!C700,Customers!$A$2:$E$301,5,FALSE),"Unknown")</f>
        <v>Retail</v>
      </c>
      <c r="G700">
        <f>IFERROR(VLOOKUP(Orders!C700,Customers!$A$2:$C$301,3,FALSE),"")</f>
        <v>53</v>
      </c>
      <c r="H700" t="str">
        <f>VLOOKUP(D700,Sales_Reps!$A$2:$C$31,3,FALSE)</f>
        <v>East</v>
      </c>
      <c r="I700" s="44">
        <f t="shared" si="23"/>
        <v>45597</v>
      </c>
      <c r="L700" t="str">
        <f>Orders!K700</f>
        <v>Delhi</v>
      </c>
      <c r="M700">
        <f>Orders!G700</f>
        <v>3660</v>
      </c>
      <c r="N700">
        <f>IFERROR(VLOOKUP(Orders!D700,Products!$A$2:$D$61,4,FALSE),"")</f>
        <v>2214</v>
      </c>
      <c r="O700">
        <f t="shared" si="24"/>
        <v>0.39508196721311473</v>
      </c>
      <c r="Q700" t="str">
        <f>Orders!D700</f>
        <v>PROD-028</v>
      </c>
    </row>
    <row r="701" spans="1:17" x14ac:dyDescent="0.3">
      <c r="A701" t="str">
        <f>Orders!A701</f>
        <v>ORD-00700</v>
      </c>
      <c r="B701">
        <f>Orders!B701</f>
        <v>45346</v>
      </c>
      <c r="C701">
        <f>Orders!I701</f>
        <v>3564</v>
      </c>
      <c r="D701" t="str">
        <f>Orders!E701</f>
        <v>R030</v>
      </c>
      <c r="E701" t="str">
        <f>IFERROR(VLOOKUP(Orders!D701,Products!$A$2:$C$61,3,FALSE),"Unknown")</f>
        <v>Home</v>
      </c>
      <c r="F701" t="str">
        <f>IFERROR(VLOOKUP(Orders!C701,Customers!$A$2:$E$301,5,FALSE),"Unknown")</f>
        <v>Corporate</v>
      </c>
      <c r="G701">
        <f>IFERROR(VLOOKUP(Orders!C701,Customers!$A$2:$C$301,3,FALSE),"")</f>
        <v>24</v>
      </c>
      <c r="H701" t="str">
        <f>VLOOKUP(D701,Sales_Reps!$A$2:$C$31,3,FALSE)</f>
        <v>West</v>
      </c>
      <c r="I701" s="44">
        <f t="shared" si="23"/>
        <v>45323</v>
      </c>
      <c r="L701" t="str">
        <f>Orders!K701</f>
        <v>Chennai</v>
      </c>
      <c r="M701">
        <f>Orders!G701</f>
        <v>1080</v>
      </c>
      <c r="N701">
        <f>IFERROR(VLOOKUP(Orders!D701,Products!$A$2:$D$61,4,FALSE),"")</f>
        <v>519</v>
      </c>
      <c r="O701">
        <f t="shared" si="24"/>
        <v>0.51944444444444449</v>
      </c>
      <c r="Q701" t="str">
        <f>Orders!D701</f>
        <v>PROD-040</v>
      </c>
    </row>
    <row r="702" spans="1:17" x14ac:dyDescent="0.3">
      <c r="A702" t="str">
        <f>Orders!A702</f>
        <v>ORD-01185</v>
      </c>
      <c r="B702">
        <f>Orders!B702</f>
        <v>45297</v>
      </c>
      <c r="C702">
        <f>Orders!I702</f>
        <v>16374.96</v>
      </c>
      <c r="D702" t="str">
        <f>Orders!E702</f>
        <v>R006</v>
      </c>
      <c r="E702" t="str">
        <f>IFERROR(VLOOKUP(Orders!D702,Products!$A$2:$C$61,3,FALSE),"Unknown")</f>
        <v>Sports</v>
      </c>
      <c r="F702" t="str">
        <f>IFERROR(VLOOKUP(Orders!C702,Customers!$A$2:$E$301,5,FALSE),"Unknown")</f>
        <v>Retail</v>
      </c>
      <c r="G702">
        <f>IFERROR(VLOOKUP(Orders!C702,Customers!$A$2:$C$301,3,FALSE),"")</f>
        <v>52</v>
      </c>
      <c r="H702" t="str">
        <f>VLOOKUP(D702,Sales_Reps!$A$2:$C$31,3,FALSE)</f>
        <v>North</v>
      </c>
      <c r="I702" s="44">
        <f t="shared" si="23"/>
        <v>45292</v>
      </c>
      <c r="L702" t="str">
        <f>Orders!K702</f>
        <v>Bengaluru</v>
      </c>
      <c r="M702">
        <f>Orders!G702</f>
        <v>3780</v>
      </c>
      <c r="N702">
        <f>IFERROR(VLOOKUP(Orders!D702,Products!$A$2:$D$61,4,FALSE),"")</f>
        <v>1860</v>
      </c>
      <c r="O702">
        <f t="shared" si="24"/>
        <v>0.50793650793650791</v>
      </c>
      <c r="Q702" t="str">
        <f>Orders!D702</f>
        <v>PROD-059</v>
      </c>
    </row>
    <row r="703" spans="1:17" x14ac:dyDescent="0.3">
      <c r="A703" t="str">
        <f>Orders!A703</f>
        <v>ORD-00702</v>
      </c>
      <c r="B703">
        <f>Orders!B703</f>
        <v>45521</v>
      </c>
      <c r="C703">
        <f>Orders!I703</f>
        <v>16725.12</v>
      </c>
      <c r="D703" t="str">
        <f>Orders!E703</f>
        <v>R022</v>
      </c>
      <c r="E703" t="str">
        <f>IFERROR(VLOOKUP(Orders!D703,Products!$A$2:$C$61,3,FALSE),"Unknown")</f>
        <v>Apparel</v>
      </c>
      <c r="F703" t="str">
        <f>IFERROR(VLOOKUP(Orders!C703,Customers!$A$2:$E$301,5,FALSE),"Unknown")</f>
        <v>SMB</v>
      </c>
      <c r="G703">
        <f>IFERROR(VLOOKUP(Orders!C703,Customers!$A$2:$C$301,3,FALSE),"")</f>
        <v>54</v>
      </c>
      <c r="H703" t="str">
        <f>VLOOKUP(D703,Sales_Reps!$A$2:$C$31,3,FALSE)</f>
        <v>East</v>
      </c>
      <c r="I703" s="44">
        <f t="shared" si="23"/>
        <v>45505</v>
      </c>
      <c r="L703" t="str">
        <f>Orders!K703</f>
        <v>Mumbai</v>
      </c>
      <c r="M703">
        <f>Orders!G703</f>
        <v>2480</v>
      </c>
      <c r="N703">
        <f>IFERROR(VLOOKUP(Orders!D703,Products!$A$2:$D$61,4,FALSE),"")</f>
        <v>1173</v>
      </c>
      <c r="O703">
        <f t="shared" si="24"/>
        <v>0.52701612903225803</v>
      </c>
      <c r="Q703" t="str">
        <f>Orders!D703</f>
        <v>PROD-019</v>
      </c>
    </row>
    <row r="704" spans="1:17" x14ac:dyDescent="0.3">
      <c r="A704" t="str">
        <f>Orders!A704</f>
        <v>ORD-00703</v>
      </c>
      <c r="B704">
        <f>Orders!B704</f>
        <v>45409</v>
      </c>
      <c r="C704">
        <f>Orders!I704</f>
        <v>10089.9</v>
      </c>
      <c r="D704" t="str">
        <f>Orders!E704</f>
        <v>R014</v>
      </c>
      <c r="E704" t="str">
        <f>IFERROR(VLOOKUP(Orders!D704,Products!$A$2:$C$61,3,FALSE),"Unknown")</f>
        <v>Sports</v>
      </c>
      <c r="F704" t="str">
        <f>IFERROR(VLOOKUP(Orders!C704,Customers!$A$2:$E$301,5,FALSE),"Unknown")</f>
        <v>SMB</v>
      </c>
      <c r="G704">
        <f>IFERROR(VLOOKUP(Orders!C704,Customers!$A$2:$C$301,3,FALSE),"")</f>
        <v>54</v>
      </c>
      <c r="H704" t="str">
        <f>VLOOKUP(D704,Sales_Reps!$A$2:$C$31,3,FALSE)</f>
        <v>South</v>
      </c>
      <c r="I704" s="44">
        <f t="shared" si="23"/>
        <v>45383</v>
      </c>
      <c r="L704" t="str">
        <f>Orders!K704</f>
        <v>Pune</v>
      </c>
      <c r="M704">
        <f>Orders!G704</f>
        <v>1010</v>
      </c>
      <c r="N704">
        <f>IFERROR(VLOOKUP(Orders!D704,Products!$A$2:$D$61,4,FALSE),"")</f>
        <v>516</v>
      </c>
      <c r="O704">
        <f t="shared" si="24"/>
        <v>0.4891089108910891</v>
      </c>
      <c r="Q704" t="str">
        <f>Orders!D704</f>
        <v>PROD-054</v>
      </c>
    </row>
    <row r="705" spans="1:17" x14ac:dyDescent="0.3">
      <c r="A705" t="str">
        <f>Orders!A705</f>
        <v>ORD-00704</v>
      </c>
      <c r="B705">
        <f>Orders!B705</f>
        <v>45406</v>
      </c>
      <c r="C705">
        <f>Orders!I705</f>
        <v>1394.49</v>
      </c>
      <c r="D705" t="str">
        <f>Orders!E705</f>
        <v>R015</v>
      </c>
      <c r="E705" t="str">
        <f>IFERROR(VLOOKUP(Orders!D705,Products!$A$2:$C$61,3,FALSE),"Unknown")</f>
        <v>Sports</v>
      </c>
      <c r="F705" t="str">
        <f>IFERROR(VLOOKUP(Orders!C705,Customers!$A$2:$E$301,5,FALSE),"Unknown")</f>
        <v>Retail</v>
      </c>
      <c r="G705">
        <f>IFERROR(VLOOKUP(Orders!C705,Customers!$A$2:$C$301,3,FALSE),"")</f>
        <v>63</v>
      </c>
      <c r="H705" t="str">
        <f>VLOOKUP(D705,Sales_Reps!$A$2:$C$31,3,FALSE)</f>
        <v>South</v>
      </c>
      <c r="I705" s="44">
        <f t="shared" si="23"/>
        <v>45383</v>
      </c>
      <c r="L705" t="str">
        <f>Orders!K705</f>
        <v>Pune</v>
      </c>
      <c r="M705">
        <f>Orders!G705</f>
        <v>470</v>
      </c>
      <c r="N705">
        <f>IFERROR(VLOOKUP(Orders!D705,Products!$A$2:$D$61,4,FALSE),"")</f>
        <v>302</v>
      </c>
      <c r="O705">
        <f t="shared" si="24"/>
        <v>0.35744680851063831</v>
      </c>
      <c r="Q705" t="str">
        <f>Orders!D705</f>
        <v>PROD-053</v>
      </c>
    </row>
    <row r="706" spans="1:17" x14ac:dyDescent="0.3">
      <c r="A706" t="str">
        <f>Orders!A706</f>
        <v>ORD-00705</v>
      </c>
      <c r="B706">
        <f>Orders!B706</f>
        <v>45474</v>
      </c>
      <c r="C706">
        <f>Orders!I706</f>
        <v>7527.32</v>
      </c>
      <c r="D706" t="str">
        <f>Orders!E706</f>
        <v>R019</v>
      </c>
      <c r="E706" t="str">
        <f>IFERROR(VLOOKUP(Orders!D706,Products!$A$2:$C$61,3,FALSE),"Unknown")</f>
        <v>Grocery</v>
      </c>
      <c r="F706" t="str">
        <f>IFERROR(VLOOKUP(Orders!C706,Customers!$A$2:$E$301,5,FALSE),"Unknown")</f>
        <v>Retail</v>
      </c>
      <c r="G706">
        <f>IFERROR(VLOOKUP(Orders!C706,Customers!$A$2:$C$301,3,FALSE),"")</f>
        <v>24</v>
      </c>
      <c r="H706" t="str">
        <f>VLOOKUP(D706,Sales_Reps!$A$2:$C$31,3,FALSE)</f>
        <v>East</v>
      </c>
      <c r="I706" s="44">
        <f t="shared" si="23"/>
        <v>45474</v>
      </c>
      <c r="L706" t="str">
        <f>Orders!K706</f>
        <v>Delhi</v>
      </c>
      <c r="M706">
        <f>Orders!G706</f>
        <v>2270</v>
      </c>
      <c r="N706">
        <f>IFERROR(VLOOKUP(Orders!D706,Products!$A$2:$D$61,4,FALSE),"")</f>
        <v>1203</v>
      </c>
      <c r="O706">
        <f t="shared" si="24"/>
        <v>0.47004405286343615</v>
      </c>
      <c r="Q706" t="str">
        <f>Orders!D706</f>
        <v>PROD-024</v>
      </c>
    </row>
    <row r="707" spans="1:17" x14ac:dyDescent="0.3">
      <c r="A707" t="str">
        <f>Orders!A707</f>
        <v>ORD-00706</v>
      </c>
      <c r="B707">
        <f>Orders!B707</f>
        <v>45588</v>
      </c>
      <c r="C707">
        <f>Orders!I707</f>
        <v>16016.28</v>
      </c>
      <c r="D707" t="str">
        <f>Orders!E707</f>
        <v>R010</v>
      </c>
      <c r="E707" t="str">
        <f>IFERROR(VLOOKUP(Orders!D707,Products!$A$2:$C$61,3,FALSE),"Unknown")</f>
        <v>Grocery</v>
      </c>
      <c r="F707" t="str">
        <f>IFERROR(VLOOKUP(Orders!C707,Customers!$A$2:$E$301,5,FALSE),"Unknown")</f>
        <v>Retail</v>
      </c>
      <c r="G707">
        <f>IFERROR(VLOOKUP(Orders!C707,Customers!$A$2:$C$301,3,FALSE),"")</f>
        <v>53</v>
      </c>
      <c r="H707" t="str">
        <f>VLOOKUP(D707,Sales_Reps!$A$2:$C$31,3,FALSE)</f>
        <v>South</v>
      </c>
      <c r="I707" s="44">
        <f t="shared" ref="I707:I770" si="25">DATE(YEAR(B707),MONTH(B707),1)</f>
        <v>45566</v>
      </c>
      <c r="L707" t="str">
        <f>Orders!K707</f>
        <v>Delhi</v>
      </c>
      <c r="M707">
        <f>Orders!G707</f>
        <v>2760</v>
      </c>
      <c r="N707">
        <f>IFERROR(VLOOKUP(Orders!D707,Products!$A$2:$D$61,4,FALSE),"")</f>
        <v>1435</v>
      </c>
      <c r="O707">
        <f t="shared" ref="O707:O770" si="26">IF(OR(N707="",M707&lt;=0),"",(M707-N707)/M707)</f>
        <v>0.48007246376811596</v>
      </c>
      <c r="Q707" t="str">
        <f>Orders!D707</f>
        <v>PROD-021</v>
      </c>
    </row>
    <row r="708" spans="1:17" x14ac:dyDescent="0.3">
      <c r="A708" t="str">
        <f>Orders!A708</f>
        <v>ORD-00707</v>
      </c>
      <c r="B708">
        <f>Orders!B708</f>
        <v>45530</v>
      </c>
      <c r="C708">
        <f>Orders!I708</f>
        <v>19333.8</v>
      </c>
      <c r="D708" t="str">
        <f>Orders!E708</f>
        <v>R008</v>
      </c>
      <c r="E708" t="str">
        <f>IFERROR(VLOOKUP(Orders!D708,Products!$A$2:$C$61,3,FALSE),"Unknown")</f>
        <v>Sports</v>
      </c>
      <c r="F708" t="str">
        <f>IFERROR(VLOOKUP(Orders!C708,Customers!$A$2:$E$301,5,FALSE),"Unknown")</f>
        <v>Retail</v>
      </c>
      <c r="G708">
        <f>IFERROR(VLOOKUP(Orders!C708,Customers!$A$2:$C$301,3,FALSE),"")</f>
        <v>41</v>
      </c>
      <c r="H708" t="str">
        <f>VLOOKUP(D708,Sales_Reps!$A$2:$C$31,3,FALSE)</f>
        <v>North</v>
      </c>
      <c r="I708" s="44">
        <f t="shared" si="25"/>
        <v>45505</v>
      </c>
      <c r="L708" t="str">
        <f>Orders!K708</f>
        <v>Hyderabad</v>
      </c>
      <c r="M708">
        <f>Orders!G708</f>
        <v>3450</v>
      </c>
      <c r="N708">
        <f>IFERROR(VLOOKUP(Orders!D708,Products!$A$2:$D$61,4,FALSE),"")</f>
        <v>2467</v>
      </c>
      <c r="O708">
        <f t="shared" si="26"/>
        <v>0.28492753623188405</v>
      </c>
      <c r="Q708" t="str">
        <f>Orders!D708</f>
        <v>PROD-051</v>
      </c>
    </row>
    <row r="709" spans="1:17" x14ac:dyDescent="0.3">
      <c r="A709" t="str">
        <f>Orders!A709</f>
        <v>ORD-00708</v>
      </c>
      <c r="B709">
        <f>Orders!B709</f>
        <v>45630</v>
      </c>
      <c r="C709">
        <f>Orders!I709</f>
        <v>27171.84</v>
      </c>
      <c r="D709" t="str">
        <f>Orders!E709</f>
        <v>R007</v>
      </c>
      <c r="E709" t="str">
        <f>IFERROR(VLOOKUP(Orders!D709,Products!$A$2:$C$61,3,FALSE),"Unknown")</f>
        <v>Grocery</v>
      </c>
      <c r="F709" t="str">
        <f>IFERROR(VLOOKUP(Orders!C709,Customers!$A$2:$E$301,5,FALSE),"Unknown")</f>
        <v>Retail</v>
      </c>
      <c r="G709">
        <f>IFERROR(VLOOKUP(Orders!C709,Customers!$A$2:$C$301,3,FALSE),"")</f>
        <v>22</v>
      </c>
      <c r="H709" t="str">
        <f>VLOOKUP(D709,Sales_Reps!$A$2:$C$31,3,FALSE)</f>
        <v>North</v>
      </c>
      <c r="I709" s="44">
        <f t="shared" si="25"/>
        <v>45627</v>
      </c>
      <c r="L709" t="str">
        <f>Orders!K709</f>
        <v>Hyderabad</v>
      </c>
      <c r="M709">
        <f>Orders!G709</f>
        <v>3660</v>
      </c>
      <c r="N709">
        <f>IFERROR(VLOOKUP(Orders!D709,Products!$A$2:$D$61,4,FALSE),"")</f>
        <v>2214</v>
      </c>
      <c r="O709">
        <f t="shared" si="26"/>
        <v>0.39508196721311473</v>
      </c>
      <c r="Q709" t="str">
        <f>Orders!D709</f>
        <v>PROD-028</v>
      </c>
    </row>
    <row r="710" spans="1:17" x14ac:dyDescent="0.3">
      <c r="A710" t="str">
        <f>Orders!A710</f>
        <v>ORD-00709</v>
      </c>
      <c r="B710">
        <f>Orders!B710</f>
        <v>45551</v>
      </c>
      <c r="C710">
        <f>Orders!I710</f>
        <v>3694.16</v>
      </c>
      <c r="D710" t="str">
        <f>Orders!E710</f>
        <v>R030</v>
      </c>
      <c r="E710" t="str">
        <f>IFERROR(VLOOKUP(Orders!D710,Products!$A$2:$C$61,3,FALSE),"Unknown")</f>
        <v>Electronics</v>
      </c>
      <c r="F710" t="str">
        <f>IFERROR(VLOOKUP(Orders!C710,Customers!$A$2:$E$301,5,FALSE),"Unknown")</f>
        <v>Retail</v>
      </c>
      <c r="G710">
        <f>IFERROR(VLOOKUP(Orders!C710,Customers!$A$2:$C$301,3,FALSE),"")</f>
        <v>39</v>
      </c>
      <c r="H710" t="str">
        <f>VLOOKUP(D710,Sales_Reps!$A$2:$C$31,3,FALSE)</f>
        <v>West</v>
      </c>
      <c r="I710" s="44">
        <f t="shared" si="25"/>
        <v>45536</v>
      </c>
      <c r="L710" t="str">
        <f>Orders!K710</f>
        <v>Pune</v>
      </c>
      <c r="M710">
        <f>Orders!G710</f>
        <v>1220</v>
      </c>
      <c r="N710">
        <f>IFERROR(VLOOKUP(Orders!D710,Products!$A$2:$D$61,4,FALSE),"")</f>
        <v>517</v>
      </c>
      <c r="O710">
        <f t="shared" si="26"/>
        <v>0.57622950819672136</v>
      </c>
      <c r="Q710" t="str">
        <f>Orders!D710</f>
        <v>PROD-009</v>
      </c>
    </row>
    <row r="711" spans="1:17" x14ac:dyDescent="0.3">
      <c r="A711" t="str">
        <f>Orders!A711</f>
        <v>ORD-00710</v>
      </c>
      <c r="B711">
        <f>Orders!B711</f>
        <v>45610</v>
      </c>
      <c r="C711">
        <f>Orders!I711</f>
        <v>10722.62</v>
      </c>
      <c r="D711" t="str">
        <f>Orders!E711</f>
        <v>R007</v>
      </c>
      <c r="E711" t="str">
        <f>IFERROR(VLOOKUP(Orders!D711,Products!$A$2:$C$61,3,FALSE),"Unknown")</f>
        <v>Sports</v>
      </c>
      <c r="F711" t="str">
        <f>IFERROR(VLOOKUP(Orders!C711,Customers!$A$2:$E$301,5,FALSE),"Unknown")</f>
        <v>SMB</v>
      </c>
      <c r="G711">
        <f>IFERROR(VLOOKUP(Orders!C711,Customers!$A$2:$C$301,3,FALSE),"")</f>
        <v>28</v>
      </c>
      <c r="H711" t="str">
        <f>VLOOKUP(D711,Sales_Reps!$A$2:$C$31,3,FALSE)</f>
        <v>North</v>
      </c>
      <c r="I711" s="44">
        <f t="shared" si="25"/>
        <v>45597</v>
      </c>
      <c r="L711" t="str">
        <f>Orders!K711</f>
        <v>Hyderabad</v>
      </c>
      <c r="M711">
        <f>Orders!G711</f>
        <v>5410</v>
      </c>
      <c r="N711">
        <f>IFERROR(VLOOKUP(Orders!D711,Products!$A$2:$D$61,4,FALSE),"")</f>
        <v>2265</v>
      </c>
      <c r="O711">
        <f t="shared" si="26"/>
        <v>0.58133086876155271</v>
      </c>
      <c r="Q711" t="str">
        <f>Orders!D711</f>
        <v>PROD-052</v>
      </c>
    </row>
    <row r="712" spans="1:17" x14ac:dyDescent="0.3">
      <c r="A712" t="str">
        <f>Orders!A712</f>
        <v>ORD-00711</v>
      </c>
      <c r="B712">
        <f>Orders!B712</f>
        <v>45322</v>
      </c>
      <c r="C712">
        <f>Orders!I712</f>
        <v>7592.2</v>
      </c>
      <c r="D712" t="str">
        <f>Orders!E712</f>
        <v>R009</v>
      </c>
      <c r="E712" t="str">
        <f>IFERROR(VLOOKUP(Orders!D712,Products!$A$2:$C$61,3,FALSE),"Unknown")</f>
        <v>Home</v>
      </c>
      <c r="F712" t="str">
        <f>IFERROR(VLOOKUP(Orders!C712,Customers!$A$2:$E$301,5,FALSE),"Unknown")</f>
        <v>Retail</v>
      </c>
      <c r="G712">
        <f>IFERROR(VLOOKUP(Orders!C712,Customers!$A$2:$C$301,3,FALSE),"")</f>
        <v>22</v>
      </c>
      <c r="H712" t="str">
        <f>VLOOKUP(D712,Sales_Reps!$A$2:$C$31,3,FALSE)</f>
        <v>South</v>
      </c>
      <c r="I712" s="44">
        <f t="shared" si="25"/>
        <v>45292</v>
      </c>
      <c r="L712" t="str">
        <f>Orders!K712</f>
        <v>Pune</v>
      </c>
      <c r="M712">
        <f>Orders!G712</f>
        <v>2030</v>
      </c>
      <c r="N712">
        <f>IFERROR(VLOOKUP(Orders!D712,Products!$A$2:$D$61,4,FALSE),"")</f>
        <v>1143</v>
      </c>
      <c r="O712">
        <f t="shared" si="26"/>
        <v>0.43694581280788175</v>
      </c>
      <c r="Q712" t="str">
        <f>Orders!D712</f>
        <v>PROD-033</v>
      </c>
    </row>
    <row r="713" spans="1:17" x14ac:dyDescent="0.3">
      <c r="A713" t="str">
        <f>Orders!A713</f>
        <v>ORD-00712</v>
      </c>
      <c r="B713">
        <f>Orders!B713</f>
        <v>45363</v>
      </c>
      <c r="C713">
        <f>Orders!I713</f>
        <v>5941.4</v>
      </c>
      <c r="D713" t="str">
        <f>Orders!E713</f>
        <v>R012</v>
      </c>
      <c r="E713" t="str">
        <f>IFERROR(VLOOKUP(Orders!D713,Products!$A$2:$C$61,3,FALSE),"Unknown")</f>
        <v>Electronics</v>
      </c>
      <c r="F713" t="str">
        <f>IFERROR(VLOOKUP(Orders!C713,Customers!$A$2:$E$301,5,FALSE),"Unknown")</f>
        <v>Retail</v>
      </c>
      <c r="G713">
        <f>IFERROR(VLOOKUP(Orders!C713,Customers!$A$2:$C$301,3,FALSE),"")</f>
        <v>26</v>
      </c>
      <c r="H713" t="str">
        <f>VLOOKUP(D713,Sales_Reps!$A$2:$C$31,3,FALSE)</f>
        <v>South</v>
      </c>
      <c r="I713" s="44">
        <f t="shared" si="25"/>
        <v>45352</v>
      </c>
      <c r="L713" t="str">
        <f>Orders!K713</f>
        <v>Chennai</v>
      </c>
      <c r="M713">
        <f>Orders!G713</f>
        <v>1220</v>
      </c>
      <c r="N713">
        <f>IFERROR(VLOOKUP(Orders!D713,Products!$A$2:$D$61,4,FALSE),"")</f>
        <v>517</v>
      </c>
      <c r="O713">
        <f t="shared" si="26"/>
        <v>0.57622950819672136</v>
      </c>
      <c r="Q713" t="str">
        <f>Orders!D713</f>
        <v>PROD-009</v>
      </c>
    </row>
    <row r="714" spans="1:17" x14ac:dyDescent="0.3">
      <c r="A714" t="str">
        <f>Orders!A714</f>
        <v>ORD-00713</v>
      </c>
      <c r="B714">
        <f>Orders!B714</f>
        <v>45600</v>
      </c>
      <c r="C714">
        <f>Orders!I714</f>
        <v>8607.76</v>
      </c>
      <c r="D714" t="str">
        <f>Orders!E714</f>
        <v>R006</v>
      </c>
      <c r="E714" t="str">
        <f>IFERROR(VLOOKUP(Orders!D714,Products!$A$2:$C$61,3,FALSE),"Unknown")</f>
        <v>Electronics</v>
      </c>
      <c r="F714" t="str">
        <f>IFERROR(VLOOKUP(Orders!C714,Customers!$A$2:$E$301,5,FALSE),"Unknown")</f>
        <v>Corporate</v>
      </c>
      <c r="G714">
        <f>IFERROR(VLOOKUP(Orders!C714,Customers!$A$2:$C$301,3,FALSE),"")</f>
        <v>55</v>
      </c>
      <c r="H714" t="str">
        <f>VLOOKUP(D714,Sales_Reps!$A$2:$C$31,3,FALSE)</f>
        <v>North</v>
      </c>
      <c r="I714" s="44">
        <f t="shared" si="25"/>
        <v>45597</v>
      </c>
      <c r="L714" t="str">
        <f>Orders!K714</f>
        <v>Mumbai</v>
      </c>
      <c r="M714">
        <f>Orders!G714</f>
        <v>2660</v>
      </c>
      <c r="N714">
        <f>IFERROR(VLOOKUP(Orders!D714,Products!$A$2:$D$61,4,FALSE),"")</f>
        <v>1259</v>
      </c>
      <c r="O714">
        <f t="shared" si="26"/>
        <v>0.52669172932330832</v>
      </c>
      <c r="Q714" t="str">
        <f>Orders!D714</f>
        <v>PROD-008</v>
      </c>
    </row>
    <row r="715" spans="1:17" x14ac:dyDescent="0.3">
      <c r="A715" t="str">
        <f>Orders!A715</f>
        <v>ORD-00714</v>
      </c>
      <c r="B715">
        <f>Orders!B715</f>
        <v>45351</v>
      </c>
      <c r="C715">
        <f>Orders!I715</f>
        <v>9133.08</v>
      </c>
      <c r="D715" t="str">
        <f>Orders!E715</f>
        <v>R016</v>
      </c>
      <c r="E715" t="str">
        <f>IFERROR(VLOOKUP(Orders!D715,Products!$A$2:$C$61,3,FALSE),"Unknown")</f>
        <v>Grocery</v>
      </c>
      <c r="F715" t="str">
        <f>IFERROR(VLOOKUP(Orders!C715,Customers!$A$2:$E$301,5,FALSE),"Unknown")</f>
        <v>SMB</v>
      </c>
      <c r="G715">
        <f>IFERROR(VLOOKUP(Orders!C715,Customers!$A$2:$C$301,3,FALSE),"")</f>
        <v>42</v>
      </c>
      <c r="H715" t="str">
        <f>VLOOKUP(D715,Sales_Reps!$A$2:$C$31,3,FALSE)</f>
        <v>South</v>
      </c>
      <c r="I715" s="44">
        <f t="shared" si="25"/>
        <v>45323</v>
      </c>
      <c r="L715" t="str">
        <f>Orders!K715</f>
        <v>Bengaluru</v>
      </c>
      <c r="M715">
        <f>Orders!G715</f>
        <v>4070</v>
      </c>
      <c r="N715">
        <f>IFERROR(VLOOKUP(Orders!D715,Products!$A$2:$D$61,4,FALSE),"")</f>
        <v>2027</v>
      </c>
      <c r="O715">
        <f t="shared" si="26"/>
        <v>0.50196560196560192</v>
      </c>
      <c r="Q715" t="str">
        <f>Orders!D715</f>
        <v>PROD-026</v>
      </c>
    </row>
    <row r="716" spans="1:17" x14ac:dyDescent="0.3">
      <c r="A716" t="str">
        <f>Orders!A716</f>
        <v>ORD-00715</v>
      </c>
      <c r="B716">
        <f>Orders!B716</f>
        <v>45461</v>
      </c>
      <c r="C716">
        <f>Orders!I716</f>
        <v>9571.2000000000007</v>
      </c>
      <c r="D716" t="str">
        <f>Orders!E716</f>
        <v>R014</v>
      </c>
      <c r="E716" t="str">
        <f>IFERROR(VLOOKUP(Orders!D716,Products!$A$2:$C$61,3,FALSE),"Unknown")</f>
        <v>Beauty</v>
      </c>
      <c r="F716" t="str">
        <f>IFERROR(VLOOKUP(Orders!C716,Customers!$A$2:$E$301,5,FALSE),"Unknown")</f>
        <v>Retail</v>
      </c>
      <c r="G716">
        <f>IFERROR(VLOOKUP(Orders!C716,Customers!$A$2:$C$301,3,FALSE),"")</f>
        <v>31</v>
      </c>
      <c r="H716" t="str">
        <f>VLOOKUP(D716,Sales_Reps!$A$2:$C$31,3,FALSE)</f>
        <v>South</v>
      </c>
      <c r="I716" s="44">
        <f t="shared" si="25"/>
        <v>45444</v>
      </c>
      <c r="L716" t="str">
        <f>Orders!K716</f>
        <v>Hyderabad</v>
      </c>
      <c r="M716">
        <f>Orders!G716</f>
        <v>960</v>
      </c>
      <c r="N716">
        <f>IFERROR(VLOOKUP(Orders!D716,Products!$A$2:$D$61,4,FALSE),"")</f>
        <v>675</v>
      </c>
      <c r="O716">
        <f t="shared" si="26"/>
        <v>0.296875</v>
      </c>
      <c r="Q716" t="str">
        <f>Orders!D716</f>
        <v>PROD-049</v>
      </c>
    </row>
    <row r="717" spans="1:17" x14ac:dyDescent="0.3">
      <c r="A717" t="str">
        <f>Orders!A717</f>
        <v>ORD-00716</v>
      </c>
      <c r="B717">
        <f>Orders!B717</f>
        <v>45431</v>
      </c>
      <c r="C717">
        <f>Orders!I717</f>
        <v>5229.46</v>
      </c>
      <c r="D717" t="str">
        <f>Orders!E717</f>
        <v>R029</v>
      </c>
      <c r="E717" t="str">
        <f>IFERROR(VLOOKUP(Orders!D717,Products!$A$2:$C$61,3,FALSE),"Unknown")</f>
        <v>Home</v>
      </c>
      <c r="F717" t="str">
        <f>IFERROR(VLOOKUP(Orders!C717,Customers!$A$2:$E$301,5,FALSE),"Unknown")</f>
        <v>Corporate</v>
      </c>
      <c r="G717">
        <f>IFERROR(VLOOKUP(Orders!C717,Customers!$A$2:$C$301,3,FALSE),"")</f>
        <v>49</v>
      </c>
      <c r="H717" t="str">
        <f>VLOOKUP(D717,Sales_Reps!$A$2:$C$31,3,FALSE)</f>
        <v>West</v>
      </c>
      <c r="I717" s="44">
        <f t="shared" si="25"/>
        <v>45413</v>
      </c>
      <c r="L717" t="str">
        <f>Orders!K717</f>
        <v>Chennai</v>
      </c>
      <c r="M717">
        <f>Orders!G717</f>
        <v>3730</v>
      </c>
      <c r="N717">
        <f>IFERROR(VLOOKUP(Orders!D717,Products!$A$2:$D$61,4,FALSE),"")</f>
        <v>2135</v>
      </c>
      <c r="O717">
        <f t="shared" si="26"/>
        <v>0.42761394101876676</v>
      </c>
      <c r="Q717" t="str">
        <f>Orders!D717</f>
        <v>PROD-031</v>
      </c>
    </row>
    <row r="718" spans="1:17" x14ac:dyDescent="0.3">
      <c r="A718" t="str">
        <f>Orders!A718</f>
        <v>ORD-00717</v>
      </c>
      <c r="B718">
        <f>Orders!B718</f>
        <v>45592</v>
      </c>
      <c r="C718">
        <f>Orders!I718</f>
        <v>8475.84</v>
      </c>
      <c r="D718" t="str">
        <f>Orders!E718</f>
        <v>R004</v>
      </c>
      <c r="E718" t="str">
        <f>IFERROR(VLOOKUP(Orders!D718,Products!$A$2:$C$61,3,FALSE),"Unknown")</f>
        <v>Sports</v>
      </c>
      <c r="F718" t="str">
        <f>IFERROR(VLOOKUP(Orders!C718,Customers!$A$2:$E$301,5,FALSE),"Unknown")</f>
        <v>SMB</v>
      </c>
      <c r="G718">
        <f>IFERROR(VLOOKUP(Orders!C718,Customers!$A$2:$C$301,3,FALSE),"")</f>
        <v>62</v>
      </c>
      <c r="H718" t="str">
        <f>VLOOKUP(D718,Sales_Reps!$A$2:$C$31,3,FALSE)</f>
        <v>North</v>
      </c>
      <c r="I718" s="44">
        <f t="shared" si="25"/>
        <v>45566</v>
      </c>
      <c r="L718" t="str">
        <f>Orders!K718</f>
        <v>Chennai</v>
      </c>
      <c r="M718">
        <f>Orders!G718</f>
        <v>960</v>
      </c>
      <c r="N718">
        <f>IFERROR(VLOOKUP(Orders!D718,Products!$A$2:$D$61,4,FALSE),"")</f>
        <v>705</v>
      </c>
      <c r="O718">
        <f t="shared" si="26"/>
        <v>0.265625</v>
      </c>
      <c r="Q718" t="str">
        <f>Orders!D718</f>
        <v>PROD-057</v>
      </c>
    </row>
    <row r="719" spans="1:17" x14ac:dyDescent="0.3">
      <c r="A719" t="str">
        <f>Orders!A719</f>
        <v>ORD-00718</v>
      </c>
      <c r="B719">
        <f>Orders!B719</f>
        <v>45454</v>
      </c>
      <c r="C719">
        <f>Orders!I719</f>
        <v>5319.9</v>
      </c>
      <c r="D719" t="str">
        <f>Orders!E719</f>
        <v>R004</v>
      </c>
      <c r="E719" t="str">
        <f>IFERROR(VLOOKUP(Orders!D719,Products!$A$2:$C$61,3,FALSE),"Unknown")</f>
        <v>Apparel</v>
      </c>
      <c r="F719" t="str">
        <f>IFERROR(VLOOKUP(Orders!C719,Customers!$A$2:$E$301,5,FALSE),"Unknown")</f>
        <v>Retail</v>
      </c>
      <c r="G719">
        <f>IFERROR(VLOOKUP(Orders!C719,Customers!$A$2:$C$301,3,FALSE),"")</f>
        <v>38</v>
      </c>
      <c r="H719" t="str">
        <f>VLOOKUP(D719,Sales_Reps!$A$2:$C$31,3,FALSE)</f>
        <v>North</v>
      </c>
      <c r="I719" s="44">
        <f t="shared" si="25"/>
        <v>45444</v>
      </c>
      <c r="L719" t="str">
        <f>Orders!K719</f>
        <v>Pune</v>
      </c>
      <c r="M719">
        <f>Orders!G719</f>
        <v>3450</v>
      </c>
      <c r="N719">
        <f>IFERROR(VLOOKUP(Orders!D719,Products!$A$2:$D$61,4,FALSE),"")</f>
        <v>1748</v>
      </c>
      <c r="O719">
        <f t="shared" si="26"/>
        <v>0.49333333333333335</v>
      </c>
      <c r="Q719" t="str">
        <f>Orders!D719</f>
        <v>PROD-011</v>
      </c>
    </row>
    <row r="720" spans="1:17" x14ac:dyDescent="0.3">
      <c r="A720" t="str">
        <f>Orders!A720</f>
        <v>ORD-00719</v>
      </c>
      <c r="B720">
        <f>Orders!B720</f>
        <v>45616</v>
      </c>
      <c r="C720">
        <f>Orders!I720</f>
        <v>13714.35</v>
      </c>
      <c r="D720" t="str">
        <f>Orders!E720</f>
        <v>R010</v>
      </c>
      <c r="E720" t="str">
        <f>IFERROR(VLOOKUP(Orders!D720,Products!$A$2:$C$61,3,FALSE),"Unknown")</f>
        <v>Sports</v>
      </c>
      <c r="F720" t="str">
        <f>IFERROR(VLOOKUP(Orders!C720,Customers!$A$2:$E$301,5,FALSE),"Unknown")</f>
        <v>Corporate</v>
      </c>
      <c r="G720">
        <f>IFERROR(VLOOKUP(Orders!C720,Customers!$A$2:$C$301,3,FALSE),"")</f>
        <v>41</v>
      </c>
      <c r="H720" t="str">
        <f>VLOOKUP(D720,Sales_Reps!$A$2:$C$31,3,FALSE)</f>
        <v>South</v>
      </c>
      <c r="I720" s="44">
        <f t="shared" si="25"/>
        <v>45597</v>
      </c>
      <c r="L720" t="str">
        <f>Orders!K720</f>
        <v>Bengaluru</v>
      </c>
      <c r="M720">
        <f>Orders!G720</f>
        <v>5410</v>
      </c>
      <c r="N720">
        <f>IFERROR(VLOOKUP(Orders!D720,Products!$A$2:$D$61,4,FALSE),"")</f>
        <v>2265</v>
      </c>
      <c r="O720">
        <f t="shared" si="26"/>
        <v>0.58133086876155271</v>
      </c>
      <c r="Q720" t="str">
        <f>Orders!D720</f>
        <v>PROD-052</v>
      </c>
    </row>
    <row r="721" spans="1:17" x14ac:dyDescent="0.3">
      <c r="A721" t="str">
        <f>Orders!A721</f>
        <v>ORD-00720</v>
      </c>
      <c r="B721">
        <f>Orders!B721</f>
        <v>45448</v>
      </c>
      <c r="C721">
        <f>Orders!I721</f>
        <v>21868.799999999999</v>
      </c>
      <c r="D721" t="str">
        <f>Orders!E721</f>
        <v>R019</v>
      </c>
      <c r="E721" t="str">
        <f>IFERROR(VLOOKUP(Orders!D721,Products!$A$2:$C$61,3,FALSE),"Unknown")</f>
        <v>Beauty</v>
      </c>
      <c r="F721" t="str">
        <f>IFERROR(VLOOKUP(Orders!C721,Customers!$A$2:$E$301,5,FALSE),"Unknown")</f>
        <v>SMB</v>
      </c>
      <c r="G721">
        <f>IFERROR(VLOOKUP(Orders!C721,Customers!$A$2:$C$301,3,FALSE),"")</f>
        <v>65</v>
      </c>
      <c r="H721" t="str">
        <f>VLOOKUP(D721,Sales_Reps!$A$2:$C$31,3,FALSE)</f>
        <v>East</v>
      </c>
      <c r="I721" s="44">
        <f t="shared" si="25"/>
        <v>45444</v>
      </c>
      <c r="L721" t="str">
        <f>Orders!K721</f>
        <v>Hyderabad</v>
      </c>
      <c r="M721">
        <f>Orders!G721</f>
        <v>3350</v>
      </c>
      <c r="N721">
        <f>IFERROR(VLOOKUP(Orders!D721,Products!$A$2:$D$61,4,FALSE),"")</f>
        <v>1728</v>
      </c>
      <c r="O721">
        <f t="shared" si="26"/>
        <v>0.48417910447761192</v>
      </c>
      <c r="Q721" t="str">
        <f>Orders!D721</f>
        <v>PROD-043</v>
      </c>
    </row>
    <row r="722" spans="1:17" x14ac:dyDescent="0.3">
      <c r="A722" t="str">
        <f>Orders!A722</f>
        <v>ORD-00721</v>
      </c>
      <c r="B722">
        <f>Orders!B722</f>
        <v>45611</v>
      </c>
      <c r="C722">
        <f>Orders!I722</f>
        <v>11247.2</v>
      </c>
      <c r="D722" t="str">
        <f>Orders!E722</f>
        <v>R008</v>
      </c>
      <c r="E722" t="str">
        <f>IFERROR(VLOOKUP(Orders!D722,Products!$A$2:$C$61,3,FALSE),"Unknown")</f>
        <v>Apparel</v>
      </c>
      <c r="F722" t="str">
        <f>IFERROR(VLOOKUP(Orders!C722,Customers!$A$2:$E$301,5,FALSE),"Unknown")</f>
        <v>Retail</v>
      </c>
      <c r="G722">
        <f>IFERROR(VLOOKUP(Orders!C722,Customers!$A$2:$C$301,3,FALSE),"")</f>
        <v>53</v>
      </c>
      <c r="H722" t="str">
        <f>VLOOKUP(D722,Sales_Reps!$A$2:$C$31,3,FALSE)</f>
        <v>North</v>
      </c>
      <c r="I722" s="44">
        <f t="shared" si="25"/>
        <v>45597</v>
      </c>
      <c r="L722" t="str">
        <f>Orders!K722</f>
        <v>Delhi</v>
      </c>
      <c r="M722">
        <f>Orders!G722</f>
        <v>2720</v>
      </c>
      <c r="N722">
        <f>IFERROR(VLOOKUP(Orders!D722,Products!$A$2:$D$61,4,FALSE),"")</f>
        <v>1962</v>
      </c>
      <c r="O722">
        <f t="shared" si="26"/>
        <v>0.2786764705882353</v>
      </c>
      <c r="Q722" t="str">
        <f>Orders!D722</f>
        <v>PROD-015</v>
      </c>
    </row>
    <row r="723" spans="1:17" x14ac:dyDescent="0.3">
      <c r="A723" t="str">
        <f>Orders!A723</f>
        <v>ORD-00722</v>
      </c>
      <c r="B723">
        <f>Orders!B723</f>
        <v>45403</v>
      </c>
      <c r="C723">
        <f>Orders!I723</f>
        <v>20847.36</v>
      </c>
      <c r="D723" t="str">
        <f>Orders!E723</f>
        <v>R017</v>
      </c>
      <c r="E723" t="str">
        <f>IFERROR(VLOOKUP(Orders!D723,Products!$A$2:$C$61,3,FALSE),"Unknown")</f>
        <v>Grocery</v>
      </c>
      <c r="F723" t="str">
        <f>IFERROR(VLOOKUP(Orders!C723,Customers!$A$2:$E$301,5,FALSE),"Unknown")</f>
        <v>Retail</v>
      </c>
      <c r="G723">
        <f>IFERROR(VLOOKUP(Orders!C723,Customers!$A$2:$C$301,3,FALSE),"")</f>
        <v>27</v>
      </c>
      <c r="H723" t="str">
        <f>VLOOKUP(D723,Sales_Reps!$A$2:$C$31,3,FALSE)</f>
        <v>East</v>
      </c>
      <c r="I723" s="44">
        <f t="shared" si="25"/>
        <v>45383</v>
      </c>
      <c r="L723" t="str">
        <f>Orders!K723</f>
        <v>Bengaluru</v>
      </c>
      <c r="M723">
        <f>Orders!G723</f>
        <v>3660</v>
      </c>
      <c r="N723">
        <f>IFERROR(VLOOKUP(Orders!D723,Products!$A$2:$D$61,4,FALSE),"")</f>
        <v>2214</v>
      </c>
      <c r="O723">
        <f t="shared" si="26"/>
        <v>0.39508196721311473</v>
      </c>
      <c r="Q723" t="str">
        <f>Orders!D723</f>
        <v>PROD-028</v>
      </c>
    </row>
    <row r="724" spans="1:17" x14ac:dyDescent="0.3">
      <c r="A724" t="str">
        <f>Orders!A724</f>
        <v>ORD-00723</v>
      </c>
      <c r="B724">
        <f>Orders!B724</f>
        <v>45530</v>
      </c>
      <c r="C724">
        <f>Orders!I724</f>
        <v>1369.8</v>
      </c>
      <c r="D724" t="str">
        <f>Orders!E724</f>
        <v>R013</v>
      </c>
      <c r="E724" t="str">
        <f>IFERROR(VLOOKUP(Orders!D724,Products!$A$2:$C$61,3,FALSE),"Unknown")</f>
        <v>Electronics</v>
      </c>
      <c r="F724" t="str">
        <f>IFERROR(VLOOKUP(Orders!C724,Customers!$A$2:$E$301,5,FALSE),"Unknown")</f>
        <v>SMB</v>
      </c>
      <c r="G724">
        <f>IFERROR(VLOOKUP(Orders!C724,Customers!$A$2:$C$301,3,FALSE),"")</f>
        <v>59</v>
      </c>
      <c r="H724" t="str">
        <f>VLOOKUP(D724,Sales_Reps!$A$2:$C$31,3,FALSE)</f>
        <v>South</v>
      </c>
      <c r="I724" s="44">
        <f t="shared" si="25"/>
        <v>45505</v>
      </c>
      <c r="L724" t="str">
        <f>Orders!K724</f>
        <v>Chennai</v>
      </c>
      <c r="M724">
        <f>Orders!G724</f>
        <v>300</v>
      </c>
      <c r="N724">
        <f>IFERROR(VLOOKUP(Orders!D724,Products!$A$2:$D$61,4,FALSE),"")</f>
        <v>128</v>
      </c>
      <c r="O724">
        <f t="shared" si="26"/>
        <v>0.57333333333333336</v>
      </c>
      <c r="Q724" t="str">
        <f>Orders!D724</f>
        <v>PROD-005</v>
      </c>
    </row>
    <row r="725" spans="1:17" x14ac:dyDescent="0.3">
      <c r="A725" t="str">
        <f>Orders!A725</f>
        <v>ORD-00724</v>
      </c>
      <c r="B725">
        <f>Orders!B725</f>
        <v>45548</v>
      </c>
      <c r="C725">
        <f>Orders!I725</f>
        <v>6705.12</v>
      </c>
      <c r="D725" t="str">
        <f>Orders!E725</f>
        <v>R026</v>
      </c>
      <c r="E725" t="str">
        <f>IFERROR(VLOOKUP(Orders!D725,Products!$A$2:$C$61,3,FALSE),"Unknown")</f>
        <v>Beauty</v>
      </c>
      <c r="F725" t="str">
        <f>IFERROR(VLOOKUP(Orders!C725,Customers!$A$2:$E$301,5,FALSE),"Unknown")</f>
        <v>Corporate</v>
      </c>
      <c r="G725">
        <f>IFERROR(VLOOKUP(Orders!C725,Customers!$A$2:$C$301,3,FALSE),"")</f>
        <v>52</v>
      </c>
      <c r="H725" t="str">
        <f>VLOOKUP(D725,Sales_Reps!$A$2:$C$31,3,FALSE)</f>
        <v>West</v>
      </c>
      <c r="I725" s="44">
        <f t="shared" si="25"/>
        <v>45536</v>
      </c>
      <c r="L725" t="str">
        <f>Orders!K725</f>
        <v>Chennai</v>
      </c>
      <c r="M725">
        <f>Orders!G725</f>
        <v>2290</v>
      </c>
      <c r="N725">
        <f>IFERROR(VLOOKUP(Orders!D725,Products!$A$2:$D$61,4,FALSE),"")</f>
        <v>1219</v>
      </c>
      <c r="O725">
        <f t="shared" si="26"/>
        <v>0.46768558951965067</v>
      </c>
      <c r="Q725" t="str">
        <f>Orders!D725</f>
        <v>PROD-042</v>
      </c>
    </row>
    <row r="726" spans="1:17" x14ac:dyDescent="0.3">
      <c r="A726" t="str">
        <f>Orders!A726</f>
        <v>ORD-00725</v>
      </c>
      <c r="B726">
        <f>Orders!B726</f>
        <v>45403</v>
      </c>
      <c r="C726">
        <f>Orders!I726</f>
        <v>26029.919999999998</v>
      </c>
      <c r="D726" t="str">
        <f>Orders!E726</f>
        <v>R014</v>
      </c>
      <c r="E726" t="str">
        <f>IFERROR(VLOOKUP(Orders!D726,Products!$A$2:$C$61,3,FALSE),"Unknown")</f>
        <v>Beauty</v>
      </c>
      <c r="F726" t="str">
        <f>IFERROR(VLOOKUP(Orders!C726,Customers!$A$2:$E$301,5,FALSE),"Unknown")</f>
        <v>Corporate</v>
      </c>
      <c r="G726">
        <f>IFERROR(VLOOKUP(Orders!C726,Customers!$A$2:$C$301,3,FALSE),"")</f>
        <v>52</v>
      </c>
      <c r="H726" t="str">
        <f>VLOOKUP(D726,Sales_Reps!$A$2:$C$31,3,FALSE)</f>
        <v>South</v>
      </c>
      <c r="I726" s="44">
        <f t="shared" si="25"/>
        <v>45383</v>
      </c>
      <c r="L726" t="str">
        <f>Orders!K726</f>
        <v>Chennai</v>
      </c>
      <c r="M726">
        <f>Orders!G726</f>
        <v>4880</v>
      </c>
      <c r="N726">
        <f>IFERROR(VLOOKUP(Orders!D726,Products!$A$2:$D$61,4,FALSE),"")</f>
        <v>2768</v>
      </c>
      <c r="O726">
        <f t="shared" si="26"/>
        <v>0.43278688524590164</v>
      </c>
      <c r="Q726" t="str">
        <f>Orders!D726</f>
        <v>PROD-046</v>
      </c>
    </row>
    <row r="727" spans="1:17" x14ac:dyDescent="0.3">
      <c r="A727" t="str">
        <f>Orders!A727</f>
        <v>ORD-00726</v>
      </c>
      <c r="B727">
        <f>Orders!B727</f>
        <v>45562</v>
      </c>
      <c r="C727">
        <f>Orders!I727</f>
        <v>1209</v>
      </c>
      <c r="D727" t="str">
        <f>Orders!E727</f>
        <v>R007</v>
      </c>
      <c r="E727" t="str">
        <f>IFERROR(VLOOKUP(Orders!D727,Products!$A$2:$C$61,3,FALSE),"Unknown")</f>
        <v>Electronics</v>
      </c>
      <c r="F727" t="str">
        <f>IFERROR(VLOOKUP(Orders!C727,Customers!$A$2:$E$301,5,FALSE),"Unknown")</f>
        <v>Retail</v>
      </c>
      <c r="G727">
        <f>IFERROR(VLOOKUP(Orders!C727,Customers!$A$2:$C$301,3,FALSE),"")</f>
        <v>36</v>
      </c>
      <c r="H727" t="str">
        <f>VLOOKUP(D727,Sales_Reps!$A$2:$C$31,3,FALSE)</f>
        <v>North</v>
      </c>
      <c r="I727" s="44">
        <f t="shared" si="25"/>
        <v>45536</v>
      </c>
      <c r="L727" t="str">
        <f>Orders!K727</f>
        <v>Bengaluru</v>
      </c>
      <c r="M727">
        <f>Orders!G727</f>
        <v>300</v>
      </c>
      <c r="N727">
        <f>IFERROR(VLOOKUP(Orders!D727,Products!$A$2:$D$61,4,FALSE),"")</f>
        <v>128</v>
      </c>
      <c r="O727">
        <f t="shared" si="26"/>
        <v>0.57333333333333336</v>
      </c>
      <c r="Q727" t="str">
        <f>Orders!D727</f>
        <v>PROD-005</v>
      </c>
    </row>
    <row r="728" spans="1:17" x14ac:dyDescent="0.3">
      <c r="A728" t="str">
        <f>Orders!A728</f>
        <v>ORD-00727</v>
      </c>
      <c r="B728">
        <f>Orders!B728</f>
        <v>45635</v>
      </c>
      <c r="C728">
        <f>Orders!I728</f>
        <v>5705.7</v>
      </c>
      <c r="D728" t="str">
        <f>Orders!E728</f>
        <v>R030</v>
      </c>
      <c r="E728" t="str">
        <f>IFERROR(VLOOKUP(Orders!D728,Products!$A$2:$C$61,3,FALSE),"Unknown")</f>
        <v>Electronics</v>
      </c>
      <c r="F728" t="str">
        <f>IFERROR(VLOOKUP(Orders!C728,Customers!$A$2:$E$301,5,FALSE),"Unknown")</f>
        <v>SMB</v>
      </c>
      <c r="G728">
        <f>IFERROR(VLOOKUP(Orders!C728,Customers!$A$2:$C$301,3,FALSE),"")</f>
        <v>25</v>
      </c>
      <c r="H728" t="str">
        <f>VLOOKUP(D728,Sales_Reps!$A$2:$C$31,3,FALSE)</f>
        <v>West</v>
      </c>
      <c r="I728" s="44">
        <f t="shared" si="25"/>
        <v>45627</v>
      </c>
      <c r="L728" t="str">
        <f>Orders!K728</f>
        <v>Hyderabad</v>
      </c>
      <c r="M728">
        <f>Orders!G728</f>
        <v>2660</v>
      </c>
      <c r="N728">
        <f>IFERROR(VLOOKUP(Orders!D728,Products!$A$2:$D$61,4,FALSE),"")</f>
        <v>1259</v>
      </c>
      <c r="O728">
        <f t="shared" si="26"/>
        <v>0.52669172932330832</v>
      </c>
      <c r="Q728" t="str">
        <f>Orders!D728</f>
        <v>PROD-008</v>
      </c>
    </row>
    <row r="729" spans="1:17" x14ac:dyDescent="0.3">
      <c r="A729" t="str">
        <f>Orders!A729</f>
        <v>ORD-00728</v>
      </c>
      <c r="B729">
        <f>Orders!B729</f>
        <v>45434</v>
      </c>
      <c r="C729">
        <f>Orders!I729</f>
        <v>6844.11</v>
      </c>
      <c r="D729" t="str">
        <f>Orders!E729</f>
        <v>R024</v>
      </c>
      <c r="E729" t="str">
        <f>IFERROR(VLOOKUP(Orders!D729,Products!$A$2:$C$61,3,FALSE),"Unknown")</f>
        <v>Home</v>
      </c>
      <c r="F729" t="str">
        <f>IFERROR(VLOOKUP(Orders!C729,Customers!$A$2:$E$301,5,FALSE),"Unknown")</f>
        <v>Retail</v>
      </c>
      <c r="G729">
        <f>IFERROR(VLOOKUP(Orders!C729,Customers!$A$2:$C$301,3,FALSE),"")</f>
        <v>52</v>
      </c>
      <c r="H729" t="str">
        <f>VLOOKUP(D729,Sales_Reps!$A$2:$C$31,3,FALSE)</f>
        <v>West</v>
      </c>
      <c r="I729" s="44">
        <f t="shared" si="25"/>
        <v>45413</v>
      </c>
      <c r="L729" t="str">
        <f>Orders!K729</f>
        <v>Bengaluru</v>
      </c>
      <c r="M729">
        <f>Orders!G729</f>
        <v>1090</v>
      </c>
      <c r="N729">
        <f>IFERROR(VLOOKUP(Orders!D729,Products!$A$2:$D$61,4,FALSE),"")</f>
        <v>464</v>
      </c>
      <c r="O729">
        <f t="shared" si="26"/>
        <v>0.57431192660550456</v>
      </c>
      <c r="Q729" t="str">
        <f>Orders!D729</f>
        <v>PROD-035</v>
      </c>
    </row>
    <row r="730" spans="1:17" x14ac:dyDescent="0.3">
      <c r="A730" t="str">
        <f>Orders!A730</f>
        <v>ORD-00729</v>
      </c>
      <c r="B730">
        <f>Orders!B730</f>
        <v>45350</v>
      </c>
      <c r="C730">
        <f>Orders!I730</f>
        <v>11312.73</v>
      </c>
      <c r="D730" t="str">
        <f>Orders!E730</f>
        <v>R012</v>
      </c>
      <c r="E730" t="str">
        <f>IFERROR(VLOOKUP(Orders!D730,Products!$A$2:$C$61,3,FALSE),"Unknown")</f>
        <v>Electronics</v>
      </c>
      <c r="F730" t="str">
        <f>IFERROR(VLOOKUP(Orders!C730,Customers!$A$2:$E$301,5,FALSE),"Unknown")</f>
        <v>Corporate</v>
      </c>
      <c r="G730">
        <f>IFERROR(VLOOKUP(Orders!C730,Customers!$A$2:$C$301,3,FALSE),"")</f>
        <v>29</v>
      </c>
      <c r="H730" t="str">
        <f>VLOOKUP(D730,Sales_Reps!$A$2:$C$31,3,FALSE)</f>
        <v>South</v>
      </c>
      <c r="I730" s="44">
        <f t="shared" si="25"/>
        <v>45323</v>
      </c>
      <c r="L730" t="str">
        <f>Orders!K730</f>
        <v>Pune</v>
      </c>
      <c r="M730">
        <f>Orders!G730</f>
        <v>1430</v>
      </c>
      <c r="N730">
        <f>IFERROR(VLOOKUP(Orders!D730,Products!$A$2:$D$61,4,FALSE),"")</f>
        <v>861</v>
      </c>
      <c r="O730">
        <f t="shared" si="26"/>
        <v>0.39790209790209791</v>
      </c>
      <c r="Q730" t="str">
        <f>Orders!D730</f>
        <v>PROD-007</v>
      </c>
    </row>
    <row r="731" spans="1:17" x14ac:dyDescent="0.3">
      <c r="A731" t="str">
        <f>Orders!A731</f>
        <v>ORD-00730</v>
      </c>
      <c r="B731">
        <f>Orders!B731</f>
        <v>45344</v>
      </c>
      <c r="C731">
        <f>Orders!I731</f>
        <v>9662.4</v>
      </c>
      <c r="D731" t="str">
        <f>Orders!E731</f>
        <v>R005</v>
      </c>
      <c r="E731" t="str">
        <f>IFERROR(VLOOKUP(Orders!D731,Products!$A$2:$C$61,3,FALSE),"Unknown")</f>
        <v>Electronics</v>
      </c>
      <c r="F731" t="str">
        <f>IFERROR(VLOOKUP(Orders!C731,Customers!$A$2:$E$301,5,FALSE),"Unknown")</f>
        <v>Retail</v>
      </c>
      <c r="G731">
        <f>IFERROR(VLOOKUP(Orders!C731,Customers!$A$2:$C$301,3,FALSE),"")</f>
        <v>37</v>
      </c>
      <c r="H731" t="str">
        <f>VLOOKUP(D731,Sales_Reps!$A$2:$C$31,3,FALSE)</f>
        <v>North</v>
      </c>
      <c r="I731" s="44">
        <f t="shared" si="25"/>
        <v>45323</v>
      </c>
      <c r="L731" t="str">
        <f>Orders!K731</f>
        <v>Chennai</v>
      </c>
      <c r="M731">
        <f>Orders!G731</f>
        <v>2640</v>
      </c>
      <c r="N731">
        <f>IFERROR(VLOOKUP(Orders!D731,Products!$A$2:$D$61,4,FALSE),"")</f>
        <v>1149</v>
      </c>
      <c r="O731">
        <f t="shared" si="26"/>
        <v>0.56477272727272732</v>
      </c>
      <c r="Q731" t="str">
        <f>Orders!D731</f>
        <v>PROD-010</v>
      </c>
    </row>
    <row r="732" spans="1:17" x14ac:dyDescent="0.3">
      <c r="A732" t="str">
        <f>Orders!A732</f>
        <v>ORD-00731</v>
      </c>
      <c r="B732">
        <f>Orders!B732</f>
        <v>45498</v>
      </c>
      <c r="C732">
        <f>Orders!I732</f>
        <v>17952</v>
      </c>
      <c r="D732" t="str">
        <f>Orders!E732</f>
        <v>R001</v>
      </c>
      <c r="E732" t="str">
        <f>IFERROR(VLOOKUP(Orders!D732,Products!$A$2:$C$61,3,FALSE),"Unknown")</f>
        <v>Apparel</v>
      </c>
      <c r="F732" t="str">
        <f>IFERROR(VLOOKUP(Orders!C732,Customers!$A$2:$E$301,5,FALSE),"Unknown")</f>
        <v>Corporate</v>
      </c>
      <c r="G732">
        <f>IFERROR(VLOOKUP(Orders!C732,Customers!$A$2:$C$301,3,FALSE),"")</f>
        <v>52</v>
      </c>
      <c r="H732" t="str">
        <f>VLOOKUP(D732,Sales_Reps!$A$2:$C$31,3,FALSE)</f>
        <v>North</v>
      </c>
      <c r="I732" s="44">
        <f t="shared" si="25"/>
        <v>45474</v>
      </c>
      <c r="L732" t="str">
        <f>Orders!K732</f>
        <v>Pune</v>
      </c>
      <c r="M732">
        <f>Orders!G732</f>
        <v>2720</v>
      </c>
      <c r="N732">
        <f>IFERROR(VLOOKUP(Orders!D732,Products!$A$2:$D$61,4,FALSE),"")</f>
        <v>1962</v>
      </c>
      <c r="O732">
        <f t="shared" si="26"/>
        <v>0.2786764705882353</v>
      </c>
      <c r="Q732" t="str">
        <f>Orders!D732</f>
        <v>PROD-015</v>
      </c>
    </row>
    <row r="733" spans="1:17" x14ac:dyDescent="0.3">
      <c r="A733" t="str">
        <f>Orders!A733</f>
        <v>ORD-00732</v>
      </c>
      <c r="B733">
        <f>Orders!B733</f>
        <v>45520</v>
      </c>
      <c r="C733">
        <f>Orders!I733</f>
        <v>31580.639999999999</v>
      </c>
      <c r="D733" t="str">
        <f>Orders!E733</f>
        <v>R016</v>
      </c>
      <c r="E733" t="str">
        <f>IFERROR(VLOOKUP(Orders!D733,Products!$A$2:$C$61,3,FALSE),"Unknown")</f>
        <v>Apparel</v>
      </c>
      <c r="F733" t="str">
        <f>IFERROR(VLOOKUP(Orders!C733,Customers!$A$2:$E$301,5,FALSE),"Unknown")</f>
        <v>Corporate</v>
      </c>
      <c r="G733">
        <f>IFERROR(VLOOKUP(Orders!C733,Customers!$A$2:$C$301,3,FALSE),"")</f>
        <v>52</v>
      </c>
      <c r="H733" t="str">
        <f>VLOOKUP(D733,Sales_Reps!$A$2:$C$31,3,FALSE)</f>
        <v>South</v>
      </c>
      <c r="I733" s="44">
        <f t="shared" si="25"/>
        <v>45505</v>
      </c>
      <c r="L733" t="str">
        <f>Orders!K733</f>
        <v>Hyderabad</v>
      </c>
      <c r="M733">
        <f>Orders!G733</f>
        <v>3640</v>
      </c>
      <c r="N733">
        <f>IFERROR(VLOOKUP(Orders!D733,Products!$A$2:$D$61,4,FALSE),"")</f>
        <v>2611</v>
      </c>
      <c r="O733">
        <f t="shared" si="26"/>
        <v>0.28269230769230769</v>
      </c>
      <c r="Q733" t="str">
        <f>Orders!D733</f>
        <v>PROD-013</v>
      </c>
    </row>
    <row r="734" spans="1:17" x14ac:dyDescent="0.3">
      <c r="A734" t="str">
        <f>Orders!A734</f>
        <v>ORD-00733</v>
      </c>
      <c r="B734">
        <f>Orders!B734</f>
        <v>45554</v>
      </c>
      <c r="C734">
        <f>Orders!I734</f>
        <v>32515.84</v>
      </c>
      <c r="D734" t="str">
        <f>Orders!E734</f>
        <v>R021</v>
      </c>
      <c r="E734" t="str">
        <f>IFERROR(VLOOKUP(Orders!D734,Products!$A$2:$C$61,3,FALSE),"Unknown")</f>
        <v>Beauty</v>
      </c>
      <c r="F734" t="str">
        <f>IFERROR(VLOOKUP(Orders!C734,Customers!$A$2:$E$301,5,FALSE),"Unknown")</f>
        <v>Unknown</v>
      </c>
      <c r="G734" t="str">
        <f>IFERROR(VLOOKUP(Orders!C734,Customers!$A$2:$C$301,3,FALSE),"")</f>
        <v/>
      </c>
      <c r="H734" t="str">
        <f>VLOOKUP(D734,Sales_Reps!$A$2:$C$31,3,FALSE)</f>
        <v>East</v>
      </c>
      <c r="I734" s="44">
        <f t="shared" si="25"/>
        <v>45536</v>
      </c>
      <c r="L734" t="str">
        <f>Orders!K734</f>
        <v>Mumbai</v>
      </c>
      <c r="M734">
        <f>Orders!G734</f>
        <v>6080</v>
      </c>
      <c r="N734">
        <f>IFERROR(VLOOKUP(Orders!D734,Products!$A$2:$D$61,4,FALSE),"")</f>
        <v>2617</v>
      </c>
      <c r="O734">
        <f t="shared" si="26"/>
        <v>0.56957236842105263</v>
      </c>
      <c r="Q734" t="str">
        <f>Orders!D734</f>
        <v>PROD-050</v>
      </c>
    </row>
    <row r="735" spans="1:17" x14ac:dyDescent="0.3">
      <c r="A735" t="str">
        <f>Orders!A735</f>
        <v>ORD-00734</v>
      </c>
      <c r="B735">
        <f>Orders!B735</f>
        <v>45584</v>
      </c>
      <c r="C735">
        <f>Orders!I735</f>
        <v>29959.93</v>
      </c>
      <c r="D735" t="str">
        <f>Orders!E735</f>
        <v>R015</v>
      </c>
      <c r="E735" t="str">
        <f>IFERROR(VLOOKUP(Orders!D735,Products!$A$2:$C$61,3,FALSE),"Unknown")</f>
        <v>Electronics</v>
      </c>
      <c r="F735" t="str">
        <f>IFERROR(VLOOKUP(Orders!C735,Customers!$A$2:$E$301,5,FALSE),"Unknown")</f>
        <v>Corporate</v>
      </c>
      <c r="G735">
        <f>IFERROR(VLOOKUP(Orders!C735,Customers!$A$2:$C$301,3,FALSE),"")</f>
        <v>41</v>
      </c>
      <c r="H735" t="str">
        <f>VLOOKUP(D735,Sales_Reps!$A$2:$C$31,3,FALSE)</f>
        <v>South</v>
      </c>
      <c r="I735" s="44">
        <f t="shared" si="25"/>
        <v>45566</v>
      </c>
      <c r="L735" t="str">
        <f>Orders!K735</f>
        <v>Chennai</v>
      </c>
      <c r="M735">
        <f>Orders!G735</f>
        <v>5330</v>
      </c>
      <c r="N735">
        <f>IFERROR(VLOOKUP(Orders!D735,Products!$A$2:$D$61,4,FALSE),"")</f>
        <v>2405</v>
      </c>
      <c r="O735">
        <f t="shared" si="26"/>
        <v>0.54878048780487809</v>
      </c>
      <c r="Q735" t="str">
        <f>Orders!D735</f>
        <v>PROD-001</v>
      </c>
    </row>
    <row r="736" spans="1:17" x14ac:dyDescent="0.3">
      <c r="A736" t="str">
        <f>Orders!A736</f>
        <v>ORD-00735</v>
      </c>
      <c r="B736">
        <f>Orders!B736</f>
        <v>45593</v>
      </c>
      <c r="C736">
        <f>Orders!I736</f>
        <v>22220.2</v>
      </c>
      <c r="D736" t="str">
        <f>Orders!E736</f>
        <v>R024</v>
      </c>
      <c r="E736" t="str">
        <f>IFERROR(VLOOKUP(Orders!D736,Products!$A$2:$C$61,3,FALSE),"Unknown")</f>
        <v>Home</v>
      </c>
      <c r="F736" t="str">
        <f>IFERROR(VLOOKUP(Orders!C736,Customers!$A$2:$E$301,5,FALSE),"Unknown")</f>
        <v>Retail</v>
      </c>
      <c r="G736">
        <f>IFERROR(VLOOKUP(Orders!C736,Customers!$A$2:$C$301,3,FALSE),"")</f>
        <v>61</v>
      </c>
      <c r="H736" t="str">
        <f>VLOOKUP(D736,Sales_Reps!$A$2:$C$31,3,FALSE)</f>
        <v>West</v>
      </c>
      <c r="I736" s="44">
        <f t="shared" si="25"/>
        <v>45566</v>
      </c>
      <c r="L736" t="str">
        <f>Orders!K736</f>
        <v>Hyderabad</v>
      </c>
      <c r="M736">
        <f>Orders!G736</f>
        <v>4610</v>
      </c>
      <c r="N736">
        <f>IFERROR(VLOOKUP(Orders!D736,Products!$A$2:$D$61,4,FALSE),"")</f>
        <v>1850</v>
      </c>
      <c r="O736">
        <f t="shared" si="26"/>
        <v>0.59869848156182215</v>
      </c>
      <c r="Q736" t="str">
        <f>Orders!D736</f>
        <v>PROD-039</v>
      </c>
    </row>
    <row r="737" spans="1:17" x14ac:dyDescent="0.3">
      <c r="A737" t="str">
        <f>Orders!A737</f>
        <v>ORD-00736</v>
      </c>
      <c r="B737">
        <f>Orders!B737</f>
        <v>45302</v>
      </c>
      <c r="C737">
        <f>Orders!I737</f>
        <v>36984.870000000003</v>
      </c>
      <c r="D737" t="str">
        <f>Orders!E737</f>
        <v>R030</v>
      </c>
      <c r="E737" t="str">
        <f>IFERROR(VLOOKUP(Orders!D737,Products!$A$2:$C$61,3,FALSE),"Unknown")</f>
        <v>Electronics</v>
      </c>
      <c r="F737" t="str">
        <f>IFERROR(VLOOKUP(Orders!C737,Customers!$A$2:$E$301,5,FALSE),"Unknown")</f>
        <v>Retail</v>
      </c>
      <c r="G737">
        <f>IFERROR(VLOOKUP(Orders!C737,Customers!$A$2:$C$301,3,FALSE),"")</f>
        <v>36</v>
      </c>
      <c r="H737" t="str">
        <f>VLOOKUP(D737,Sales_Reps!$A$2:$C$31,3,FALSE)</f>
        <v>West</v>
      </c>
      <c r="I737" s="44">
        <f t="shared" si="25"/>
        <v>45292</v>
      </c>
      <c r="L737" t="str">
        <f>Orders!K737</f>
        <v>Pune</v>
      </c>
      <c r="M737">
        <f>Orders!G737</f>
        <v>5330</v>
      </c>
      <c r="N737">
        <f>IFERROR(VLOOKUP(Orders!D737,Products!$A$2:$D$61,4,FALSE),"")</f>
        <v>2405</v>
      </c>
      <c r="O737">
        <f t="shared" si="26"/>
        <v>0.54878048780487809</v>
      </c>
      <c r="Q737" t="str">
        <f>Orders!D737</f>
        <v>PROD-001</v>
      </c>
    </row>
    <row r="738" spans="1:17" x14ac:dyDescent="0.3">
      <c r="A738" t="str">
        <f>Orders!A738</f>
        <v>ORD-00737</v>
      </c>
      <c r="B738">
        <f>Orders!B738</f>
        <v>45440</v>
      </c>
      <c r="C738">
        <f>Orders!I738</f>
        <v>28576</v>
      </c>
      <c r="D738" t="str">
        <f>Orders!E738</f>
        <v>R018</v>
      </c>
      <c r="E738" t="str">
        <f>IFERROR(VLOOKUP(Orders!D738,Products!$A$2:$C$61,3,FALSE),"Unknown")</f>
        <v>Beauty</v>
      </c>
      <c r="F738" t="str">
        <f>IFERROR(VLOOKUP(Orders!C738,Customers!$A$2:$E$301,5,FALSE),"Unknown")</f>
        <v>Retail</v>
      </c>
      <c r="G738">
        <f>IFERROR(VLOOKUP(Orders!C738,Customers!$A$2:$C$301,3,FALSE),"")</f>
        <v>49</v>
      </c>
      <c r="H738" t="str">
        <f>VLOOKUP(D738,Sales_Reps!$A$2:$C$31,3,FALSE)</f>
        <v>East</v>
      </c>
      <c r="I738" s="44">
        <f t="shared" si="25"/>
        <v>45413</v>
      </c>
      <c r="L738" t="str">
        <f>Orders!K738</f>
        <v>Pune</v>
      </c>
      <c r="M738">
        <f>Orders!G738</f>
        <v>6080</v>
      </c>
      <c r="N738">
        <f>IFERROR(VLOOKUP(Orders!D738,Products!$A$2:$D$61,4,FALSE),"")</f>
        <v>2617</v>
      </c>
      <c r="O738">
        <f t="shared" si="26"/>
        <v>0.56957236842105263</v>
      </c>
      <c r="Q738" t="str">
        <f>Orders!D738</f>
        <v>PROD-050</v>
      </c>
    </row>
    <row r="739" spans="1:17" x14ac:dyDescent="0.3">
      <c r="A739" t="str">
        <f>Orders!A739</f>
        <v>ORD-00738</v>
      </c>
      <c r="B739">
        <f>Orders!B739</f>
        <v>45299</v>
      </c>
      <c r="C739">
        <f>Orders!I739</f>
        <v>24078.6</v>
      </c>
      <c r="D739" t="str">
        <f>Orders!E739</f>
        <v>R017</v>
      </c>
      <c r="E739" t="str">
        <f>IFERROR(VLOOKUP(Orders!D739,Products!$A$2:$C$61,3,FALSE),"Unknown")</f>
        <v>Apparel</v>
      </c>
      <c r="F739" t="str">
        <f>IFERROR(VLOOKUP(Orders!C739,Customers!$A$2:$E$301,5,FALSE),"Unknown")</f>
        <v>Corporate</v>
      </c>
      <c r="G739">
        <f>IFERROR(VLOOKUP(Orders!C739,Customers!$A$2:$C$301,3,FALSE),"")</f>
        <v>51</v>
      </c>
      <c r="H739" t="str">
        <f>VLOOKUP(D739,Sales_Reps!$A$2:$C$31,3,FALSE)</f>
        <v>East</v>
      </c>
      <c r="I739" s="44">
        <f t="shared" si="25"/>
        <v>45292</v>
      </c>
      <c r="L739" t="str">
        <f>Orders!K739</f>
        <v>Mumbai</v>
      </c>
      <c r="M739">
        <f>Orders!G739</f>
        <v>3640</v>
      </c>
      <c r="N739">
        <f>IFERROR(VLOOKUP(Orders!D739,Products!$A$2:$D$61,4,FALSE),"")</f>
        <v>2611</v>
      </c>
      <c r="O739">
        <f t="shared" si="26"/>
        <v>0.28269230769230769</v>
      </c>
      <c r="Q739" t="str">
        <f>Orders!D739</f>
        <v>PROD-013</v>
      </c>
    </row>
    <row r="740" spans="1:17" x14ac:dyDescent="0.3">
      <c r="A740" t="str">
        <f>Orders!A740</f>
        <v>ORD-00739</v>
      </c>
      <c r="B740">
        <f>Orders!B740</f>
        <v>45336</v>
      </c>
      <c r="C740">
        <f>Orders!I740</f>
        <v>2497.7399999999998</v>
      </c>
      <c r="D740" t="str">
        <f>Orders!E740</f>
        <v>R013</v>
      </c>
      <c r="E740" t="str">
        <f>IFERROR(VLOOKUP(Orders!D740,Products!$A$2:$C$61,3,FALSE),"Unknown")</f>
        <v>Electronics</v>
      </c>
      <c r="F740" t="str">
        <f>IFERROR(VLOOKUP(Orders!C740,Customers!$A$2:$E$301,5,FALSE),"Unknown")</f>
        <v>Corporate</v>
      </c>
      <c r="G740">
        <f>IFERROR(VLOOKUP(Orders!C740,Customers!$A$2:$C$301,3,FALSE),"")</f>
        <v>35</v>
      </c>
      <c r="H740" t="str">
        <f>VLOOKUP(D740,Sales_Reps!$A$2:$C$31,3,FALSE)</f>
        <v>South</v>
      </c>
      <c r="I740" s="44">
        <f t="shared" si="25"/>
        <v>45323</v>
      </c>
      <c r="L740" t="str">
        <f>Orders!K740</f>
        <v>Chennai</v>
      </c>
      <c r="M740">
        <f>Orders!G740</f>
        <v>2660</v>
      </c>
      <c r="N740">
        <f>IFERROR(VLOOKUP(Orders!D740,Products!$A$2:$D$61,4,FALSE),"")</f>
        <v>1259</v>
      </c>
      <c r="O740">
        <f t="shared" si="26"/>
        <v>0.52669172932330832</v>
      </c>
      <c r="Q740" t="str">
        <f>Orders!D740</f>
        <v>PROD-008</v>
      </c>
    </row>
    <row r="741" spans="1:17" x14ac:dyDescent="0.3">
      <c r="A741" t="str">
        <f>Orders!A741</f>
        <v>ORD-00740</v>
      </c>
      <c r="B741">
        <f>Orders!B741</f>
        <v>45300</v>
      </c>
      <c r="C741">
        <f>Orders!I741</f>
        <v>21574</v>
      </c>
      <c r="D741" t="str">
        <f>Orders!E741</f>
        <v>R015</v>
      </c>
      <c r="E741" t="str">
        <f>IFERROR(VLOOKUP(Orders!D741,Products!$A$2:$C$61,3,FALSE),"Unknown")</f>
        <v>Beauty</v>
      </c>
      <c r="F741" t="str">
        <f>IFERROR(VLOOKUP(Orders!C741,Customers!$A$2:$E$301,5,FALSE),"Unknown")</f>
        <v>SMB</v>
      </c>
      <c r="G741">
        <f>IFERROR(VLOOKUP(Orders!C741,Customers!$A$2:$C$301,3,FALSE),"")</f>
        <v>29</v>
      </c>
      <c r="H741" t="str">
        <f>VLOOKUP(D741,Sales_Reps!$A$2:$C$31,3,FALSE)</f>
        <v>South</v>
      </c>
      <c r="I741" s="44">
        <f t="shared" si="25"/>
        <v>45292</v>
      </c>
      <c r="L741" t="str">
        <f>Orders!K741</f>
        <v>Pune</v>
      </c>
      <c r="M741">
        <f>Orders!G741</f>
        <v>3350</v>
      </c>
      <c r="N741">
        <f>IFERROR(VLOOKUP(Orders!D741,Products!$A$2:$D$61,4,FALSE),"")</f>
        <v>1728</v>
      </c>
      <c r="O741">
        <f t="shared" si="26"/>
        <v>0.48417910447761192</v>
      </c>
      <c r="Q741" t="str">
        <f>Orders!D741</f>
        <v>PROD-043</v>
      </c>
    </row>
    <row r="742" spans="1:17" x14ac:dyDescent="0.3">
      <c r="A742" t="str">
        <f>Orders!A742</f>
        <v>ORD-00741</v>
      </c>
      <c r="B742">
        <f>Orders!B742</f>
        <v>45648</v>
      </c>
      <c r="C742">
        <f>Orders!I742</f>
        <v>14014.4</v>
      </c>
      <c r="D742" t="str">
        <f>Orders!E742</f>
        <v>R019</v>
      </c>
      <c r="E742" t="str">
        <f>IFERROR(VLOOKUP(Orders!D742,Products!$A$2:$C$61,3,FALSE),"Unknown")</f>
        <v>Home</v>
      </c>
      <c r="F742" t="str">
        <f>IFERROR(VLOOKUP(Orders!C742,Customers!$A$2:$E$301,5,FALSE),"Unknown")</f>
        <v>SMB</v>
      </c>
      <c r="G742">
        <f>IFERROR(VLOOKUP(Orders!C742,Customers!$A$2:$C$301,3,FALSE),"")</f>
        <v>44</v>
      </c>
      <c r="H742" t="str">
        <f>VLOOKUP(D742,Sales_Reps!$A$2:$C$31,3,FALSE)</f>
        <v>East</v>
      </c>
      <c r="I742" s="44">
        <f t="shared" si="25"/>
        <v>45627</v>
      </c>
      <c r="L742" t="str">
        <f>Orders!K742</f>
        <v>Pune</v>
      </c>
      <c r="M742">
        <f>Orders!G742</f>
        <v>4610</v>
      </c>
      <c r="N742">
        <f>IFERROR(VLOOKUP(Orders!D742,Products!$A$2:$D$61,4,FALSE),"")</f>
        <v>1850</v>
      </c>
      <c r="O742">
        <f t="shared" si="26"/>
        <v>0.59869848156182215</v>
      </c>
      <c r="Q742" t="str">
        <f>Orders!D742</f>
        <v>PROD-039</v>
      </c>
    </row>
    <row r="743" spans="1:17" x14ac:dyDescent="0.3">
      <c r="A743" t="str">
        <f>Orders!A743</f>
        <v>ORD-00742</v>
      </c>
      <c r="B743">
        <f>Orders!B743</f>
        <v>45293</v>
      </c>
      <c r="C743">
        <f>Orders!I743</f>
        <v>15375.36</v>
      </c>
      <c r="D743" t="str">
        <f>Orders!E743</f>
        <v>R014</v>
      </c>
      <c r="E743" t="str">
        <f>IFERROR(VLOOKUP(Orders!D743,Products!$A$2:$C$61,3,FALSE),"Unknown")</f>
        <v>Sports</v>
      </c>
      <c r="F743" t="str">
        <f>IFERROR(VLOOKUP(Orders!C743,Customers!$A$2:$E$301,5,FALSE),"Unknown")</f>
        <v>Corporate</v>
      </c>
      <c r="G743">
        <f>IFERROR(VLOOKUP(Orders!C743,Customers!$A$2:$C$301,3,FALSE),"")</f>
        <v>40</v>
      </c>
      <c r="H743" t="str">
        <f>VLOOKUP(D743,Sales_Reps!$A$2:$C$31,3,FALSE)</f>
        <v>South</v>
      </c>
      <c r="I743" s="44">
        <f t="shared" si="25"/>
        <v>45292</v>
      </c>
      <c r="L743" t="str">
        <f>Orders!K743</f>
        <v>Pune</v>
      </c>
      <c r="M743">
        <f>Orders!G743</f>
        <v>2860</v>
      </c>
      <c r="N743">
        <f>IFERROR(VLOOKUP(Orders!D743,Products!$A$2:$D$61,4,FALSE),"")</f>
        <v>2028</v>
      </c>
      <c r="O743">
        <f t="shared" si="26"/>
        <v>0.29090909090909089</v>
      </c>
      <c r="Q743" t="str">
        <f>Orders!D743</f>
        <v>PROD-055</v>
      </c>
    </row>
    <row r="744" spans="1:17" x14ac:dyDescent="0.3">
      <c r="A744" t="str">
        <f>Orders!A744</f>
        <v>ORD-00743</v>
      </c>
      <c r="B744">
        <f>Orders!B744</f>
        <v>45644</v>
      </c>
      <c r="C744">
        <f>Orders!I744</f>
        <v>20964.3</v>
      </c>
      <c r="D744" t="str">
        <f>Orders!E744</f>
        <v>R013</v>
      </c>
      <c r="E744" t="str">
        <f>IFERROR(VLOOKUP(Orders!D744,Products!$A$2:$C$61,3,FALSE),"Unknown")</f>
        <v>Beauty</v>
      </c>
      <c r="F744" t="str">
        <f>IFERROR(VLOOKUP(Orders!C744,Customers!$A$2:$E$301,5,FALSE),"Unknown")</f>
        <v>Retail</v>
      </c>
      <c r="G744">
        <f>IFERROR(VLOOKUP(Orders!C744,Customers!$A$2:$C$301,3,FALSE),"")</f>
        <v>36</v>
      </c>
      <c r="H744" t="str">
        <f>VLOOKUP(D744,Sales_Reps!$A$2:$C$31,3,FALSE)</f>
        <v>South</v>
      </c>
      <c r="I744" s="44">
        <f t="shared" si="25"/>
        <v>45627</v>
      </c>
      <c r="L744" t="str">
        <f>Orders!K744</f>
        <v>Pune</v>
      </c>
      <c r="M744">
        <f>Orders!G744</f>
        <v>3350</v>
      </c>
      <c r="N744">
        <f>IFERROR(VLOOKUP(Orders!D744,Products!$A$2:$D$61,4,FALSE),"")</f>
        <v>1728</v>
      </c>
      <c r="O744">
        <f t="shared" si="26"/>
        <v>0.48417910447761192</v>
      </c>
      <c r="Q744" t="str">
        <f>Orders!D744</f>
        <v>PROD-043</v>
      </c>
    </row>
    <row r="745" spans="1:17" x14ac:dyDescent="0.3">
      <c r="A745" t="str">
        <f>Orders!A745</f>
        <v>ORD-00744</v>
      </c>
      <c r="B745">
        <f>Orders!B745</f>
        <v>45589</v>
      </c>
      <c r="C745">
        <f>Orders!I745</f>
        <v>9712.9500000000007</v>
      </c>
      <c r="D745" t="str">
        <f>Orders!E745</f>
        <v>R028</v>
      </c>
      <c r="E745" t="str">
        <f>IFERROR(VLOOKUP(Orders!D745,Products!$A$2:$C$61,3,FALSE),"Unknown")</f>
        <v>Grocery</v>
      </c>
      <c r="F745" t="str">
        <f>IFERROR(VLOOKUP(Orders!C745,Customers!$A$2:$E$301,5,FALSE),"Unknown")</f>
        <v>Retail</v>
      </c>
      <c r="G745">
        <f>IFERROR(VLOOKUP(Orders!C745,Customers!$A$2:$C$301,3,FALSE),"")</f>
        <v>28</v>
      </c>
      <c r="H745" t="str">
        <f>VLOOKUP(D745,Sales_Reps!$A$2:$C$31,3,FALSE)</f>
        <v>West</v>
      </c>
      <c r="I745" s="44">
        <f t="shared" si="25"/>
        <v>45566</v>
      </c>
      <c r="L745" t="str">
        <f>Orders!K745</f>
        <v>Chennai</v>
      </c>
      <c r="M745">
        <f>Orders!G745</f>
        <v>2210</v>
      </c>
      <c r="N745">
        <f>IFERROR(VLOOKUP(Orders!D745,Products!$A$2:$D$61,4,FALSE),"")</f>
        <v>1010</v>
      </c>
      <c r="O745">
        <f t="shared" si="26"/>
        <v>0.54298642533936647</v>
      </c>
      <c r="Q745" t="str">
        <f>Orders!D745</f>
        <v>PROD-029</v>
      </c>
    </row>
    <row r="746" spans="1:17" x14ac:dyDescent="0.3">
      <c r="A746" t="str">
        <f>Orders!A746</f>
        <v>ORD-00745</v>
      </c>
      <c r="B746">
        <f>Orders!B746</f>
        <v>45329</v>
      </c>
      <c r="C746">
        <f>Orders!I746</f>
        <v>2791.05</v>
      </c>
      <c r="D746" t="str">
        <f>Orders!E746</f>
        <v>R013</v>
      </c>
      <c r="E746" t="str">
        <f>IFERROR(VLOOKUP(Orders!D746,Products!$A$2:$C$61,3,FALSE),"Unknown")</f>
        <v>Beauty</v>
      </c>
      <c r="F746" t="str">
        <f>IFERROR(VLOOKUP(Orders!C746,Customers!$A$2:$E$301,5,FALSE),"Unknown")</f>
        <v>Corporate</v>
      </c>
      <c r="G746">
        <f>IFERROR(VLOOKUP(Orders!C746,Customers!$A$2:$C$301,3,FALSE),"")</f>
        <v>37</v>
      </c>
      <c r="H746" t="str">
        <f>VLOOKUP(D746,Sales_Reps!$A$2:$C$31,3,FALSE)</f>
        <v>South</v>
      </c>
      <c r="I746" s="44">
        <f t="shared" si="25"/>
        <v>45323</v>
      </c>
      <c r="L746" t="str">
        <f>Orders!K746</f>
        <v>Pune</v>
      </c>
      <c r="M746">
        <f>Orders!G746</f>
        <v>3450</v>
      </c>
      <c r="N746">
        <f>IFERROR(VLOOKUP(Orders!D746,Products!$A$2:$D$61,4,FALSE),"")</f>
        <v>2420</v>
      </c>
      <c r="O746">
        <f t="shared" si="26"/>
        <v>0.29855072463768118</v>
      </c>
      <c r="Q746" t="str">
        <f>Orders!D746</f>
        <v>PROD-047</v>
      </c>
    </row>
    <row r="747" spans="1:17" x14ac:dyDescent="0.3">
      <c r="A747" t="str">
        <f>Orders!A747</f>
        <v>ORD-00746</v>
      </c>
      <c r="B747">
        <f>Orders!B747</f>
        <v>45587</v>
      </c>
      <c r="C747">
        <f>Orders!I747</f>
        <v>24786</v>
      </c>
      <c r="D747" t="str">
        <f>Orders!E747</f>
        <v>R028</v>
      </c>
      <c r="E747" t="str">
        <f>IFERROR(VLOOKUP(Orders!D747,Products!$A$2:$C$61,3,FALSE),"Unknown")</f>
        <v>Beauty</v>
      </c>
      <c r="F747" t="str">
        <f>IFERROR(VLOOKUP(Orders!C747,Customers!$A$2:$E$301,5,FALSE),"Unknown")</f>
        <v>Retail</v>
      </c>
      <c r="G747">
        <f>IFERROR(VLOOKUP(Orders!C747,Customers!$A$2:$C$301,3,FALSE),"")</f>
        <v>38</v>
      </c>
      <c r="H747" t="str">
        <f>VLOOKUP(D747,Sales_Reps!$A$2:$C$31,3,FALSE)</f>
        <v>West</v>
      </c>
      <c r="I747" s="44">
        <f t="shared" si="25"/>
        <v>45566</v>
      </c>
      <c r="L747" t="str">
        <f>Orders!K747</f>
        <v>Hyderabad</v>
      </c>
      <c r="M747">
        <f>Orders!G747</f>
        <v>5100</v>
      </c>
      <c r="N747">
        <f>IFERROR(VLOOKUP(Orders!D747,Products!$A$2:$D$61,4,FALSE),"")</f>
        <v>2237</v>
      </c>
      <c r="O747">
        <f t="shared" si="26"/>
        <v>0.56137254901960787</v>
      </c>
      <c r="Q747" t="str">
        <f>Orders!D747</f>
        <v>PROD-048</v>
      </c>
    </row>
    <row r="748" spans="1:17" x14ac:dyDescent="0.3">
      <c r="A748" t="str">
        <f>Orders!A748</f>
        <v>ORD-00747</v>
      </c>
      <c r="B748">
        <f>Orders!B748</f>
        <v>45423</v>
      </c>
      <c r="C748">
        <f>Orders!I748</f>
        <v>34700.400000000001</v>
      </c>
      <c r="D748" t="str">
        <f>Orders!E748</f>
        <v>R003</v>
      </c>
      <c r="E748" t="str">
        <f>IFERROR(VLOOKUP(Orders!D748,Products!$A$2:$C$61,3,FALSE),"Unknown")</f>
        <v>Beauty</v>
      </c>
      <c r="F748" t="str">
        <f>IFERROR(VLOOKUP(Orders!C748,Customers!$A$2:$E$301,5,FALSE),"Unknown")</f>
        <v>Retail</v>
      </c>
      <c r="G748">
        <f>IFERROR(VLOOKUP(Orders!C748,Customers!$A$2:$C$301,3,FALSE),"")</f>
        <v>29</v>
      </c>
      <c r="H748" t="str">
        <f>VLOOKUP(D748,Sales_Reps!$A$2:$C$31,3,FALSE)</f>
        <v>North</v>
      </c>
      <c r="I748" s="44">
        <f t="shared" si="25"/>
        <v>45413</v>
      </c>
      <c r="L748" t="str">
        <f>Orders!K748</f>
        <v>Hyderabad</v>
      </c>
      <c r="M748">
        <f>Orders!G748</f>
        <v>5100</v>
      </c>
      <c r="N748">
        <f>IFERROR(VLOOKUP(Orders!D748,Products!$A$2:$D$61,4,FALSE),"")</f>
        <v>2237</v>
      </c>
      <c r="O748">
        <f t="shared" si="26"/>
        <v>0.56137254901960787</v>
      </c>
      <c r="Q748" t="str">
        <f>Orders!D748</f>
        <v>PROD-048</v>
      </c>
    </row>
    <row r="749" spans="1:17" x14ac:dyDescent="0.3">
      <c r="A749" t="str">
        <f>Orders!A749</f>
        <v>ORD-00748</v>
      </c>
      <c r="B749">
        <f>Orders!B749</f>
        <v>45568</v>
      </c>
      <c r="C749">
        <f>Orders!I749</f>
        <v>4763.88</v>
      </c>
      <c r="D749" t="str">
        <f>Orders!E749</f>
        <v>R006</v>
      </c>
      <c r="E749" t="str">
        <f>IFERROR(VLOOKUP(Orders!D749,Products!$A$2:$C$61,3,FALSE),"Unknown")</f>
        <v>Home</v>
      </c>
      <c r="F749" t="str">
        <f>IFERROR(VLOOKUP(Orders!C749,Customers!$A$2:$E$301,5,FALSE),"Unknown")</f>
        <v>Retail</v>
      </c>
      <c r="G749">
        <f>IFERROR(VLOOKUP(Orders!C749,Customers!$A$2:$C$301,3,FALSE),"")</f>
        <v>41</v>
      </c>
      <c r="H749" t="str">
        <f>VLOOKUP(D749,Sales_Reps!$A$2:$C$31,3,FALSE)</f>
        <v>North</v>
      </c>
      <c r="I749" s="44">
        <f t="shared" si="25"/>
        <v>45566</v>
      </c>
      <c r="L749" t="str">
        <f>Orders!K749</f>
        <v>Chennai</v>
      </c>
      <c r="M749">
        <f>Orders!G749</f>
        <v>660</v>
      </c>
      <c r="N749">
        <f>IFERROR(VLOOKUP(Orders!D749,Products!$A$2:$D$61,4,FALSE),"")</f>
        <v>329</v>
      </c>
      <c r="O749">
        <f t="shared" si="26"/>
        <v>0.50151515151515147</v>
      </c>
      <c r="Q749" t="str">
        <f>Orders!D749</f>
        <v>PROD-037</v>
      </c>
    </row>
    <row r="750" spans="1:17" x14ac:dyDescent="0.3">
      <c r="A750" t="str">
        <f>Orders!A750</f>
        <v>ORD-00749</v>
      </c>
      <c r="B750">
        <f>Orders!B750</f>
        <v>45549</v>
      </c>
      <c r="C750">
        <f>Orders!I750</f>
        <v>8901.09</v>
      </c>
      <c r="D750" t="str">
        <f>Orders!E750</f>
        <v>R006</v>
      </c>
      <c r="E750" t="str">
        <f>IFERROR(VLOOKUP(Orders!D750,Products!$A$2:$C$61,3,FALSE),"Unknown")</f>
        <v>Grocery</v>
      </c>
      <c r="F750" t="str">
        <f>IFERROR(VLOOKUP(Orders!C750,Customers!$A$2:$E$301,5,FALSE),"Unknown")</f>
        <v>Retail</v>
      </c>
      <c r="G750">
        <f>IFERROR(VLOOKUP(Orders!C750,Customers!$A$2:$C$301,3,FALSE),"")</f>
        <v>44</v>
      </c>
      <c r="H750" t="str">
        <f>VLOOKUP(D750,Sales_Reps!$A$2:$C$31,3,FALSE)</f>
        <v>North</v>
      </c>
      <c r="I750" s="44">
        <f t="shared" si="25"/>
        <v>45536</v>
      </c>
      <c r="L750" t="str">
        <f>Orders!K750</f>
        <v>Mumbai</v>
      </c>
      <c r="M750">
        <f>Orders!G750</f>
        <v>4070</v>
      </c>
      <c r="N750">
        <f>IFERROR(VLOOKUP(Orders!D750,Products!$A$2:$D$61,4,FALSE),"")</f>
        <v>2027</v>
      </c>
      <c r="O750">
        <f t="shared" si="26"/>
        <v>0.50196560196560192</v>
      </c>
      <c r="Q750" t="str">
        <f>Orders!D750</f>
        <v>PROD-026</v>
      </c>
    </row>
    <row r="751" spans="1:17" x14ac:dyDescent="0.3">
      <c r="A751" t="str">
        <f>Orders!A751</f>
        <v>ORD-00750</v>
      </c>
      <c r="B751">
        <f>Orders!B751</f>
        <v>45504</v>
      </c>
      <c r="C751">
        <f>Orders!I751</f>
        <v>3559.18</v>
      </c>
      <c r="D751" t="str">
        <f>Orders!E751</f>
        <v>R007</v>
      </c>
      <c r="E751" t="str">
        <f>IFERROR(VLOOKUP(Orders!D751,Products!$A$2:$C$61,3,FALSE),"Unknown")</f>
        <v>Apparel</v>
      </c>
      <c r="F751" t="str">
        <f>IFERROR(VLOOKUP(Orders!C751,Customers!$A$2:$E$301,5,FALSE),"Unknown")</f>
        <v>SMB</v>
      </c>
      <c r="G751">
        <f>IFERROR(VLOOKUP(Orders!C751,Customers!$A$2:$C$301,3,FALSE),"")</f>
        <v>22</v>
      </c>
      <c r="H751" t="str">
        <f>VLOOKUP(D751,Sales_Reps!$A$2:$C$31,3,FALSE)</f>
        <v>North</v>
      </c>
      <c r="I751" s="44">
        <f t="shared" si="25"/>
        <v>45474</v>
      </c>
      <c r="L751" t="str">
        <f>Orders!K751</f>
        <v>Mumbai</v>
      </c>
      <c r="M751">
        <f>Orders!G751</f>
        <v>2510</v>
      </c>
      <c r="N751">
        <f>IFERROR(VLOOKUP(Orders!D751,Products!$A$2:$D$61,4,FALSE),"")</f>
        <v>1075</v>
      </c>
      <c r="O751">
        <f t="shared" si="26"/>
        <v>0.57171314741035861</v>
      </c>
      <c r="Q751" t="str">
        <f>Orders!D751</f>
        <v>PROD-017</v>
      </c>
    </row>
    <row r="752" spans="1:17" x14ac:dyDescent="0.3">
      <c r="A752" t="str">
        <f>Orders!A752</f>
        <v>ORD-00751</v>
      </c>
      <c r="B752">
        <f>Orders!B752</f>
        <v>45449</v>
      </c>
      <c r="C752">
        <f>Orders!I752</f>
        <v>10257</v>
      </c>
      <c r="D752" t="str">
        <f>Orders!E752</f>
        <v>R030</v>
      </c>
      <c r="E752" t="str">
        <f>IFERROR(VLOOKUP(Orders!D752,Products!$A$2:$C$61,3,FALSE),"Unknown")</f>
        <v>Home</v>
      </c>
      <c r="F752" t="str">
        <f>IFERROR(VLOOKUP(Orders!C752,Customers!$A$2:$E$301,5,FALSE),"Unknown")</f>
        <v>SMB</v>
      </c>
      <c r="G752">
        <f>IFERROR(VLOOKUP(Orders!C752,Customers!$A$2:$C$301,3,FALSE),"")</f>
        <v>29</v>
      </c>
      <c r="H752" t="str">
        <f>VLOOKUP(D752,Sales_Reps!$A$2:$C$31,3,FALSE)</f>
        <v>West</v>
      </c>
      <c r="I752" s="44">
        <f t="shared" si="25"/>
        <v>45444</v>
      </c>
      <c r="L752" t="str">
        <f>Orders!K752</f>
        <v>Pune</v>
      </c>
      <c r="M752">
        <f>Orders!G752</f>
        <v>3250</v>
      </c>
      <c r="N752">
        <f>IFERROR(VLOOKUP(Orders!D752,Products!$A$2:$D$61,4,FALSE),"")</f>
        <v>1556</v>
      </c>
      <c r="O752">
        <f t="shared" si="26"/>
        <v>0.52123076923076928</v>
      </c>
      <c r="Q752" t="str">
        <f>Orders!D752</f>
        <v>PROD-036</v>
      </c>
    </row>
    <row r="753" spans="1:17" x14ac:dyDescent="0.3">
      <c r="A753" t="str">
        <f>Orders!A753</f>
        <v>ORD-00752</v>
      </c>
      <c r="B753">
        <f>Orders!B753</f>
        <v>45600</v>
      </c>
      <c r="C753">
        <f>Orders!I753</f>
        <v>1024.53</v>
      </c>
      <c r="D753" t="str">
        <f>Orders!E753</f>
        <v>R005</v>
      </c>
      <c r="E753" t="str">
        <f>IFERROR(VLOOKUP(Orders!D753,Products!$A$2:$C$61,3,FALSE),"Unknown")</f>
        <v>Home</v>
      </c>
      <c r="F753" t="str">
        <f>IFERROR(VLOOKUP(Orders!C753,Customers!$A$2:$E$301,5,FALSE),"Unknown")</f>
        <v>Corporate</v>
      </c>
      <c r="G753">
        <f>IFERROR(VLOOKUP(Orders!C753,Customers!$A$2:$C$301,3,FALSE),"")</f>
        <v>26</v>
      </c>
      <c r="H753" t="str">
        <f>VLOOKUP(D753,Sales_Reps!$A$2:$C$31,3,FALSE)</f>
        <v>North</v>
      </c>
      <c r="I753" s="44">
        <f t="shared" si="25"/>
        <v>45597</v>
      </c>
      <c r="L753" t="str">
        <f>Orders!K753</f>
        <v>Bengaluru</v>
      </c>
      <c r="M753">
        <f>Orders!G753</f>
        <v>370</v>
      </c>
      <c r="N753">
        <f>IFERROR(VLOOKUP(Orders!D753,Products!$A$2:$D$61,4,FALSE),"")</f>
        <v>288</v>
      </c>
      <c r="O753">
        <f t="shared" si="26"/>
        <v>0.22162162162162163</v>
      </c>
      <c r="Q753" t="str">
        <f>Orders!D753</f>
        <v>PROD-032</v>
      </c>
    </row>
    <row r="754" spans="1:17" x14ac:dyDescent="0.3">
      <c r="A754" t="str">
        <f>Orders!A754</f>
        <v>ORD-00753</v>
      </c>
      <c r="B754">
        <f>Orders!B754</f>
        <v>45479</v>
      </c>
      <c r="C754">
        <f>Orders!I754</f>
        <v>7913</v>
      </c>
      <c r="D754" t="str">
        <f>Orders!E754</f>
        <v>R006</v>
      </c>
      <c r="E754" t="str">
        <f>IFERROR(VLOOKUP(Orders!D754,Products!$A$2:$C$61,3,FALSE),"Unknown")</f>
        <v>Apparel</v>
      </c>
      <c r="F754" t="str">
        <f>IFERROR(VLOOKUP(Orders!C754,Customers!$A$2:$E$301,5,FALSE),"Unknown")</f>
        <v>Corporate</v>
      </c>
      <c r="G754">
        <f>IFERROR(VLOOKUP(Orders!C754,Customers!$A$2:$C$301,3,FALSE),"")</f>
        <v>29</v>
      </c>
      <c r="H754" t="str">
        <f>VLOOKUP(D754,Sales_Reps!$A$2:$C$31,3,FALSE)</f>
        <v>North</v>
      </c>
      <c r="I754" s="44">
        <f t="shared" si="25"/>
        <v>45474</v>
      </c>
      <c r="L754" t="str">
        <f>Orders!K754</f>
        <v>Pune</v>
      </c>
      <c r="M754">
        <f>Orders!G754</f>
        <v>820</v>
      </c>
      <c r="N754">
        <f>IFERROR(VLOOKUP(Orders!D754,Products!$A$2:$D$61,4,FALSE),"")</f>
        <v>391</v>
      </c>
      <c r="O754">
        <f t="shared" si="26"/>
        <v>0.52317073170731709</v>
      </c>
      <c r="Q754" t="str">
        <f>Orders!D754</f>
        <v>PROD-020</v>
      </c>
    </row>
    <row r="755" spans="1:17" x14ac:dyDescent="0.3">
      <c r="A755" t="str">
        <f>Orders!A755</f>
        <v>ORD-00754</v>
      </c>
      <c r="B755">
        <f>Orders!B755</f>
        <v>45531</v>
      </c>
      <c r="C755">
        <f>Orders!I755</f>
        <v>12405.36</v>
      </c>
      <c r="D755" t="str">
        <f>Orders!E755</f>
        <v>R029</v>
      </c>
      <c r="E755" t="str">
        <f>IFERROR(VLOOKUP(Orders!D755,Products!$A$2:$C$61,3,FALSE),"Unknown")</f>
        <v>Grocery</v>
      </c>
      <c r="F755" t="str">
        <f>IFERROR(VLOOKUP(Orders!C755,Customers!$A$2:$E$301,5,FALSE),"Unknown")</f>
        <v>Retail</v>
      </c>
      <c r="G755">
        <f>IFERROR(VLOOKUP(Orders!C755,Customers!$A$2:$C$301,3,FALSE),"")</f>
        <v>55</v>
      </c>
      <c r="H755" t="str">
        <f>VLOOKUP(D755,Sales_Reps!$A$2:$C$31,3,FALSE)</f>
        <v>West</v>
      </c>
      <c r="I755" s="44">
        <f t="shared" si="25"/>
        <v>45505</v>
      </c>
      <c r="L755" t="str">
        <f>Orders!K755</f>
        <v>Bengaluru</v>
      </c>
      <c r="M755">
        <f>Orders!G755</f>
        <v>4070</v>
      </c>
      <c r="N755">
        <f>IFERROR(VLOOKUP(Orders!D755,Products!$A$2:$D$61,4,FALSE),"")</f>
        <v>2027</v>
      </c>
      <c r="O755">
        <f t="shared" si="26"/>
        <v>0.50196560196560192</v>
      </c>
      <c r="Q755" t="str">
        <f>Orders!D755</f>
        <v>PROD-026</v>
      </c>
    </row>
    <row r="756" spans="1:17" x14ac:dyDescent="0.3">
      <c r="A756" t="str">
        <f>Orders!A756</f>
        <v>ORD-00755</v>
      </c>
      <c r="B756">
        <f>Orders!B756</f>
        <v>45356</v>
      </c>
      <c r="C756">
        <f>Orders!I756</f>
        <v>1913.52</v>
      </c>
      <c r="D756" t="str">
        <f>Orders!E756</f>
        <v>R011</v>
      </c>
      <c r="E756" t="str">
        <f>IFERROR(VLOOKUP(Orders!D756,Products!$A$2:$C$61,3,FALSE),"Unknown")</f>
        <v>Grocery</v>
      </c>
      <c r="F756" t="str">
        <f>IFERROR(VLOOKUP(Orders!C756,Customers!$A$2:$E$301,5,FALSE),"Unknown")</f>
        <v>Retail</v>
      </c>
      <c r="G756">
        <f>IFERROR(VLOOKUP(Orders!C756,Customers!$A$2:$C$301,3,FALSE),"")</f>
        <v>29</v>
      </c>
      <c r="H756" t="str">
        <f>VLOOKUP(D756,Sales_Reps!$A$2:$C$31,3,FALSE)</f>
        <v>South</v>
      </c>
      <c r="I756" s="44">
        <f t="shared" si="25"/>
        <v>45352</v>
      </c>
      <c r="L756" t="str">
        <f>Orders!K756</f>
        <v>Bengaluru</v>
      </c>
      <c r="M756">
        <f>Orders!G756</f>
        <v>2380</v>
      </c>
      <c r="N756">
        <f>IFERROR(VLOOKUP(Orders!D756,Products!$A$2:$D$61,4,FALSE),"")</f>
        <v>1182</v>
      </c>
      <c r="O756">
        <f t="shared" si="26"/>
        <v>0.50336134453781511</v>
      </c>
      <c r="Q756" t="str">
        <f>Orders!D756</f>
        <v>PROD-023</v>
      </c>
    </row>
    <row r="757" spans="1:17" x14ac:dyDescent="0.3">
      <c r="A757" t="str">
        <f>Orders!A757</f>
        <v>ORD-00756</v>
      </c>
      <c r="B757">
        <f>Orders!B757</f>
        <v>45553</v>
      </c>
      <c r="C757">
        <f>Orders!I757</f>
        <v>16058.25</v>
      </c>
      <c r="D757" t="str">
        <f>Orders!E757</f>
        <v>R030</v>
      </c>
      <c r="E757" t="str">
        <f>IFERROR(VLOOKUP(Orders!D757,Products!$A$2:$C$61,3,FALSE),"Unknown")</f>
        <v>Home</v>
      </c>
      <c r="F757" t="str">
        <f>IFERROR(VLOOKUP(Orders!C757,Customers!$A$2:$E$301,5,FALSE),"Unknown")</f>
        <v>Retail</v>
      </c>
      <c r="G757">
        <f>IFERROR(VLOOKUP(Orders!C757,Customers!$A$2:$C$301,3,FALSE),"")</f>
        <v>65</v>
      </c>
      <c r="H757" t="str">
        <f>VLOOKUP(D757,Sales_Reps!$A$2:$C$31,3,FALSE)</f>
        <v>West</v>
      </c>
      <c r="I757" s="44">
        <f t="shared" si="25"/>
        <v>45536</v>
      </c>
      <c r="L757" t="str">
        <f>Orders!K757</f>
        <v>Pune</v>
      </c>
      <c r="M757">
        <f>Orders!G757</f>
        <v>5490</v>
      </c>
      <c r="N757">
        <f>IFERROR(VLOOKUP(Orders!D757,Products!$A$2:$D$61,4,FALSE),"")</f>
        <v>2549</v>
      </c>
      <c r="O757">
        <f t="shared" si="26"/>
        <v>0.53570127504553733</v>
      </c>
      <c r="Q757" t="str">
        <f>Orders!D757</f>
        <v>PROD-038</v>
      </c>
    </row>
    <row r="758" spans="1:17" x14ac:dyDescent="0.3">
      <c r="A758" t="str">
        <f>Orders!A758</f>
        <v>ORD-00757</v>
      </c>
      <c r="B758">
        <f>Orders!B758</f>
        <v>45492</v>
      </c>
      <c r="C758">
        <f>Orders!I758</f>
        <v>8375.64</v>
      </c>
      <c r="D758" t="str">
        <f>Orders!E758</f>
        <v>R027</v>
      </c>
      <c r="E758" t="str">
        <f>IFERROR(VLOOKUP(Orders!D758,Products!$A$2:$C$61,3,FALSE),"Unknown")</f>
        <v>Apparel</v>
      </c>
      <c r="F758" t="str">
        <f>IFERROR(VLOOKUP(Orders!C758,Customers!$A$2:$E$301,5,FALSE),"Unknown")</f>
        <v>Retail</v>
      </c>
      <c r="G758">
        <f>IFERROR(VLOOKUP(Orders!C758,Customers!$A$2:$C$301,3,FALSE),"")</f>
        <v>49</v>
      </c>
      <c r="H758" t="str">
        <f>VLOOKUP(D758,Sales_Reps!$A$2:$C$31,3,FALSE)</f>
        <v>West</v>
      </c>
      <c r="I758" s="44">
        <f t="shared" si="25"/>
        <v>45474</v>
      </c>
      <c r="L758" t="str">
        <f>Orders!K758</f>
        <v>Mumbai</v>
      </c>
      <c r="M758">
        <f>Orders!G758</f>
        <v>3640</v>
      </c>
      <c r="N758">
        <f>IFERROR(VLOOKUP(Orders!D758,Products!$A$2:$D$61,4,FALSE),"")</f>
        <v>2611</v>
      </c>
      <c r="O758">
        <f t="shared" si="26"/>
        <v>0.28269230769230769</v>
      </c>
      <c r="Q758" t="str">
        <f>Orders!D758</f>
        <v>PROD-013</v>
      </c>
    </row>
    <row r="759" spans="1:17" x14ac:dyDescent="0.3">
      <c r="A759" t="str">
        <f>Orders!A759</f>
        <v>ORD-00758</v>
      </c>
      <c r="B759">
        <f>Orders!B759</f>
        <v>45388</v>
      </c>
      <c r="C759">
        <f>Orders!I759</f>
        <v>8759</v>
      </c>
      <c r="D759" t="str">
        <f>Orders!E759</f>
        <v>R018</v>
      </c>
      <c r="E759" t="str">
        <f>IFERROR(VLOOKUP(Orders!D759,Products!$A$2:$C$61,3,FALSE),"Unknown")</f>
        <v>Home</v>
      </c>
      <c r="F759" t="str">
        <f>IFERROR(VLOOKUP(Orders!C759,Customers!$A$2:$E$301,5,FALSE),"Unknown")</f>
        <v>Corporate</v>
      </c>
      <c r="G759">
        <f>IFERROR(VLOOKUP(Orders!C759,Customers!$A$2:$C$301,3,FALSE),"")</f>
        <v>24</v>
      </c>
      <c r="H759" t="str">
        <f>VLOOKUP(D759,Sales_Reps!$A$2:$C$31,3,FALSE)</f>
        <v>East</v>
      </c>
      <c r="I759" s="44">
        <f t="shared" si="25"/>
        <v>45383</v>
      </c>
      <c r="L759" t="str">
        <f>Orders!K759</f>
        <v>Chennai</v>
      </c>
      <c r="M759">
        <f>Orders!G759</f>
        <v>4610</v>
      </c>
      <c r="N759">
        <f>IFERROR(VLOOKUP(Orders!D759,Products!$A$2:$D$61,4,FALSE),"")</f>
        <v>1850</v>
      </c>
      <c r="O759">
        <f t="shared" si="26"/>
        <v>0.59869848156182215</v>
      </c>
      <c r="Q759" t="str">
        <f>Orders!D759</f>
        <v>PROD-039</v>
      </c>
    </row>
    <row r="760" spans="1:17" x14ac:dyDescent="0.3">
      <c r="A760" t="str">
        <f>Orders!A760</f>
        <v>ORD-00759</v>
      </c>
      <c r="B760">
        <f>Orders!B760</f>
        <v>45369</v>
      </c>
      <c r="C760">
        <f>Orders!I760</f>
        <v>17280</v>
      </c>
      <c r="D760" t="str">
        <f>Orders!E760</f>
        <v>R001</v>
      </c>
      <c r="E760" t="str">
        <f>IFERROR(VLOOKUP(Orders!D760,Products!$A$2:$C$61,3,FALSE),"Unknown")</f>
        <v>Sports</v>
      </c>
      <c r="F760" t="str">
        <f>IFERROR(VLOOKUP(Orders!C760,Customers!$A$2:$E$301,5,FALSE),"Unknown")</f>
        <v>Retail</v>
      </c>
      <c r="G760">
        <f>IFERROR(VLOOKUP(Orders!C760,Customers!$A$2:$C$301,3,FALSE),"")</f>
        <v>59</v>
      </c>
      <c r="H760" t="str">
        <f>VLOOKUP(D760,Sales_Reps!$A$2:$C$31,3,FALSE)</f>
        <v>North</v>
      </c>
      <c r="I760" s="44">
        <f t="shared" si="25"/>
        <v>45352</v>
      </c>
      <c r="L760" t="str">
        <f>Orders!K760</f>
        <v>Pune</v>
      </c>
      <c r="M760">
        <f>Orders!G760</f>
        <v>2400</v>
      </c>
      <c r="N760">
        <f>IFERROR(VLOOKUP(Orders!D760,Products!$A$2:$D$61,4,FALSE),"")</f>
        <v>974</v>
      </c>
      <c r="O760">
        <f t="shared" si="26"/>
        <v>0.59416666666666662</v>
      </c>
      <c r="Q760" t="str">
        <f>Orders!D760</f>
        <v>PROD-058</v>
      </c>
    </row>
    <row r="761" spans="1:17" x14ac:dyDescent="0.3">
      <c r="A761" t="str">
        <f>Orders!A761</f>
        <v>ORD-00760</v>
      </c>
      <c r="B761">
        <f>Orders!B761</f>
        <v>45597</v>
      </c>
      <c r="C761">
        <f>Orders!I761</f>
        <v>17892.349999999999</v>
      </c>
      <c r="D761" t="str">
        <f>Orders!E761</f>
        <v>R002</v>
      </c>
      <c r="E761" t="str">
        <f>IFERROR(VLOOKUP(Orders!D761,Products!$A$2:$C$61,3,FALSE),"Unknown")</f>
        <v>Beauty</v>
      </c>
      <c r="F761" t="str">
        <f>IFERROR(VLOOKUP(Orders!C761,Customers!$A$2:$E$301,5,FALSE),"Unknown")</f>
        <v>Retail</v>
      </c>
      <c r="G761">
        <f>IFERROR(VLOOKUP(Orders!C761,Customers!$A$2:$C$301,3,FALSE),"")</f>
        <v>30</v>
      </c>
      <c r="H761" t="str">
        <f>VLOOKUP(D761,Sales_Reps!$A$2:$C$31,3,FALSE)</f>
        <v>North</v>
      </c>
      <c r="I761" s="44">
        <f t="shared" si="25"/>
        <v>45597</v>
      </c>
      <c r="L761" t="str">
        <f>Orders!K761</f>
        <v>Delhi</v>
      </c>
      <c r="M761">
        <f>Orders!G761</f>
        <v>3350</v>
      </c>
      <c r="N761">
        <f>IFERROR(VLOOKUP(Orders!D761,Products!$A$2:$D$61,4,FALSE),"")</f>
        <v>1728</v>
      </c>
      <c r="O761">
        <f t="shared" si="26"/>
        <v>0.48417910447761192</v>
      </c>
      <c r="Q761" t="str">
        <f>Orders!D761</f>
        <v>PROD-043</v>
      </c>
    </row>
    <row r="762" spans="1:17" x14ac:dyDescent="0.3">
      <c r="A762" t="str">
        <f>Orders!A762</f>
        <v>ORD-00761</v>
      </c>
      <c r="B762">
        <f>Orders!B762</f>
        <v>45611</v>
      </c>
      <c r="C762">
        <f>Orders!I762</f>
        <v>13205.92</v>
      </c>
      <c r="D762" t="str">
        <f>Orders!E762</f>
        <v>R012</v>
      </c>
      <c r="E762" t="str">
        <f>IFERROR(VLOOKUP(Orders!D762,Products!$A$2:$C$61,3,FALSE),"Unknown")</f>
        <v>Apparel</v>
      </c>
      <c r="F762" t="str">
        <f>IFERROR(VLOOKUP(Orders!C762,Customers!$A$2:$E$301,5,FALSE),"Unknown")</f>
        <v>Retail</v>
      </c>
      <c r="G762">
        <f>IFERROR(VLOOKUP(Orders!C762,Customers!$A$2:$C$301,3,FALSE),"")</f>
        <v>27</v>
      </c>
      <c r="H762" t="str">
        <f>VLOOKUP(D762,Sales_Reps!$A$2:$C$31,3,FALSE)</f>
        <v>South</v>
      </c>
      <c r="I762" s="44">
        <f t="shared" si="25"/>
        <v>45597</v>
      </c>
      <c r="L762" t="str">
        <f>Orders!K762</f>
        <v>Hyderabad</v>
      </c>
      <c r="M762">
        <f>Orders!G762</f>
        <v>3640</v>
      </c>
      <c r="N762">
        <f>IFERROR(VLOOKUP(Orders!D762,Products!$A$2:$D$61,4,FALSE),"")</f>
        <v>2611</v>
      </c>
      <c r="O762">
        <f t="shared" si="26"/>
        <v>0.28269230769230769</v>
      </c>
      <c r="Q762" t="str">
        <f>Orders!D762</f>
        <v>PROD-013</v>
      </c>
    </row>
    <row r="763" spans="1:17" x14ac:dyDescent="0.3">
      <c r="A763" t="str">
        <f>Orders!A763</f>
        <v>ORD-00762</v>
      </c>
      <c r="B763">
        <f>Orders!B763</f>
        <v>45579</v>
      </c>
      <c r="C763">
        <f>Orders!I763</f>
        <v>28468.44</v>
      </c>
      <c r="D763" t="str">
        <f>Orders!E763</f>
        <v>R028</v>
      </c>
      <c r="E763" t="str">
        <f>IFERROR(VLOOKUP(Orders!D763,Products!$A$2:$C$61,3,FALSE),"Unknown")</f>
        <v>Apparel</v>
      </c>
      <c r="F763" t="str">
        <f>IFERROR(VLOOKUP(Orders!C763,Customers!$A$2:$E$301,5,FALSE),"Unknown")</f>
        <v>Retail</v>
      </c>
      <c r="G763">
        <f>IFERROR(VLOOKUP(Orders!C763,Customers!$A$2:$C$301,3,FALSE),"")</f>
        <v>42</v>
      </c>
      <c r="H763" t="str">
        <f>VLOOKUP(D763,Sales_Reps!$A$2:$C$31,3,FALSE)</f>
        <v>West</v>
      </c>
      <c r="I763" s="44">
        <f t="shared" si="25"/>
        <v>45566</v>
      </c>
      <c r="L763" t="str">
        <f>Orders!K763</f>
        <v>Pune</v>
      </c>
      <c r="M763">
        <f>Orders!G763</f>
        <v>3640</v>
      </c>
      <c r="N763">
        <f>IFERROR(VLOOKUP(Orders!D763,Products!$A$2:$D$61,4,FALSE),"")</f>
        <v>2611</v>
      </c>
      <c r="O763">
        <f t="shared" si="26"/>
        <v>0.28269230769230769</v>
      </c>
      <c r="Q763" t="str">
        <f>Orders!D763</f>
        <v>PROD-013</v>
      </c>
    </row>
    <row r="764" spans="1:17" x14ac:dyDescent="0.3">
      <c r="A764" t="str">
        <f>Orders!A764</f>
        <v>ORD-00763</v>
      </c>
      <c r="B764">
        <f>Orders!B764</f>
        <v>45634</v>
      </c>
      <c r="C764">
        <f>Orders!I764</f>
        <v>3564.68</v>
      </c>
      <c r="D764" t="str">
        <f>Orders!E764</f>
        <v>R014</v>
      </c>
      <c r="E764" t="str">
        <f>IFERROR(VLOOKUP(Orders!D764,Products!$A$2:$C$61,3,FALSE),"Unknown")</f>
        <v>Home</v>
      </c>
      <c r="F764" t="str">
        <f>IFERROR(VLOOKUP(Orders!C764,Customers!$A$2:$E$301,5,FALSE),"Unknown")</f>
        <v>Retail</v>
      </c>
      <c r="G764">
        <f>IFERROR(VLOOKUP(Orders!C764,Customers!$A$2:$C$301,3,FALSE),"")</f>
        <v>50</v>
      </c>
      <c r="H764" t="str">
        <f>VLOOKUP(D764,Sales_Reps!$A$2:$C$31,3,FALSE)</f>
        <v>South</v>
      </c>
      <c r="I764" s="44">
        <f t="shared" si="25"/>
        <v>45627</v>
      </c>
      <c r="L764" t="str">
        <f>Orders!K764</f>
        <v>Pune</v>
      </c>
      <c r="M764">
        <f>Orders!G764</f>
        <v>2030</v>
      </c>
      <c r="N764">
        <f>IFERROR(VLOOKUP(Orders!D764,Products!$A$2:$D$61,4,FALSE),"")</f>
        <v>1143</v>
      </c>
      <c r="O764">
        <f t="shared" si="26"/>
        <v>0.43694581280788175</v>
      </c>
      <c r="Q764" t="str">
        <f>Orders!D764</f>
        <v>PROD-033</v>
      </c>
    </row>
    <row r="765" spans="1:17" x14ac:dyDescent="0.3">
      <c r="A765" t="str">
        <f>Orders!A765</f>
        <v>ORD-00764</v>
      </c>
      <c r="B765">
        <f>Orders!B765</f>
        <v>45471</v>
      </c>
      <c r="C765">
        <f>Orders!I765</f>
        <v>11692</v>
      </c>
      <c r="D765" t="str">
        <f>Orders!E765</f>
        <v>R002</v>
      </c>
      <c r="E765" t="str">
        <f>IFERROR(VLOOKUP(Orders!D765,Products!$A$2:$C$61,3,FALSE),"Unknown")</f>
        <v>Apparel</v>
      </c>
      <c r="F765" t="str">
        <f>IFERROR(VLOOKUP(Orders!C765,Customers!$A$2:$E$301,5,FALSE),"Unknown")</f>
        <v>Retail</v>
      </c>
      <c r="G765">
        <f>IFERROR(VLOOKUP(Orders!C765,Customers!$A$2:$C$301,3,FALSE),"")</f>
        <v>29</v>
      </c>
      <c r="H765" t="str">
        <f>VLOOKUP(D765,Sales_Reps!$A$2:$C$31,3,FALSE)</f>
        <v>North</v>
      </c>
      <c r="I765" s="44">
        <f t="shared" si="25"/>
        <v>45444</v>
      </c>
      <c r="L765" t="str">
        <f>Orders!K765</f>
        <v>Mumbai</v>
      </c>
      <c r="M765">
        <f>Orders!G765</f>
        <v>3160</v>
      </c>
      <c r="N765">
        <f>IFERROR(VLOOKUP(Orders!D765,Products!$A$2:$D$61,4,FALSE),"")</f>
        <v>1886</v>
      </c>
      <c r="O765">
        <f t="shared" si="26"/>
        <v>0.4031645569620253</v>
      </c>
      <c r="Q765" t="str">
        <f>Orders!D765</f>
        <v>PROD-012</v>
      </c>
    </row>
    <row r="766" spans="1:17" x14ac:dyDescent="0.3">
      <c r="A766" t="str">
        <f>Orders!A766</f>
        <v>ORD-00765</v>
      </c>
      <c r="B766">
        <f>Orders!B766</f>
        <v>45327</v>
      </c>
      <c r="C766">
        <f>Orders!I766</f>
        <v>37321.9</v>
      </c>
      <c r="D766" t="str">
        <f>Orders!E766</f>
        <v>R029</v>
      </c>
      <c r="E766" t="str">
        <f>IFERROR(VLOOKUP(Orders!D766,Products!$A$2:$C$61,3,FALSE),"Unknown")</f>
        <v>Grocery</v>
      </c>
      <c r="F766" t="str">
        <f>IFERROR(VLOOKUP(Orders!C766,Customers!$A$2:$E$301,5,FALSE),"Unknown")</f>
        <v>SMB</v>
      </c>
      <c r="G766">
        <f>IFERROR(VLOOKUP(Orders!C766,Customers!$A$2:$C$301,3,FALSE),"")</f>
        <v>26</v>
      </c>
      <c r="H766" t="str">
        <f>VLOOKUP(D766,Sales_Reps!$A$2:$C$31,3,FALSE)</f>
        <v>West</v>
      </c>
      <c r="I766" s="44">
        <f t="shared" si="25"/>
        <v>45323</v>
      </c>
      <c r="L766" t="str">
        <f>Orders!K766</f>
        <v>Chennai</v>
      </c>
      <c r="M766">
        <f>Orders!G766</f>
        <v>4070</v>
      </c>
      <c r="N766">
        <f>IFERROR(VLOOKUP(Orders!D766,Products!$A$2:$D$61,4,FALSE),"")</f>
        <v>2027</v>
      </c>
      <c r="O766">
        <f t="shared" si="26"/>
        <v>0.50196560196560192</v>
      </c>
      <c r="Q766" t="str">
        <f>Orders!D766</f>
        <v>PROD-026</v>
      </c>
    </row>
    <row r="767" spans="1:17" x14ac:dyDescent="0.3">
      <c r="A767" t="str">
        <f>Orders!A767</f>
        <v>ORD-00766</v>
      </c>
      <c r="B767">
        <f>Orders!B767</f>
        <v>45343</v>
      </c>
      <c r="C767">
        <f>Orders!I767</f>
        <v>29719.200000000001</v>
      </c>
      <c r="D767" t="str">
        <f>Orders!E767</f>
        <v>R024</v>
      </c>
      <c r="E767" t="str">
        <f>IFERROR(VLOOKUP(Orders!D767,Products!$A$2:$C$61,3,FALSE),"Unknown")</f>
        <v>Grocery</v>
      </c>
      <c r="F767" t="str">
        <f>IFERROR(VLOOKUP(Orders!C767,Customers!$A$2:$E$301,5,FALSE),"Unknown")</f>
        <v>Retail</v>
      </c>
      <c r="G767">
        <f>IFERROR(VLOOKUP(Orders!C767,Customers!$A$2:$C$301,3,FALSE),"")</f>
        <v>40</v>
      </c>
      <c r="H767" t="str">
        <f>VLOOKUP(D767,Sales_Reps!$A$2:$C$31,3,FALSE)</f>
        <v>West</v>
      </c>
      <c r="I767" s="44">
        <f t="shared" si="25"/>
        <v>45323</v>
      </c>
      <c r="L767" t="str">
        <f>Orders!K767</f>
        <v>Delhi</v>
      </c>
      <c r="M767">
        <f>Orders!G767</f>
        <v>4060</v>
      </c>
      <c r="N767">
        <f>IFERROR(VLOOKUP(Orders!D767,Products!$A$2:$D$61,4,FALSE),"")</f>
        <v>2911</v>
      </c>
      <c r="O767">
        <f t="shared" si="26"/>
        <v>0.28300492610837441</v>
      </c>
      <c r="Q767" t="str">
        <f>Orders!D767</f>
        <v>PROD-025</v>
      </c>
    </row>
    <row r="768" spans="1:17" x14ac:dyDescent="0.3">
      <c r="A768" t="str">
        <f>Orders!A768</f>
        <v>ORD-00767</v>
      </c>
      <c r="B768">
        <f>Orders!B768</f>
        <v>45334</v>
      </c>
      <c r="C768">
        <f>Orders!I768</f>
        <v>7011.84</v>
      </c>
      <c r="D768" t="str">
        <f>Orders!E768</f>
        <v>R018</v>
      </c>
      <c r="E768" t="str">
        <f>IFERROR(VLOOKUP(Orders!D768,Products!$A$2:$C$61,3,FALSE),"Unknown")</f>
        <v>Sports</v>
      </c>
      <c r="F768" t="str">
        <f>IFERROR(VLOOKUP(Orders!C768,Customers!$A$2:$E$301,5,FALSE),"Unknown")</f>
        <v>Retail</v>
      </c>
      <c r="G768">
        <f>IFERROR(VLOOKUP(Orders!C768,Customers!$A$2:$C$301,3,FALSE),"")</f>
        <v>56</v>
      </c>
      <c r="H768" t="str">
        <f>VLOOKUP(D768,Sales_Reps!$A$2:$C$31,3,FALSE)</f>
        <v>East</v>
      </c>
      <c r="I768" s="44">
        <f t="shared" si="25"/>
        <v>45323</v>
      </c>
      <c r="L768" t="str">
        <f>Orders!K768</f>
        <v>Mumbai</v>
      </c>
      <c r="M768">
        <f>Orders!G768</f>
        <v>960</v>
      </c>
      <c r="N768">
        <f>IFERROR(VLOOKUP(Orders!D768,Products!$A$2:$D$61,4,FALSE),"")</f>
        <v>705</v>
      </c>
      <c r="O768">
        <f t="shared" si="26"/>
        <v>0.265625</v>
      </c>
      <c r="Q768" t="str">
        <f>Orders!D768</f>
        <v>PROD-057</v>
      </c>
    </row>
    <row r="769" spans="1:17" x14ac:dyDescent="0.3">
      <c r="A769" t="str">
        <f>Orders!A769</f>
        <v>ORD-00768</v>
      </c>
      <c r="B769">
        <f>Orders!B769</f>
        <v>45306</v>
      </c>
      <c r="C769">
        <f>Orders!I769</f>
        <v>4076.92</v>
      </c>
      <c r="D769" t="str">
        <f>Orders!E769</f>
        <v>R027</v>
      </c>
      <c r="E769" t="str">
        <f>IFERROR(VLOOKUP(Orders!D769,Products!$A$2:$C$61,3,FALSE),"Unknown")</f>
        <v>Grocery</v>
      </c>
      <c r="F769" t="str">
        <f>IFERROR(VLOOKUP(Orders!C769,Customers!$A$2:$E$301,5,FALSE),"Unknown")</f>
        <v>SMB</v>
      </c>
      <c r="G769">
        <f>IFERROR(VLOOKUP(Orders!C769,Customers!$A$2:$C$301,3,FALSE),"")</f>
        <v>35</v>
      </c>
      <c r="H769" t="str">
        <f>VLOOKUP(D769,Sales_Reps!$A$2:$C$31,3,FALSE)</f>
        <v>West</v>
      </c>
      <c r="I769" s="44">
        <f t="shared" si="25"/>
        <v>45292</v>
      </c>
      <c r="L769" t="str">
        <f>Orders!K769</f>
        <v>Pune</v>
      </c>
      <c r="M769">
        <f>Orders!G769</f>
        <v>2270</v>
      </c>
      <c r="N769">
        <f>IFERROR(VLOOKUP(Orders!D769,Products!$A$2:$D$61,4,FALSE),"")</f>
        <v>1412</v>
      </c>
      <c r="O769">
        <f t="shared" si="26"/>
        <v>0.37797356828193834</v>
      </c>
      <c r="Q769" t="str">
        <f>Orders!D769</f>
        <v>PROD-022</v>
      </c>
    </row>
    <row r="770" spans="1:17" x14ac:dyDescent="0.3">
      <c r="A770" t="str">
        <f>Orders!A770</f>
        <v>ORD-00769</v>
      </c>
      <c r="B770">
        <f>Orders!B770</f>
        <v>45296</v>
      </c>
      <c r="C770">
        <f>Orders!I770</f>
        <v>3201.66</v>
      </c>
      <c r="D770" t="str">
        <f>Orders!E770</f>
        <v>R007</v>
      </c>
      <c r="E770" t="str">
        <f>IFERROR(VLOOKUP(Orders!D770,Products!$A$2:$C$61,3,FALSE),"Unknown")</f>
        <v>Grocery</v>
      </c>
      <c r="F770" t="str">
        <f>IFERROR(VLOOKUP(Orders!C770,Customers!$A$2:$E$301,5,FALSE),"Unknown")</f>
        <v>Retail</v>
      </c>
      <c r="G770">
        <f>IFERROR(VLOOKUP(Orders!C770,Customers!$A$2:$C$301,3,FALSE),"")</f>
        <v>29</v>
      </c>
      <c r="H770" t="str">
        <f>VLOOKUP(D770,Sales_Reps!$A$2:$C$31,3,FALSE)</f>
        <v>North</v>
      </c>
      <c r="I770" s="44">
        <f t="shared" si="25"/>
        <v>45292</v>
      </c>
      <c r="L770" t="str">
        <f>Orders!K770</f>
        <v>Hyderabad</v>
      </c>
      <c r="M770">
        <f>Orders!G770</f>
        <v>3780</v>
      </c>
      <c r="N770">
        <f>IFERROR(VLOOKUP(Orders!D770,Products!$A$2:$D$61,4,FALSE),"")</f>
        <v>2436</v>
      </c>
      <c r="O770">
        <f t="shared" si="26"/>
        <v>0.35555555555555557</v>
      </c>
      <c r="Q770" t="str">
        <f>Orders!D770</f>
        <v>PROD-027</v>
      </c>
    </row>
    <row r="771" spans="1:17" x14ac:dyDescent="0.3">
      <c r="A771" t="str">
        <f>Orders!A771</f>
        <v>ORD-00770</v>
      </c>
      <c r="B771">
        <f>Orders!B771</f>
        <v>45489</v>
      </c>
      <c r="C771">
        <f>Orders!I771</f>
        <v>22350.400000000001</v>
      </c>
      <c r="D771" t="str">
        <f>Orders!E771</f>
        <v>R028</v>
      </c>
      <c r="E771" t="str">
        <f>IFERROR(VLOOKUP(Orders!D771,Products!$A$2:$C$61,3,FALSE),"Unknown")</f>
        <v>Beauty</v>
      </c>
      <c r="F771" t="str">
        <f>IFERROR(VLOOKUP(Orders!C771,Customers!$A$2:$E$301,5,FALSE),"Unknown")</f>
        <v>Retail</v>
      </c>
      <c r="G771">
        <f>IFERROR(VLOOKUP(Orders!C771,Customers!$A$2:$C$301,3,FALSE),"")</f>
        <v>57</v>
      </c>
      <c r="H771" t="str">
        <f>VLOOKUP(D771,Sales_Reps!$A$2:$C$31,3,FALSE)</f>
        <v>West</v>
      </c>
      <c r="I771" s="44">
        <f t="shared" ref="I771:I834" si="27">DATE(YEAR(B771),MONTH(B771),1)</f>
        <v>45474</v>
      </c>
      <c r="L771" t="str">
        <f>Orders!K771</f>
        <v>Mumbai</v>
      </c>
      <c r="M771">
        <f>Orders!G771</f>
        <v>2290</v>
      </c>
      <c r="N771">
        <f>IFERROR(VLOOKUP(Orders!D771,Products!$A$2:$D$61,4,FALSE),"")</f>
        <v>1219</v>
      </c>
      <c r="O771">
        <f t="shared" ref="O771:O834" si="28">IF(OR(N771="",M771&lt;=0),"",(M771-N771)/M771)</f>
        <v>0.46768558951965067</v>
      </c>
      <c r="Q771" t="str">
        <f>Orders!D771</f>
        <v>PROD-042</v>
      </c>
    </row>
    <row r="772" spans="1:17" x14ac:dyDescent="0.3">
      <c r="A772" t="str">
        <f>Orders!A772</f>
        <v>ORD-00771</v>
      </c>
      <c r="B772">
        <f>Orders!B772</f>
        <v>45416</v>
      </c>
      <c r="C772">
        <f>Orders!I772</f>
        <v>13651.25</v>
      </c>
      <c r="D772" t="str">
        <f>Orders!E772</f>
        <v>R017</v>
      </c>
      <c r="E772" t="str">
        <f>IFERROR(VLOOKUP(Orders!D772,Products!$A$2:$C$61,3,FALSE),"Unknown")</f>
        <v>Beauty</v>
      </c>
      <c r="F772" t="str">
        <f>IFERROR(VLOOKUP(Orders!C772,Customers!$A$2:$E$301,5,FALSE),"Unknown")</f>
        <v>Retail</v>
      </c>
      <c r="G772">
        <f>IFERROR(VLOOKUP(Orders!C772,Customers!$A$2:$C$301,3,FALSE),"")</f>
        <v>42</v>
      </c>
      <c r="H772" t="str">
        <f>VLOOKUP(D772,Sales_Reps!$A$2:$C$31,3,FALSE)</f>
        <v>East</v>
      </c>
      <c r="I772" s="44">
        <f t="shared" si="27"/>
        <v>45413</v>
      </c>
      <c r="L772" t="str">
        <f>Orders!K772</f>
        <v>Pune</v>
      </c>
      <c r="M772">
        <f>Orders!G772</f>
        <v>3350</v>
      </c>
      <c r="N772">
        <f>IFERROR(VLOOKUP(Orders!D772,Products!$A$2:$D$61,4,FALSE),"")</f>
        <v>1728</v>
      </c>
      <c r="O772">
        <f t="shared" si="28"/>
        <v>0.48417910447761192</v>
      </c>
      <c r="Q772" t="str">
        <f>Orders!D772</f>
        <v>PROD-043</v>
      </c>
    </row>
    <row r="773" spans="1:17" x14ac:dyDescent="0.3">
      <c r="A773" t="str">
        <f>Orders!A773</f>
        <v>ORD-00772</v>
      </c>
      <c r="B773">
        <f>Orders!B773</f>
        <v>45347</v>
      </c>
      <c r="C773">
        <f>Orders!I773</f>
        <v>16832.060000000001</v>
      </c>
      <c r="D773" t="str">
        <f>Orders!E773</f>
        <v>R021</v>
      </c>
      <c r="E773" t="str">
        <f>IFERROR(VLOOKUP(Orders!D773,Products!$A$2:$C$61,3,FALSE),"Unknown")</f>
        <v>Apparel</v>
      </c>
      <c r="F773" t="str">
        <f>IFERROR(VLOOKUP(Orders!C773,Customers!$A$2:$E$301,5,FALSE),"Unknown")</f>
        <v>SMB</v>
      </c>
      <c r="G773">
        <f>IFERROR(VLOOKUP(Orders!C773,Customers!$A$2:$C$301,3,FALSE),"")</f>
        <v>54</v>
      </c>
      <c r="H773" t="str">
        <f>VLOOKUP(D773,Sales_Reps!$A$2:$C$31,3,FALSE)</f>
        <v>East</v>
      </c>
      <c r="I773" s="44">
        <f t="shared" si="27"/>
        <v>45323</v>
      </c>
      <c r="L773" t="str">
        <f>Orders!K773</f>
        <v>Pune</v>
      </c>
      <c r="M773">
        <f>Orders!G773</f>
        <v>2510</v>
      </c>
      <c r="N773">
        <f>IFERROR(VLOOKUP(Orders!D773,Products!$A$2:$D$61,4,FALSE),"")</f>
        <v>1075</v>
      </c>
      <c r="O773">
        <f t="shared" si="28"/>
        <v>0.57171314741035861</v>
      </c>
      <c r="Q773" t="str">
        <f>Orders!D773</f>
        <v>PROD-017</v>
      </c>
    </row>
    <row r="774" spans="1:17" x14ac:dyDescent="0.3">
      <c r="A774" t="str">
        <f>Orders!A774</f>
        <v>ORD-00773</v>
      </c>
      <c r="B774">
        <f>Orders!B774</f>
        <v>45652</v>
      </c>
      <c r="C774">
        <f>Orders!I774</f>
        <v>2542.8000000000002</v>
      </c>
      <c r="D774" t="str">
        <f>Orders!E774</f>
        <v>R018</v>
      </c>
      <c r="E774" t="str">
        <f>IFERROR(VLOOKUP(Orders!D774,Products!$A$2:$C$61,3,FALSE),"Unknown")</f>
        <v>Electronics</v>
      </c>
      <c r="F774" t="str">
        <f>IFERROR(VLOOKUP(Orders!C774,Customers!$A$2:$E$301,5,FALSE),"Unknown")</f>
        <v>Retail</v>
      </c>
      <c r="G774">
        <f>IFERROR(VLOOKUP(Orders!C774,Customers!$A$2:$C$301,3,FALSE),"")</f>
        <v>49</v>
      </c>
      <c r="H774" t="str">
        <f>VLOOKUP(D774,Sales_Reps!$A$2:$C$31,3,FALSE)</f>
        <v>East</v>
      </c>
      <c r="I774" s="44">
        <f t="shared" si="27"/>
        <v>45627</v>
      </c>
      <c r="L774" t="str">
        <f>Orders!K774</f>
        <v>Chennai</v>
      </c>
      <c r="M774">
        <f>Orders!G774</f>
        <v>2600</v>
      </c>
      <c r="N774">
        <f>IFERROR(VLOOKUP(Orders!D774,Products!$A$2:$D$61,4,FALSE),"")</f>
        <v>1052</v>
      </c>
      <c r="O774">
        <f t="shared" si="28"/>
        <v>0.5953846153846154</v>
      </c>
      <c r="Q774" t="str">
        <f>Orders!D774</f>
        <v>PROD-002</v>
      </c>
    </row>
    <row r="775" spans="1:17" x14ac:dyDescent="0.3">
      <c r="A775" t="str">
        <f>Orders!A775</f>
        <v>ORD-00774</v>
      </c>
      <c r="B775">
        <f>Orders!B775</f>
        <v>45467</v>
      </c>
      <c r="C775">
        <f>Orders!I775</f>
        <v>2812.48</v>
      </c>
      <c r="D775" t="str">
        <f>Orders!E775</f>
        <v>R003</v>
      </c>
      <c r="E775" t="str">
        <f>IFERROR(VLOOKUP(Orders!D775,Products!$A$2:$C$61,3,FALSE),"Unknown")</f>
        <v>Sports</v>
      </c>
      <c r="F775" t="str">
        <f>IFERROR(VLOOKUP(Orders!C775,Customers!$A$2:$E$301,5,FALSE),"Unknown")</f>
        <v>Retail</v>
      </c>
      <c r="G775">
        <f>IFERROR(VLOOKUP(Orders!C775,Customers!$A$2:$C$301,3,FALSE),"")</f>
        <v>55</v>
      </c>
      <c r="H775" t="str">
        <f>VLOOKUP(D775,Sales_Reps!$A$2:$C$31,3,FALSE)</f>
        <v>North</v>
      </c>
      <c r="I775" s="44">
        <f t="shared" si="27"/>
        <v>45444</v>
      </c>
      <c r="L775" t="str">
        <f>Orders!K775</f>
        <v>Bengaluru</v>
      </c>
      <c r="M775">
        <f>Orders!G775</f>
        <v>470</v>
      </c>
      <c r="N775">
        <f>IFERROR(VLOOKUP(Orders!D775,Products!$A$2:$D$61,4,FALSE),"")</f>
        <v>302</v>
      </c>
      <c r="O775">
        <f t="shared" si="28"/>
        <v>0.35744680851063831</v>
      </c>
      <c r="Q775" t="str">
        <f>Orders!D775</f>
        <v>PROD-053</v>
      </c>
    </row>
    <row r="776" spans="1:17" x14ac:dyDescent="0.3">
      <c r="A776" t="str">
        <f>Orders!A776</f>
        <v>ORD-00775</v>
      </c>
      <c r="B776">
        <f>Orders!B776</f>
        <v>45558</v>
      </c>
      <c r="C776">
        <f>Orders!I776</f>
        <v>4860</v>
      </c>
      <c r="D776" t="str">
        <f>Orders!E776</f>
        <v>R012</v>
      </c>
      <c r="E776" t="str">
        <f>IFERROR(VLOOKUP(Orders!D776,Products!$A$2:$C$61,3,FALSE),"Unknown")</f>
        <v>Home</v>
      </c>
      <c r="F776" t="str">
        <f>IFERROR(VLOOKUP(Orders!C776,Customers!$A$2:$E$301,5,FALSE),"Unknown")</f>
        <v>Corporate</v>
      </c>
      <c r="G776">
        <f>IFERROR(VLOOKUP(Orders!C776,Customers!$A$2:$C$301,3,FALSE),"")</f>
        <v>47</v>
      </c>
      <c r="H776" t="str">
        <f>VLOOKUP(D776,Sales_Reps!$A$2:$C$31,3,FALSE)</f>
        <v>South</v>
      </c>
      <c r="I776" s="44">
        <f t="shared" si="27"/>
        <v>45536</v>
      </c>
      <c r="L776" t="str">
        <f>Orders!K776</f>
        <v>Pune</v>
      </c>
      <c r="M776">
        <f>Orders!G776</f>
        <v>1080</v>
      </c>
      <c r="N776">
        <f>IFERROR(VLOOKUP(Orders!D776,Products!$A$2:$D$61,4,FALSE),"")</f>
        <v>519</v>
      </c>
      <c r="O776">
        <f t="shared" si="28"/>
        <v>0.51944444444444449</v>
      </c>
      <c r="Q776" t="str">
        <f>Orders!D776</f>
        <v>PROD-040</v>
      </c>
    </row>
    <row r="777" spans="1:17" x14ac:dyDescent="0.3">
      <c r="A777" t="str">
        <f>Orders!A777</f>
        <v>ORD-00776</v>
      </c>
      <c r="B777">
        <f>Orders!B777</f>
        <v>45645</v>
      </c>
      <c r="C777">
        <f>Orders!I777</f>
        <v>1694.78</v>
      </c>
      <c r="D777" t="str">
        <f>Orders!E777</f>
        <v>R019</v>
      </c>
      <c r="E777" t="str">
        <f>IFERROR(VLOOKUP(Orders!D777,Products!$A$2:$C$61,3,FALSE),"Unknown")</f>
        <v>Sports</v>
      </c>
      <c r="F777" t="str">
        <f>IFERROR(VLOOKUP(Orders!C777,Customers!$A$2:$E$301,5,FALSE),"Unknown")</f>
        <v>SMB</v>
      </c>
      <c r="G777">
        <f>IFERROR(VLOOKUP(Orders!C777,Customers!$A$2:$C$301,3,FALSE),"")</f>
        <v>44</v>
      </c>
      <c r="H777" t="str">
        <f>VLOOKUP(D777,Sales_Reps!$A$2:$C$31,3,FALSE)</f>
        <v>East</v>
      </c>
      <c r="I777" s="44">
        <f t="shared" si="27"/>
        <v>45627</v>
      </c>
      <c r="L777" t="str">
        <f>Orders!K777</f>
        <v>Pune</v>
      </c>
      <c r="M777">
        <f>Orders!G777</f>
        <v>1010</v>
      </c>
      <c r="N777">
        <f>IFERROR(VLOOKUP(Orders!D777,Products!$A$2:$D$61,4,FALSE),"")</f>
        <v>516</v>
      </c>
      <c r="O777">
        <f t="shared" si="28"/>
        <v>0.4891089108910891</v>
      </c>
      <c r="Q777" t="str">
        <f>Orders!D777</f>
        <v>PROD-054</v>
      </c>
    </row>
    <row r="778" spans="1:17" x14ac:dyDescent="0.3">
      <c r="A778" t="str">
        <f>Orders!A778</f>
        <v>ORD-00777</v>
      </c>
      <c r="B778">
        <f>Orders!B778</f>
        <v>45418</v>
      </c>
      <c r="C778">
        <f>Orders!I778</f>
        <v>18018.72</v>
      </c>
      <c r="D778" t="str">
        <f>Orders!E778</f>
        <v>R002</v>
      </c>
      <c r="E778" t="str">
        <f>IFERROR(VLOOKUP(Orders!D778,Products!$A$2:$C$61,3,FALSE),"Unknown")</f>
        <v>Electronics</v>
      </c>
      <c r="F778" t="str">
        <f>IFERROR(VLOOKUP(Orders!C778,Customers!$A$2:$E$301,5,FALSE),"Unknown")</f>
        <v>SMB</v>
      </c>
      <c r="G778">
        <f>IFERROR(VLOOKUP(Orders!C778,Customers!$A$2:$C$301,3,FALSE),"")</f>
        <v>26</v>
      </c>
      <c r="H778" t="str">
        <f>VLOOKUP(D778,Sales_Reps!$A$2:$C$31,3,FALSE)</f>
        <v>North</v>
      </c>
      <c r="I778" s="44">
        <f t="shared" si="27"/>
        <v>45413</v>
      </c>
      <c r="L778" t="str">
        <f>Orders!K778</f>
        <v>Delhi</v>
      </c>
      <c r="M778">
        <f>Orders!G778</f>
        <v>3870</v>
      </c>
      <c r="N778">
        <f>IFERROR(VLOOKUP(Orders!D778,Products!$A$2:$D$61,4,FALSE),"")</f>
        <v>1559</v>
      </c>
      <c r="O778">
        <f t="shared" si="28"/>
        <v>0.59715762273901807</v>
      </c>
      <c r="Q778" t="str">
        <f>Orders!D778</f>
        <v>PROD-004</v>
      </c>
    </row>
    <row r="779" spans="1:17" x14ac:dyDescent="0.3">
      <c r="A779" t="str">
        <f>Orders!A779</f>
        <v>ORD-00778</v>
      </c>
      <c r="B779">
        <f>Orders!B779</f>
        <v>45655</v>
      </c>
      <c r="C779">
        <f>Orders!I779</f>
        <v>4963.3500000000004</v>
      </c>
      <c r="D779" t="str">
        <f>Orders!E779</f>
        <v>R027</v>
      </c>
      <c r="E779" t="str">
        <f>IFERROR(VLOOKUP(Orders!D779,Products!$A$2:$C$61,3,FALSE),"Unknown")</f>
        <v>Home</v>
      </c>
      <c r="F779" t="str">
        <f>IFERROR(VLOOKUP(Orders!C779,Customers!$A$2:$E$301,5,FALSE),"Unknown")</f>
        <v>Retail</v>
      </c>
      <c r="G779">
        <f>IFERROR(VLOOKUP(Orders!C779,Customers!$A$2:$C$301,3,FALSE),"")</f>
        <v>44</v>
      </c>
      <c r="H779" t="str">
        <f>VLOOKUP(D779,Sales_Reps!$A$2:$C$31,3,FALSE)</f>
        <v>West</v>
      </c>
      <c r="I779" s="44">
        <f t="shared" si="27"/>
        <v>45627</v>
      </c>
      <c r="L779" t="str">
        <f>Orders!K779</f>
        <v>Mumbai</v>
      </c>
      <c r="M779">
        <f>Orders!G779</f>
        <v>2030</v>
      </c>
      <c r="N779">
        <f>IFERROR(VLOOKUP(Orders!D779,Products!$A$2:$D$61,4,FALSE),"")</f>
        <v>1143</v>
      </c>
      <c r="O779">
        <f t="shared" si="28"/>
        <v>0.43694581280788175</v>
      </c>
      <c r="Q779" t="str">
        <f>Orders!D779</f>
        <v>PROD-033</v>
      </c>
    </row>
    <row r="780" spans="1:17" x14ac:dyDescent="0.3">
      <c r="A780" t="str">
        <f>Orders!A780</f>
        <v>ORD-00779</v>
      </c>
      <c r="B780">
        <f>Orders!B780</f>
        <v>45540</v>
      </c>
      <c r="C780">
        <f>Orders!I780</f>
        <v>7045.92</v>
      </c>
      <c r="D780" t="str">
        <f>Orders!E780</f>
        <v>R027</v>
      </c>
      <c r="E780" t="str">
        <f>IFERROR(VLOOKUP(Orders!D780,Products!$A$2:$C$61,3,FALSE),"Unknown")</f>
        <v>Home</v>
      </c>
      <c r="F780" t="str">
        <f>IFERROR(VLOOKUP(Orders!C780,Customers!$A$2:$E$301,5,FALSE),"Unknown")</f>
        <v>Retail</v>
      </c>
      <c r="G780">
        <f>IFERROR(VLOOKUP(Orders!C780,Customers!$A$2:$C$301,3,FALSE),"")</f>
        <v>44</v>
      </c>
      <c r="H780" t="str">
        <f>VLOOKUP(D780,Sales_Reps!$A$2:$C$31,3,FALSE)</f>
        <v>West</v>
      </c>
      <c r="I780" s="44">
        <f t="shared" si="27"/>
        <v>45536</v>
      </c>
      <c r="L780" t="str">
        <f>Orders!K780</f>
        <v>Pune</v>
      </c>
      <c r="M780">
        <f>Orders!G780</f>
        <v>1080</v>
      </c>
      <c r="N780">
        <f>IFERROR(VLOOKUP(Orders!D780,Products!$A$2:$D$61,4,FALSE),"")</f>
        <v>519</v>
      </c>
      <c r="O780">
        <f t="shared" si="28"/>
        <v>0.51944444444444449</v>
      </c>
      <c r="Q780" t="str">
        <f>Orders!D780</f>
        <v>PROD-040</v>
      </c>
    </row>
    <row r="781" spans="1:17" x14ac:dyDescent="0.3">
      <c r="A781" t="str">
        <f>Orders!A781</f>
        <v>ORD-00780</v>
      </c>
      <c r="B781">
        <f>Orders!B781</f>
        <v>45609</v>
      </c>
      <c r="C781">
        <f>Orders!I781</f>
        <v>865.46</v>
      </c>
      <c r="D781" t="str">
        <f>Orders!E781</f>
        <v>R009</v>
      </c>
      <c r="E781" t="str">
        <f>IFERROR(VLOOKUP(Orders!D781,Products!$A$2:$C$61,3,FALSE),"Unknown")</f>
        <v>Home</v>
      </c>
      <c r="F781" t="str">
        <f>IFERROR(VLOOKUP(Orders!C781,Customers!$A$2:$E$301,5,FALSE),"Unknown")</f>
        <v>Corporate</v>
      </c>
      <c r="G781">
        <f>IFERROR(VLOOKUP(Orders!C781,Customers!$A$2:$C$301,3,FALSE),"")</f>
        <v>51</v>
      </c>
      <c r="H781" t="str">
        <f>VLOOKUP(D781,Sales_Reps!$A$2:$C$31,3,FALSE)</f>
        <v>South</v>
      </c>
      <c r="I781" s="44">
        <f t="shared" si="27"/>
        <v>45597</v>
      </c>
      <c r="L781" t="str">
        <f>Orders!K781</f>
        <v>Chennai</v>
      </c>
      <c r="M781">
        <f>Orders!G781</f>
        <v>1090</v>
      </c>
      <c r="N781">
        <f>IFERROR(VLOOKUP(Orders!D781,Products!$A$2:$D$61,4,FALSE),"")</f>
        <v>464</v>
      </c>
      <c r="O781">
        <f t="shared" si="28"/>
        <v>0.57431192660550456</v>
      </c>
      <c r="Q781" t="str">
        <f>Orders!D781</f>
        <v>PROD-035</v>
      </c>
    </row>
    <row r="782" spans="1:17" x14ac:dyDescent="0.3">
      <c r="A782" t="str">
        <f>Orders!A782</f>
        <v>ORD-00781</v>
      </c>
      <c r="B782">
        <f>Orders!B782</f>
        <v>45528</v>
      </c>
      <c r="C782">
        <f>Orders!I782</f>
        <v>2909.68</v>
      </c>
      <c r="D782" t="str">
        <f>Orders!E782</f>
        <v>R011</v>
      </c>
      <c r="E782" t="str">
        <f>IFERROR(VLOOKUP(Orders!D782,Products!$A$2:$C$61,3,FALSE),"Unknown")</f>
        <v>Home</v>
      </c>
      <c r="F782" t="str">
        <f>IFERROR(VLOOKUP(Orders!C782,Customers!$A$2:$E$301,5,FALSE),"Unknown")</f>
        <v>Retail</v>
      </c>
      <c r="G782">
        <f>IFERROR(VLOOKUP(Orders!C782,Customers!$A$2:$C$301,3,FALSE),"")</f>
        <v>28</v>
      </c>
      <c r="H782" t="str">
        <f>VLOOKUP(D782,Sales_Reps!$A$2:$C$31,3,FALSE)</f>
        <v>South</v>
      </c>
      <c r="I782" s="44">
        <f t="shared" si="27"/>
        <v>45505</v>
      </c>
      <c r="L782" t="str">
        <f>Orders!K782</f>
        <v>Chennai</v>
      </c>
      <c r="M782">
        <f>Orders!G782</f>
        <v>370</v>
      </c>
      <c r="N782">
        <f>IFERROR(VLOOKUP(Orders!D782,Products!$A$2:$D$61,4,FALSE),"")</f>
        <v>288</v>
      </c>
      <c r="O782">
        <f t="shared" si="28"/>
        <v>0.22162162162162163</v>
      </c>
      <c r="Q782" t="str">
        <f>Orders!D782</f>
        <v>PROD-032</v>
      </c>
    </row>
    <row r="783" spans="1:17" x14ac:dyDescent="0.3">
      <c r="A783" t="str">
        <f>Orders!A783</f>
        <v>ORD-00782</v>
      </c>
      <c r="B783">
        <f>Orders!B783</f>
        <v>45625</v>
      </c>
      <c r="C783">
        <f>Orders!I783</f>
        <v>17767.96</v>
      </c>
      <c r="D783" t="str">
        <f>Orders!E783</f>
        <v>R018</v>
      </c>
      <c r="E783" t="str">
        <f>IFERROR(VLOOKUP(Orders!D783,Products!$A$2:$C$61,3,FALSE),"Unknown")</f>
        <v>Apparel</v>
      </c>
      <c r="F783" t="str">
        <f>IFERROR(VLOOKUP(Orders!C783,Customers!$A$2:$E$301,5,FALSE),"Unknown")</f>
        <v>Retail</v>
      </c>
      <c r="G783">
        <f>IFERROR(VLOOKUP(Orders!C783,Customers!$A$2:$C$301,3,FALSE),"")</f>
        <v>54</v>
      </c>
      <c r="H783" t="str">
        <f>VLOOKUP(D783,Sales_Reps!$A$2:$C$31,3,FALSE)</f>
        <v>East</v>
      </c>
      <c r="I783" s="44">
        <f t="shared" si="27"/>
        <v>45597</v>
      </c>
      <c r="L783" t="str">
        <f>Orders!K783</f>
        <v>Mumbai</v>
      </c>
      <c r="M783">
        <f>Orders!G783</f>
        <v>3560</v>
      </c>
      <c r="N783">
        <f>IFERROR(VLOOKUP(Orders!D783,Products!$A$2:$D$61,4,FALSE),"")</f>
        <v>2629</v>
      </c>
      <c r="O783">
        <f t="shared" si="28"/>
        <v>0.26151685393258428</v>
      </c>
      <c r="Q783" t="str">
        <f>Orders!D783</f>
        <v>PROD-018</v>
      </c>
    </row>
    <row r="784" spans="1:17" x14ac:dyDescent="0.3">
      <c r="A784" t="str">
        <f>Orders!A784</f>
        <v>ORD-00783</v>
      </c>
      <c r="B784">
        <f>Orders!B784</f>
        <v>45444</v>
      </c>
      <c r="C784">
        <f>Orders!I784</f>
        <v>45800.639999999999</v>
      </c>
      <c r="D784" t="str">
        <f>Orders!E784</f>
        <v>R016</v>
      </c>
      <c r="E784" t="str">
        <f>IFERROR(VLOOKUP(Orders!D784,Products!$A$2:$C$61,3,FALSE),"Unknown")</f>
        <v>Beauty</v>
      </c>
      <c r="F784" t="str">
        <f>IFERROR(VLOOKUP(Orders!C784,Customers!$A$2:$E$301,5,FALSE),"Unknown")</f>
        <v>Retail</v>
      </c>
      <c r="G784">
        <f>IFERROR(VLOOKUP(Orders!C784,Customers!$A$2:$C$301,3,FALSE),"")</f>
        <v>62</v>
      </c>
      <c r="H784" t="str">
        <f>VLOOKUP(D784,Sales_Reps!$A$2:$C$31,3,FALSE)</f>
        <v>South</v>
      </c>
      <c r="I784" s="44">
        <f t="shared" si="27"/>
        <v>45444</v>
      </c>
      <c r="L784" t="str">
        <f>Orders!K784</f>
        <v>Pune</v>
      </c>
      <c r="M784">
        <f>Orders!G784</f>
        <v>6080</v>
      </c>
      <c r="N784">
        <f>IFERROR(VLOOKUP(Orders!D784,Products!$A$2:$D$61,4,FALSE),"")</f>
        <v>2617</v>
      </c>
      <c r="O784">
        <f t="shared" si="28"/>
        <v>0.56957236842105263</v>
      </c>
      <c r="Q784" t="str">
        <f>Orders!D784</f>
        <v>PROD-050</v>
      </c>
    </row>
    <row r="785" spans="1:17" x14ac:dyDescent="0.3">
      <c r="A785" t="str">
        <f>Orders!A785</f>
        <v>ORD-00784</v>
      </c>
      <c r="B785">
        <f>Orders!B785</f>
        <v>45505</v>
      </c>
      <c r="C785">
        <f>Orders!I785</f>
        <v>5685.6</v>
      </c>
      <c r="D785" t="str">
        <f>Orders!E785</f>
        <v>R015</v>
      </c>
      <c r="E785" t="str">
        <f>IFERROR(VLOOKUP(Orders!D785,Products!$A$2:$C$61,3,FALSE),"Unknown")</f>
        <v>Sports</v>
      </c>
      <c r="F785" t="str">
        <f>IFERROR(VLOOKUP(Orders!C785,Customers!$A$2:$E$301,5,FALSE),"Unknown")</f>
        <v>Corporate</v>
      </c>
      <c r="G785">
        <f>IFERROR(VLOOKUP(Orders!C785,Customers!$A$2:$C$301,3,FALSE),"")</f>
        <v>32</v>
      </c>
      <c r="H785" t="str">
        <f>VLOOKUP(D785,Sales_Reps!$A$2:$C$31,3,FALSE)</f>
        <v>South</v>
      </c>
      <c r="I785" s="44">
        <f t="shared" si="27"/>
        <v>45505</v>
      </c>
      <c r="L785" t="str">
        <f>Orders!K785</f>
        <v>Hyderabad</v>
      </c>
      <c r="M785">
        <f>Orders!G785</f>
        <v>3450</v>
      </c>
      <c r="N785">
        <f>IFERROR(VLOOKUP(Orders!D785,Products!$A$2:$D$61,4,FALSE),"")</f>
        <v>2467</v>
      </c>
      <c r="O785">
        <f t="shared" si="28"/>
        <v>0.28492753623188405</v>
      </c>
      <c r="Q785" t="str">
        <f>Orders!D785</f>
        <v>PROD-051</v>
      </c>
    </row>
    <row r="786" spans="1:17" x14ac:dyDescent="0.3">
      <c r="A786" t="str">
        <f>Orders!A786</f>
        <v>ORD-00785</v>
      </c>
      <c r="B786">
        <f>Orders!B786</f>
        <v>45401</v>
      </c>
      <c r="C786">
        <f>Orders!I786</f>
        <v>4780.28</v>
      </c>
      <c r="D786" t="str">
        <f>Orders!E786</f>
        <v>R009</v>
      </c>
      <c r="E786" t="str">
        <f>IFERROR(VLOOKUP(Orders!D786,Products!$A$2:$C$61,3,FALSE),"Unknown")</f>
        <v>Home</v>
      </c>
      <c r="F786" t="str">
        <f>IFERROR(VLOOKUP(Orders!C786,Customers!$A$2:$E$301,5,FALSE),"Unknown")</f>
        <v>Retail</v>
      </c>
      <c r="G786">
        <f>IFERROR(VLOOKUP(Orders!C786,Customers!$A$2:$C$301,3,FALSE),"")</f>
        <v>51</v>
      </c>
      <c r="H786" t="str">
        <f>VLOOKUP(D786,Sales_Reps!$A$2:$C$31,3,FALSE)</f>
        <v>South</v>
      </c>
      <c r="I786" s="44">
        <f t="shared" si="27"/>
        <v>45383</v>
      </c>
      <c r="L786" t="str">
        <f>Orders!K786</f>
        <v>Chennai</v>
      </c>
      <c r="M786">
        <f>Orders!G786</f>
        <v>5080</v>
      </c>
      <c r="N786">
        <f>IFERROR(VLOOKUP(Orders!D786,Products!$A$2:$D$61,4,FALSE),"")</f>
        <v>2459</v>
      </c>
      <c r="O786">
        <f t="shared" si="28"/>
        <v>0.51594488188976373</v>
      </c>
      <c r="Q786" t="str">
        <f>Orders!D786</f>
        <v>PROD-034</v>
      </c>
    </row>
    <row r="787" spans="1:17" x14ac:dyDescent="0.3">
      <c r="A787" t="str">
        <f>Orders!A787</f>
        <v>ORD-00786</v>
      </c>
      <c r="B787">
        <f>Orders!B787</f>
        <v>45364</v>
      </c>
      <c r="C787">
        <f>Orders!I787</f>
        <v>19947.900000000001</v>
      </c>
      <c r="D787" t="str">
        <f>Orders!E787</f>
        <v>R023</v>
      </c>
      <c r="E787" t="str">
        <f>IFERROR(VLOOKUP(Orders!D787,Products!$A$2:$C$61,3,FALSE),"Unknown")</f>
        <v>Apparel</v>
      </c>
      <c r="F787" t="str">
        <f>IFERROR(VLOOKUP(Orders!C787,Customers!$A$2:$E$301,5,FALSE),"Unknown")</f>
        <v>SMB</v>
      </c>
      <c r="G787">
        <f>IFERROR(VLOOKUP(Orders!C787,Customers!$A$2:$C$301,3,FALSE),"")</f>
        <v>28</v>
      </c>
      <c r="H787" t="str">
        <f>VLOOKUP(D787,Sales_Reps!$A$2:$C$31,3,FALSE)</f>
        <v>East</v>
      </c>
      <c r="I787" s="44">
        <f t="shared" si="27"/>
        <v>45352</v>
      </c>
      <c r="L787" t="str">
        <f>Orders!K787</f>
        <v>Hyderabad</v>
      </c>
      <c r="M787">
        <f>Orders!G787</f>
        <v>3450</v>
      </c>
      <c r="N787">
        <f>IFERROR(VLOOKUP(Orders!D787,Products!$A$2:$D$61,4,FALSE),"")</f>
        <v>1748</v>
      </c>
      <c r="O787">
        <f t="shared" si="28"/>
        <v>0.49333333333333335</v>
      </c>
      <c r="Q787" t="str">
        <f>Orders!D787</f>
        <v>PROD-011</v>
      </c>
    </row>
    <row r="788" spans="1:17" x14ac:dyDescent="0.3">
      <c r="A788" t="str">
        <f>Orders!A788</f>
        <v>ORD-00787</v>
      </c>
      <c r="B788">
        <f>Orders!B788</f>
        <v>45403</v>
      </c>
      <c r="C788">
        <f>Orders!I788</f>
        <v>13674.48</v>
      </c>
      <c r="D788" t="str">
        <f>Orders!E788</f>
        <v>R009</v>
      </c>
      <c r="E788" t="str">
        <f>IFERROR(VLOOKUP(Orders!D788,Products!$A$2:$C$61,3,FALSE),"Unknown")</f>
        <v>Grocery</v>
      </c>
      <c r="F788" t="str">
        <f>IFERROR(VLOOKUP(Orders!C788,Customers!$A$2:$E$301,5,FALSE),"Unknown")</f>
        <v>Retail</v>
      </c>
      <c r="G788">
        <f>IFERROR(VLOOKUP(Orders!C788,Customers!$A$2:$C$301,3,FALSE),"")</f>
        <v>39</v>
      </c>
      <c r="H788" t="str">
        <f>VLOOKUP(D788,Sales_Reps!$A$2:$C$31,3,FALSE)</f>
        <v>South</v>
      </c>
      <c r="I788" s="44">
        <f t="shared" si="27"/>
        <v>45383</v>
      </c>
      <c r="L788" t="str">
        <f>Orders!K788</f>
        <v>Pune</v>
      </c>
      <c r="M788">
        <f>Orders!G788</f>
        <v>2270</v>
      </c>
      <c r="N788">
        <f>IFERROR(VLOOKUP(Orders!D788,Products!$A$2:$D$61,4,FALSE),"")</f>
        <v>1203</v>
      </c>
      <c r="O788">
        <f t="shared" si="28"/>
        <v>0.47004405286343615</v>
      </c>
      <c r="Q788" t="str">
        <f>Orders!D788</f>
        <v>PROD-024</v>
      </c>
    </row>
    <row r="789" spans="1:17" x14ac:dyDescent="0.3">
      <c r="A789" t="str">
        <f>Orders!A789</f>
        <v>ORD-00788</v>
      </c>
      <c r="B789">
        <f>Orders!B789</f>
        <v>45599</v>
      </c>
      <c r="C789">
        <f>Orders!I789</f>
        <v>9337.7999999999993</v>
      </c>
      <c r="D789" t="str">
        <f>Orders!E789</f>
        <v>R023</v>
      </c>
      <c r="E789" t="str">
        <f>IFERROR(VLOOKUP(Orders!D789,Products!$A$2:$C$61,3,FALSE),"Unknown")</f>
        <v>Apparel</v>
      </c>
      <c r="F789" t="str">
        <f>IFERROR(VLOOKUP(Orders!C789,Customers!$A$2:$E$301,5,FALSE),"Unknown")</f>
        <v>SMB</v>
      </c>
      <c r="G789">
        <f>IFERROR(VLOOKUP(Orders!C789,Customers!$A$2:$C$301,3,FALSE),"")</f>
        <v>44</v>
      </c>
      <c r="H789" t="str">
        <f>VLOOKUP(D789,Sales_Reps!$A$2:$C$31,3,FALSE)</f>
        <v>East</v>
      </c>
      <c r="I789" s="44">
        <f t="shared" si="27"/>
        <v>45597</v>
      </c>
      <c r="L789" t="str">
        <f>Orders!K789</f>
        <v>Pune</v>
      </c>
      <c r="M789">
        <f>Orders!G789</f>
        <v>3160</v>
      </c>
      <c r="N789">
        <f>IFERROR(VLOOKUP(Orders!D789,Products!$A$2:$D$61,4,FALSE),"")</f>
        <v>1886</v>
      </c>
      <c r="O789">
        <f t="shared" si="28"/>
        <v>0.4031645569620253</v>
      </c>
      <c r="Q789" t="str">
        <f>Orders!D789</f>
        <v>PROD-012</v>
      </c>
    </row>
    <row r="790" spans="1:17" x14ac:dyDescent="0.3">
      <c r="A790" t="str">
        <f>Orders!A790</f>
        <v>ORD-00789</v>
      </c>
      <c r="B790">
        <f>Orders!B790</f>
        <v>45389</v>
      </c>
      <c r="C790">
        <f>Orders!I790</f>
        <v>19919.099999999999</v>
      </c>
      <c r="D790" t="str">
        <f>Orders!E790</f>
        <v>R029</v>
      </c>
      <c r="E790" t="str">
        <f>IFERROR(VLOOKUP(Orders!D790,Products!$A$2:$C$61,3,FALSE),"Unknown")</f>
        <v>Beauty</v>
      </c>
      <c r="F790" t="str">
        <f>IFERROR(VLOOKUP(Orders!C790,Customers!$A$2:$E$301,5,FALSE),"Unknown")</f>
        <v>Retail</v>
      </c>
      <c r="G790">
        <f>IFERROR(VLOOKUP(Orders!C790,Customers!$A$2:$C$301,3,FALSE),"")</f>
        <v>54</v>
      </c>
      <c r="H790" t="str">
        <f>VLOOKUP(D790,Sales_Reps!$A$2:$C$31,3,FALSE)</f>
        <v>West</v>
      </c>
      <c r="I790" s="44">
        <f t="shared" si="27"/>
        <v>45383</v>
      </c>
      <c r="L790" t="str">
        <f>Orders!K790</f>
        <v>Bengaluru</v>
      </c>
      <c r="M790">
        <f>Orders!G790</f>
        <v>3350</v>
      </c>
      <c r="N790">
        <f>IFERROR(VLOOKUP(Orders!D790,Products!$A$2:$D$61,4,FALSE),"")</f>
        <v>1728</v>
      </c>
      <c r="O790">
        <f t="shared" si="28"/>
        <v>0.48417910447761192</v>
      </c>
      <c r="Q790" t="str">
        <f>Orders!D790</f>
        <v>PROD-043</v>
      </c>
    </row>
    <row r="791" spans="1:17" x14ac:dyDescent="0.3">
      <c r="A791" t="str">
        <f>Orders!A791</f>
        <v>ORD-00790</v>
      </c>
      <c r="B791">
        <f>Orders!B791</f>
        <v>45506</v>
      </c>
      <c r="C791">
        <f>Orders!I791</f>
        <v>10903.2</v>
      </c>
      <c r="D791" t="str">
        <f>Orders!E791</f>
        <v>R029</v>
      </c>
      <c r="E791" t="str">
        <f>IFERROR(VLOOKUP(Orders!D791,Products!$A$2:$C$61,3,FALSE),"Unknown")</f>
        <v>Beauty</v>
      </c>
      <c r="F791" t="str">
        <f>IFERROR(VLOOKUP(Orders!C791,Customers!$A$2:$E$301,5,FALSE),"Unknown")</f>
        <v>Retail</v>
      </c>
      <c r="G791">
        <f>IFERROR(VLOOKUP(Orders!C791,Customers!$A$2:$C$301,3,FALSE),"")</f>
        <v>54</v>
      </c>
      <c r="H791" t="str">
        <f>VLOOKUP(D791,Sales_Reps!$A$2:$C$31,3,FALSE)</f>
        <v>West</v>
      </c>
      <c r="I791" s="44">
        <f t="shared" si="27"/>
        <v>45505</v>
      </c>
      <c r="L791" t="str">
        <f>Orders!K791</f>
        <v>Pune</v>
      </c>
      <c r="M791">
        <f>Orders!G791</f>
        <v>1650</v>
      </c>
      <c r="N791">
        <f>IFERROR(VLOOKUP(Orders!D791,Products!$A$2:$D$61,4,FALSE),"")</f>
        <v>1222</v>
      </c>
      <c r="O791">
        <f t="shared" si="28"/>
        <v>0.2593939393939394</v>
      </c>
      <c r="Q791" t="str">
        <f>Orders!D791</f>
        <v>PROD-044</v>
      </c>
    </row>
    <row r="792" spans="1:17" x14ac:dyDescent="0.3">
      <c r="A792" t="str">
        <f>Orders!A792</f>
        <v>ORD-00791</v>
      </c>
      <c r="B792">
        <f>Orders!B792</f>
        <v>45402</v>
      </c>
      <c r="C792">
        <f>Orders!I792</f>
        <v>5171.58</v>
      </c>
      <c r="D792" t="str">
        <f>Orders!E792</f>
        <v>R003</v>
      </c>
      <c r="E792" t="str">
        <f>IFERROR(VLOOKUP(Orders!D792,Products!$A$2:$C$61,3,FALSE),"Unknown")</f>
        <v>Home</v>
      </c>
      <c r="F792" t="str">
        <f>IFERROR(VLOOKUP(Orders!C792,Customers!$A$2:$E$301,5,FALSE),"Unknown")</f>
        <v>SMB</v>
      </c>
      <c r="G792">
        <f>IFERROR(VLOOKUP(Orders!C792,Customers!$A$2:$C$301,3,FALSE),"")</f>
        <v>26</v>
      </c>
      <c r="H792" t="str">
        <f>VLOOKUP(D792,Sales_Reps!$A$2:$C$31,3,FALSE)</f>
        <v>North</v>
      </c>
      <c r="I792" s="44">
        <f t="shared" si="27"/>
        <v>45383</v>
      </c>
      <c r="L792" t="str">
        <f>Orders!K792</f>
        <v>Delhi</v>
      </c>
      <c r="M792">
        <f>Orders!G792</f>
        <v>5490</v>
      </c>
      <c r="N792">
        <f>IFERROR(VLOOKUP(Orders!D792,Products!$A$2:$D$61,4,FALSE),"")</f>
        <v>2549</v>
      </c>
      <c r="O792">
        <f t="shared" si="28"/>
        <v>0.53570127504553733</v>
      </c>
      <c r="Q792" t="str">
        <f>Orders!D792</f>
        <v>PROD-038</v>
      </c>
    </row>
    <row r="793" spans="1:17" x14ac:dyDescent="0.3">
      <c r="A793" t="str">
        <f>Orders!A793</f>
        <v>ORD-00792</v>
      </c>
      <c r="B793">
        <f>Orders!B793</f>
        <v>45405</v>
      </c>
      <c r="C793">
        <f>Orders!I793</f>
        <v>2562.84</v>
      </c>
      <c r="D793" t="str">
        <f>Orders!E793</f>
        <v>R024</v>
      </c>
      <c r="E793" t="str">
        <f>IFERROR(VLOOKUP(Orders!D793,Products!$A$2:$C$61,3,FALSE),"Unknown")</f>
        <v>Home</v>
      </c>
      <c r="F793" t="str">
        <f>IFERROR(VLOOKUP(Orders!C793,Customers!$A$2:$E$301,5,FALSE),"Unknown")</f>
        <v>Retail</v>
      </c>
      <c r="G793">
        <f>IFERROR(VLOOKUP(Orders!C793,Customers!$A$2:$C$301,3,FALSE),"")</f>
        <v>63</v>
      </c>
      <c r="H793" t="str">
        <f>VLOOKUP(D793,Sales_Reps!$A$2:$C$31,3,FALSE)</f>
        <v>West</v>
      </c>
      <c r="I793" s="44">
        <f t="shared" si="27"/>
        <v>45383</v>
      </c>
      <c r="L793" t="str">
        <f>Orders!K793</f>
        <v>Pune</v>
      </c>
      <c r="M793">
        <f>Orders!G793</f>
        <v>1080</v>
      </c>
      <c r="N793">
        <f>IFERROR(VLOOKUP(Orders!D793,Products!$A$2:$D$61,4,FALSE),"")</f>
        <v>519</v>
      </c>
      <c r="O793">
        <f t="shared" si="28"/>
        <v>0.51944444444444449</v>
      </c>
      <c r="Q793" t="str">
        <f>Orders!D793</f>
        <v>PROD-040</v>
      </c>
    </row>
    <row r="794" spans="1:17" x14ac:dyDescent="0.3">
      <c r="A794" t="str">
        <f>Orders!A794</f>
        <v>ORD-00793</v>
      </c>
      <c r="B794">
        <f>Orders!B794</f>
        <v>45434</v>
      </c>
      <c r="C794">
        <f>Orders!I794</f>
        <v>35721</v>
      </c>
      <c r="D794" t="str">
        <f>Orders!E794</f>
        <v>R018</v>
      </c>
      <c r="E794" t="str">
        <f>IFERROR(VLOOKUP(Orders!D794,Products!$A$2:$C$61,3,FALSE),"Unknown")</f>
        <v>Grocery</v>
      </c>
      <c r="F794" t="str">
        <f>IFERROR(VLOOKUP(Orders!C794,Customers!$A$2:$E$301,5,FALSE),"Unknown")</f>
        <v>Unknown</v>
      </c>
      <c r="G794" t="str">
        <f>IFERROR(VLOOKUP(Orders!C794,Customers!$A$2:$C$301,3,FALSE),"")</f>
        <v/>
      </c>
      <c r="H794" t="str">
        <f>VLOOKUP(D794,Sales_Reps!$A$2:$C$31,3,FALSE)</f>
        <v>East</v>
      </c>
      <c r="I794" s="44">
        <f t="shared" si="27"/>
        <v>45413</v>
      </c>
      <c r="L794" t="str">
        <f>Orders!K794</f>
        <v>Hyderabad</v>
      </c>
      <c r="M794">
        <f>Orders!G794</f>
        <v>3780</v>
      </c>
      <c r="N794">
        <f>IFERROR(VLOOKUP(Orders!D794,Products!$A$2:$D$61,4,FALSE),"")</f>
        <v>2436</v>
      </c>
      <c r="O794">
        <f t="shared" si="28"/>
        <v>0.35555555555555557</v>
      </c>
      <c r="Q794" t="str">
        <f>Orders!D794</f>
        <v>PROD-027</v>
      </c>
    </row>
    <row r="795" spans="1:17" x14ac:dyDescent="0.3">
      <c r="A795" t="str">
        <f>Orders!A795</f>
        <v>ORD-00794</v>
      </c>
      <c r="B795">
        <f>Orders!B795</f>
        <v>45558</v>
      </c>
      <c r="C795">
        <f>Orders!I795</f>
        <v>3978.8</v>
      </c>
      <c r="D795" t="str">
        <f>Orders!E795</f>
        <v>R030</v>
      </c>
      <c r="E795" t="str">
        <f>IFERROR(VLOOKUP(Orders!D795,Products!$A$2:$C$61,3,FALSE),"Unknown")</f>
        <v>Home</v>
      </c>
      <c r="F795" t="str">
        <f>IFERROR(VLOOKUP(Orders!C795,Customers!$A$2:$E$301,5,FALSE),"Unknown")</f>
        <v>Retail</v>
      </c>
      <c r="G795">
        <f>IFERROR(VLOOKUP(Orders!C795,Customers!$A$2:$C$301,3,FALSE),"")</f>
        <v>26</v>
      </c>
      <c r="H795" t="str">
        <f>VLOOKUP(D795,Sales_Reps!$A$2:$C$31,3,FALSE)</f>
        <v>West</v>
      </c>
      <c r="I795" s="44">
        <f t="shared" si="27"/>
        <v>45536</v>
      </c>
      <c r="L795" t="str">
        <f>Orders!K795</f>
        <v>Hyderabad</v>
      </c>
      <c r="M795">
        <f>Orders!G795</f>
        <v>2030</v>
      </c>
      <c r="N795">
        <f>IFERROR(VLOOKUP(Orders!D795,Products!$A$2:$D$61,4,FALSE),"")</f>
        <v>1143</v>
      </c>
      <c r="O795">
        <f t="shared" si="28"/>
        <v>0.43694581280788175</v>
      </c>
      <c r="Q795" t="str">
        <f>Orders!D795</f>
        <v>PROD-033</v>
      </c>
    </row>
    <row r="796" spans="1:17" x14ac:dyDescent="0.3">
      <c r="A796" t="str">
        <f>Orders!A796</f>
        <v>ORD-00795</v>
      </c>
      <c r="B796">
        <f>Orders!B796</f>
        <v>45582</v>
      </c>
      <c r="C796">
        <f>Orders!I796</f>
        <v>11211.2</v>
      </c>
      <c r="D796" t="str">
        <f>Orders!E796</f>
        <v>R019</v>
      </c>
      <c r="E796" t="str">
        <f>IFERROR(VLOOKUP(Orders!D796,Products!$A$2:$C$61,3,FALSE),"Unknown")</f>
        <v>Beauty</v>
      </c>
      <c r="F796" t="str">
        <f>IFERROR(VLOOKUP(Orders!C796,Customers!$A$2:$E$301,5,FALSE),"Unknown")</f>
        <v>Corporate</v>
      </c>
      <c r="G796">
        <f>IFERROR(VLOOKUP(Orders!C796,Customers!$A$2:$C$301,3,FALSE),"")</f>
        <v>41</v>
      </c>
      <c r="H796" t="str">
        <f>VLOOKUP(D796,Sales_Reps!$A$2:$C$31,3,FALSE)</f>
        <v>East</v>
      </c>
      <c r="I796" s="44">
        <f t="shared" si="27"/>
        <v>45566</v>
      </c>
      <c r="L796" t="str">
        <f>Orders!K796</f>
        <v>Bengaluru</v>
      </c>
      <c r="M796">
        <f>Orders!G796</f>
        <v>1540</v>
      </c>
      <c r="N796">
        <f>IFERROR(VLOOKUP(Orders!D796,Products!$A$2:$D$61,4,FALSE),"")</f>
        <v>647</v>
      </c>
      <c r="O796">
        <f t="shared" si="28"/>
        <v>0.57987012987012987</v>
      </c>
      <c r="Q796" t="str">
        <f>Orders!D796</f>
        <v>PROD-041</v>
      </c>
    </row>
    <row r="797" spans="1:17" x14ac:dyDescent="0.3">
      <c r="A797" t="str">
        <f>Orders!A797</f>
        <v>ORD-00796</v>
      </c>
      <c r="B797">
        <f>Orders!B797</f>
        <v>45601</v>
      </c>
      <c r="C797">
        <f>Orders!I797</f>
        <v>23253.75</v>
      </c>
      <c r="D797" t="str">
        <f>Orders!E797</f>
        <v>R015</v>
      </c>
      <c r="E797" t="str">
        <f>IFERROR(VLOOKUP(Orders!D797,Products!$A$2:$C$61,3,FALSE),"Unknown")</f>
        <v>Home</v>
      </c>
      <c r="F797" t="str">
        <f>IFERROR(VLOOKUP(Orders!C797,Customers!$A$2:$E$301,5,FALSE),"Unknown")</f>
        <v>Retail</v>
      </c>
      <c r="G797">
        <f>IFERROR(VLOOKUP(Orders!C797,Customers!$A$2:$C$301,3,FALSE),"")</f>
        <v>56</v>
      </c>
      <c r="H797" t="str">
        <f>VLOOKUP(D797,Sales_Reps!$A$2:$C$31,3,FALSE)</f>
        <v>South</v>
      </c>
      <c r="I797" s="44">
        <f t="shared" si="27"/>
        <v>45597</v>
      </c>
      <c r="L797" t="str">
        <f>Orders!K797</f>
        <v>Pune</v>
      </c>
      <c r="M797">
        <f>Orders!G797</f>
        <v>3250</v>
      </c>
      <c r="N797">
        <f>IFERROR(VLOOKUP(Orders!D797,Products!$A$2:$D$61,4,FALSE),"")</f>
        <v>1556</v>
      </c>
      <c r="O797">
        <f t="shared" si="28"/>
        <v>0.52123076923076928</v>
      </c>
      <c r="Q797" t="str">
        <f>Orders!D797</f>
        <v>PROD-036</v>
      </c>
    </row>
    <row r="798" spans="1:17" x14ac:dyDescent="0.3">
      <c r="A798" t="str">
        <f>Orders!A798</f>
        <v>ORD-00797</v>
      </c>
      <c r="B798">
        <f>Orders!B798</f>
        <v>45344</v>
      </c>
      <c r="C798">
        <f>Orders!I798</f>
        <v>8497.35</v>
      </c>
      <c r="D798" t="str">
        <f>Orders!E798</f>
        <v>R005</v>
      </c>
      <c r="E798" t="str">
        <f>IFERROR(VLOOKUP(Orders!D798,Products!$A$2:$C$61,3,FALSE),"Unknown")</f>
        <v>Beauty</v>
      </c>
      <c r="F798" t="str">
        <f>IFERROR(VLOOKUP(Orders!C798,Customers!$A$2:$E$301,5,FALSE),"Unknown")</f>
        <v>SMB</v>
      </c>
      <c r="G798">
        <f>IFERROR(VLOOKUP(Orders!C798,Customers!$A$2:$C$301,3,FALSE),"")</f>
        <v>53</v>
      </c>
      <c r="H798" t="str">
        <f>VLOOKUP(D798,Sales_Reps!$A$2:$C$31,3,FALSE)</f>
        <v>North</v>
      </c>
      <c r="I798" s="44">
        <f t="shared" si="27"/>
        <v>45323</v>
      </c>
      <c r="L798" t="str">
        <f>Orders!K798</f>
        <v>Delhi</v>
      </c>
      <c r="M798">
        <f>Orders!G798</f>
        <v>3450</v>
      </c>
      <c r="N798">
        <f>IFERROR(VLOOKUP(Orders!D798,Products!$A$2:$D$61,4,FALSE),"")</f>
        <v>2420</v>
      </c>
      <c r="O798">
        <f t="shared" si="28"/>
        <v>0.29855072463768118</v>
      </c>
      <c r="Q798" t="str">
        <f>Orders!D798</f>
        <v>PROD-047</v>
      </c>
    </row>
    <row r="799" spans="1:17" x14ac:dyDescent="0.3">
      <c r="A799" t="str">
        <f>Orders!A799</f>
        <v>ORD-00798</v>
      </c>
      <c r="B799">
        <f>Orders!B799</f>
        <v>45504</v>
      </c>
      <c r="C799">
        <f>Orders!I799</f>
        <v>25281.45</v>
      </c>
      <c r="D799" t="str">
        <f>Orders!E799</f>
        <v>R008</v>
      </c>
      <c r="E799" t="str">
        <f>IFERROR(VLOOKUP(Orders!D799,Products!$A$2:$C$61,3,FALSE),"Unknown")</f>
        <v>Home</v>
      </c>
      <c r="F799" t="str">
        <f>IFERROR(VLOOKUP(Orders!C799,Customers!$A$2:$E$301,5,FALSE),"Unknown")</f>
        <v>Corporate</v>
      </c>
      <c r="G799">
        <f>IFERROR(VLOOKUP(Orders!C799,Customers!$A$2:$C$301,3,FALSE),"")</f>
        <v>24</v>
      </c>
      <c r="H799" t="str">
        <f>VLOOKUP(D799,Sales_Reps!$A$2:$C$31,3,FALSE)</f>
        <v>North</v>
      </c>
      <c r="I799" s="44">
        <f t="shared" si="27"/>
        <v>45474</v>
      </c>
      <c r="L799" t="str">
        <f>Orders!K799</f>
        <v>Chennai</v>
      </c>
      <c r="M799">
        <f>Orders!G799</f>
        <v>5490</v>
      </c>
      <c r="N799">
        <f>IFERROR(VLOOKUP(Orders!D799,Products!$A$2:$D$61,4,FALSE),"")</f>
        <v>2549</v>
      </c>
      <c r="O799">
        <f t="shared" si="28"/>
        <v>0.53570127504553733</v>
      </c>
      <c r="Q799" t="str">
        <f>Orders!D799</f>
        <v>PROD-038</v>
      </c>
    </row>
    <row r="800" spans="1:17" x14ac:dyDescent="0.3">
      <c r="A800" t="str">
        <f>Orders!A800</f>
        <v>ORD-00799</v>
      </c>
      <c r="B800">
        <f>Orders!B800</f>
        <v>45306</v>
      </c>
      <c r="C800">
        <f>Orders!I800</f>
        <v>961.26</v>
      </c>
      <c r="D800" t="str">
        <f>Orders!E800</f>
        <v>R029</v>
      </c>
      <c r="E800" t="str">
        <f>IFERROR(VLOOKUP(Orders!D800,Products!$A$2:$C$61,3,FALSE),"Unknown")</f>
        <v>Home</v>
      </c>
      <c r="F800" t="str">
        <f>IFERROR(VLOOKUP(Orders!C800,Customers!$A$2:$E$301,5,FALSE),"Unknown")</f>
        <v>Retail</v>
      </c>
      <c r="G800">
        <f>IFERROR(VLOOKUP(Orders!C800,Customers!$A$2:$C$301,3,FALSE),"")</f>
        <v>40</v>
      </c>
      <c r="H800" t="str">
        <f>VLOOKUP(D800,Sales_Reps!$A$2:$C$31,3,FALSE)</f>
        <v>West</v>
      </c>
      <c r="I800" s="44">
        <f t="shared" si="27"/>
        <v>45292</v>
      </c>
      <c r="L800" t="str">
        <f>Orders!K800</f>
        <v>Delhi</v>
      </c>
      <c r="M800">
        <f>Orders!G800</f>
        <v>370</v>
      </c>
      <c r="N800">
        <f>IFERROR(VLOOKUP(Orders!D800,Products!$A$2:$D$61,4,FALSE),"")</f>
        <v>288</v>
      </c>
      <c r="O800">
        <f t="shared" si="28"/>
        <v>0.22162162162162163</v>
      </c>
      <c r="Q800" t="str">
        <f>Orders!D800</f>
        <v>PROD-032</v>
      </c>
    </row>
    <row r="801" spans="1:17" x14ac:dyDescent="0.3">
      <c r="A801" t="str">
        <f>Orders!A801</f>
        <v>ORD-00800</v>
      </c>
      <c r="B801">
        <f>Orders!B801</f>
        <v>45413</v>
      </c>
      <c r="C801">
        <f>Orders!I801</f>
        <v>26228.93</v>
      </c>
      <c r="D801" t="str">
        <f>Orders!E801</f>
        <v>R009</v>
      </c>
      <c r="E801" t="str">
        <f>IFERROR(VLOOKUP(Orders!D801,Products!$A$2:$C$61,3,FALSE),"Unknown")</f>
        <v>Electronics</v>
      </c>
      <c r="F801" t="str">
        <f>IFERROR(VLOOKUP(Orders!C801,Customers!$A$2:$E$301,5,FALSE),"Unknown")</f>
        <v>SMB</v>
      </c>
      <c r="G801">
        <f>IFERROR(VLOOKUP(Orders!C801,Customers!$A$2:$C$301,3,FALSE),"")</f>
        <v>53</v>
      </c>
      <c r="H801" t="str">
        <f>VLOOKUP(D801,Sales_Reps!$A$2:$C$31,3,FALSE)</f>
        <v>South</v>
      </c>
      <c r="I801" s="44">
        <f t="shared" si="27"/>
        <v>45413</v>
      </c>
      <c r="L801" t="str">
        <f>Orders!K801</f>
        <v>Chennai</v>
      </c>
      <c r="M801">
        <f>Orders!G801</f>
        <v>5330</v>
      </c>
      <c r="N801">
        <f>IFERROR(VLOOKUP(Orders!D801,Products!$A$2:$D$61,4,FALSE),"")</f>
        <v>2405</v>
      </c>
      <c r="O801">
        <f t="shared" si="28"/>
        <v>0.54878048780487809</v>
      </c>
      <c r="Q801" t="str">
        <f>Orders!D801</f>
        <v>PROD-001</v>
      </c>
    </row>
    <row r="802" spans="1:17" x14ac:dyDescent="0.3">
      <c r="A802" t="str">
        <f>Orders!A802</f>
        <v>ORD-00801</v>
      </c>
      <c r="B802">
        <f>Orders!B802</f>
        <v>45368</v>
      </c>
      <c r="C802">
        <f>Orders!I802</f>
        <v>21058.799999999999</v>
      </c>
      <c r="D802" t="str">
        <f>Orders!E802</f>
        <v>R016</v>
      </c>
      <c r="E802" t="str">
        <f>IFERROR(VLOOKUP(Orders!D802,Products!$A$2:$C$61,3,FALSE),"Unknown")</f>
        <v>Sports</v>
      </c>
      <c r="F802" t="str">
        <f>IFERROR(VLOOKUP(Orders!C802,Customers!$A$2:$E$301,5,FALSE),"Unknown")</f>
        <v>Retail</v>
      </c>
      <c r="G802">
        <f>IFERROR(VLOOKUP(Orders!C802,Customers!$A$2:$C$301,3,FALSE),"")</f>
        <v>49</v>
      </c>
      <c r="H802" t="str">
        <f>VLOOKUP(D802,Sales_Reps!$A$2:$C$31,3,FALSE)</f>
        <v>South</v>
      </c>
      <c r="I802" s="44">
        <f t="shared" si="27"/>
        <v>45352</v>
      </c>
      <c r="L802" t="str">
        <f>Orders!K802</f>
        <v>Chennai</v>
      </c>
      <c r="M802">
        <f>Orders!G802</f>
        <v>3450</v>
      </c>
      <c r="N802">
        <f>IFERROR(VLOOKUP(Orders!D802,Products!$A$2:$D$61,4,FALSE),"")</f>
        <v>2467</v>
      </c>
      <c r="O802">
        <f t="shared" si="28"/>
        <v>0.28492753623188405</v>
      </c>
      <c r="Q802" t="str">
        <f>Orders!D802</f>
        <v>PROD-051</v>
      </c>
    </row>
    <row r="803" spans="1:17" x14ac:dyDescent="0.3">
      <c r="A803" t="str">
        <f>Orders!A803</f>
        <v>ORD-00802</v>
      </c>
      <c r="B803">
        <f>Orders!B803</f>
        <v>45316</v>
      </c>
      <c r="C803">
        <f>Orders!I803</f>
        <v>26109.599999999999</v>
      </c>
      <c r="D803" t="str">
        <f>Orders!E803</f>
        <v>R027</v>
      </c>
      <c r="E803" t="str">
        <f>IFERROR(VLOOKUP(Orders!D803,Products!$A$2:$C$61,3,FALSE),"Unknown")</f>
        <v>Apparel</v>
      </c>
      <c r="F803" t="str">
        <f>IFERROR(VLOOKUP(Orders!C803,Customers!$A$2:$E$301,5,FALSE),"Unknown")</f>
        <v>Corporate</v>
      </c>
      <c r="G803">
        <f>IFERROR(VLOOKUP(Orders!C803,Customers!$A$2:$C$301,3,FALSE),"")</f>
        <v>51</v>
      </c>
      <c r="H803" t="str">
        <f>VLOOKUP(D803,Sales_Reps!$A$2:$C$31,3,FALSE)</f>
        <v>West</v>
      </c>
      <c r="I803" s="44">
        <f t="shared" si="27"/>
        <v>45292</v>
      </c>
      <c r="L803" t="str">
        <f>Orders!K803</f>
        <v>Chennai</v>
      </c>
      <c r="M803">
        <f>Orders!G803</f>
        <v>3450</v>
      </c>
      <c r="N803">
        <f>IFERROR(VLOOKUP(Orders!D803,Products!$A$2:$D$61,4,FALSE),"")</f>
        <v>1748</v>
      </c>
      <c r="O803">
        <f t="shared" si="28"/>
        <v>0.49333333333333335</v>
      </c>
      <c r="Q803" t="str">
        <f>Orders!D803</f>
        <v>PROD-011</v>
      </c>
    </row>
    <row r="804" spans="1:17" x14ac:dyDescent="0.3">
      <c r="A804" t="str">
        <f>Orders!A804</f>
        <v>ORD-00803</v>
      </c>
      <c r="B804">
        <f>Orders!B804</f>
        <v>45652</v>
      </c>
      <c r="C804">
        <f>Orders!I804</f>
        <v>4724.16</v>
      </c>
      <c r="D804" t="str">
        <f>Orders!E804</f>
        <v>R029</v>
      </c>
      <c r="E804" t="str">
        <f>IFERROR(VLOOKUP(Orders!D804,Products!$A$2:$C$61,3,FALSE),"Unknown")</f>
        <v>Beauty</v>
      </c>
      <c r="F804" t="str">
        <f>IFERROR(VLOOKUP(Orders!C804,Customers!$A$2:$E$301,5,FALSE),"Unknown")</f>
        <v>Corporate</v>
      </c>
      <c r="G804">
        <f>IFERROR(VLOOKUP(Orders!C804,Customers!$A$2:$C$301,3,FALSE),"")</f>
        <v>62</v>
      </c>
      <c r="H804" t="str">
        <f>VLOOKUP(D804,Sales_Reps!$A$2:$C$31,3,FALSE)</f>
        <v>West</v>
      </c>
      <c r="I804" s="44">
        <f t="shared" si="27"/>
        <v>45627</v>
      </c>
      <c r="L804" t="str">
        <f>Orders!K804</f>
        <v>Mumbai</v>
      </c>
      <c r="M804">
        <f>Orders!G804</f>
        <v>6080</v>
      </c>
      <c r="N804">
        <f>IFERROR(VLOOKUP(Orders!D804,Products!$A$2:$D$61,4,FALSE),"")</f>
        <v>2617</v>
      </c>
      <c r="O804">
        <f t="shared" si="28"/>
        <v>0.56957236842105263</v>
      </c>
      <c r="Q804" t="str">
        <f>Orders!D804</f>
        <v>PROD-050</v>
      </c>
    </row>
    <row r="805" spans="1:17" x14ac:dyDescent="0.3">
      <c r="A805" t="str">
        <f>Orders!A805</f>
        <v>ORD-00804</v>
      </c>
      <c r="B805">
        <f>Orders!B805</f>
        <v>45597</v>
      </c>
      <c r="C805">
        <f>Orders!I805</f>
        <v>16400.34</v>
      </c>
      <c r="D805" t="str">
        <f>Orders!E805</f>
        <v>R011</v>
      </c>
      <c r="E805" t="str">
        <f>IFERROR(VLOOKUP(Orders!D805,Products!$A$2:$C$61,3,FALSE),"Unknown")</f>
        <v>Apparel</v>
      </c>
      <c r="F805" t="str">
        <f>IFERROR(VLOOKUP(Orders!C805,Customers!$A$2:$E$301,5,FALSE),"Unknown")</f>
        <v>SMB</v>
      </c>
      <c r="G805">
        <f>IFERROR(VLOOKUP(Orders!C805,Customers!$A$2:$C$301,3,FALSE),"")</f>
        <v>50</v>
      </c>
      <c r="H805" t="str">
        <f>VLOOKUP(D805,Sales_Reps!$A$2:$C$31,3,FALSE)</f>
        <v>South</v>
      </c>
      <c r="I805" s="44">
        <f t="shared" si="27"/>
        <v>45597</v>
      </c>
      <c r="L805" t="str">
        <f>Orders!K805</f>
        <v>Delhi</v>
      </c>
      <c r="M805">
        <f>Orders!G805</f>
        <v>2510</v>
      </c>
      <c r="N805">
        <f>IFERROR(VLOOKUP(Orders!D805,Products!$A$2:$D$61,4,FALSE),"")</f>
        <v>1075</v>
      </c>
      <c r="O805">
        <f t="shared" si="28"/>
        <v>0.57171314741035861</v>
      </c>
      <c r="Q805" t="str">
        <f>Orders!D805</f>
        <v>PROD-017</v>
      </c>
    </row>
    <row r="806" spans="1:17" x14ac:dyDescent="0.3">
      <c r="A806" t="str">
        <f>Orders!A806</f>
        <v>ORD-00805</v>
      </c>
      <c r="B806">
        <f>Orders!B806</f>
        <v>45392</v>
      </c>
      <c r="C806">
        <f>Orders!I806</f>
        <v>7231.6</v>
      </c>
      <c r="D806" t="str">
        <f>Orders!E806</f>
        <v>R012</v>
      </c>
      <c r="E806" t="str">
        <f>IFERROR(VLOOKUP(Orders!D806,Products!$A$2:$C$61,3,FALSE),"Unknown")</f>
        <v>Sports</v>
      </c>
      <c r="F806" t="str">
        <f>IFERROR(VLOOKUP(Orders!C806,Customers!$A$2:$E$301,5,FALSE),"Unknown")</f>
        <v>Retail</v>
      </c>
      <c r="G806">
        <f>IFERROR(VLOOKUP(Orders!C806,Customers!$A$2:$C$301,3,FALSE),"")</f>
        <v>54</v>
      </c>
      <c r="H806" t="str">
        <f>VLOOKUP(D806,Sales_Reps!$A$2:$C$31,3,FALSE)</f>
        <v>South</v>
      </c>
      <c r="I806" s="44">
        <f t="shared" si="27"/>
        <v>45383</v>
      </c>
      <c r="L806" t="str">
        <f>Orders!K806</f>
        <v>Mumbai</v>
      </c>
      <c r="M806">
        <f>Orders!G806</f>
        <v>1010</v>
      </c>
      <c r="N806">
        <f>IFERROR(VLOOKUP(Orders!D806,Products!$A$2:$D$61,4,FALSE),"")</f>
        <v>516</v>
      </c>
      <c r="O806">
        <f t="shared" si="28"/>
        <v>0.4891089108910891</v>
      </c>
      <c r="Q806" t="str">
        <f>Orders!D806</f>
        <v>PROD-054</v>
      </c>
    </row>
    <row r="807" spans="1:17" x14ac:dyDescent="0.3">
      <c r="A807" t="str">
        <f>Orders!A807</f>
        <v>ORD-00806</v>
      </c>
      <c r="B807">
        <f>Orders!B807</f>
        <v>45401</v>
      </c>
      <c r="C807">
        <f>Orders!I807</f>
        <v>2634.4</v>
      </c>
      <c r="D807" t="str">
        <f>Orders!E807</f>
        <v>R023</v>
      </c>
      <c r="E807" t="str">
        <f>IFERROR(VLOOKUP(Orders!D807,Products!$A$2:$C$61,3,FALSE),"Unknown")</f>
        <v>Apparel</v>
      </c>
      <c r="F807" t="str">
        <f>IFERROR(VLOOKUP(Orders!C807,Customers!$A$2:$E$301,5,FALSE),"Unknown")</f>
        <v>Retail</v>
      </c>
      <c r="G807">
        <f>IFERROR(VLOOKUP(Orders!C807,Customers!$A$2:$C$301,3,FALSE),"")</f>
        <v>54</v>
      </c>
      <c r="H807" t="str">
        <f>VLOOKUP(D807,Sales_Reps!$A$2:$C$31,3,FALSE)</f>
        <v>East</v>
      </c>
      <c r="I807" s="44">
        <f t="shared" si="27"/>
        <v>45383</v>
      </c>
      <c r="L807" t="str">
        <f>Orders!K807</f>
        <v>Mumbai</v>
      </c>
      <c r="M807">
        <f>Orders!G807</f>
        <v>3560</v>
      </c>
      <c r="N807">
        <f>IFERROR(VLOOKUP(Orders!D807,Products!$A$2:$D$61,4,FALSE),"")</f>
        <v>2629</v>
      </c>
      <c r="O807">
        <f t="shared" si="28"/>
        <v>0.26151685393258428</v>
      </c>
      <c r="Q807" t="str">
        <f>Orders!D807</f>
        <v>PROD-018</v>
      </c>
    </row>
    <row r="808" spans="1:17" x14ac:dyDescent="0.3">
      <c r="A808" t="str">
        <f>Orders!A808</f>
        <v>ORD-00807</v>
      </c>
      <c r="B808">
        <f>Orders!B808</f>
        <v>45397</v>
      </c>
      <c r="C808">
        <f>Orders!I808</f>
        <v>22492.959999999999</v>
      </c>
      <c r="D808" t="str">
        <f>Orders!E808</f>
        <v>R006</v>
      </c>
      <c r="E808" t="str">
        <f>IFERROR(VLOOKUP(Orders!D808,Products!$A$2:$C$61,3,FALSE),"Unknown")</f>
        <v>Beauty</v>
      </c>
      <c r="F808" t="str">
        <f>IFERROR(VLOOKUP(Orders!C808,Customers!$A$2:$E$301,5,FALSE),"Unknown")</f>
        <v>Corporate</v>
      </c>
      <c r="G808">
        <f>IFERROR(VLOOKUP(Orders!C808,Customers!$A$2:$C$301,3,FALSE),"")</f>
        <v>43</v>
      </c>
      <c r="H808" t="str">
        <f>VLOOKUP(D808,Sales_Reps!$A$2:$C$31,3,FALSE)</f>
        <v>North</v>
      </c>
      <c r="I808" s="44">
        <f t="shared" si="27"/>
        <v>45383</v>
      </c>
      <c r="L808" t="str">
        <f>Orders!K808</f>
        <v>Hyderabad</v>
      </c>
      <c r="M808">
        <f>Orders!G808</f>
        <v>3020</v>
      </c>
      <c r="N808">
        <f>IFERROR(VLOOKUP(Orders!D808,Products!$A$2:$D$61,4,FALSE),"")</f>
        <v>1626</v>
      </c>
      <c r="O808">
        <f t="shared" si="28"/>
        <v>0.46158940397350995</v>
      </c>
      <c r="Q808" t="str">
        <f>Orders!D808</f>
        <v>PROD-045</v>
      </c>
    </row>
    <row r="809" spans="1:17" x14ac:dyDescent="0.3">
      <c r="A809" t="str">
        <f>Orders!A809</f>
        <v>ORD-00808</v>
      </c>
      <c r="B809">
        <f>Orders!B809</f>
        <v>45301</v>
      </c>
      <c r="C809">
        <f>Orders!I809</f>
        <v>3736.26</v>
      </c>
      <c r="D809" t="str">
        <f>Orders!E809</f>
        <v>R017</v>
      </c>
      <c r="E809" t="str">
        <f>IFERROR(VLOOKUP(Orders!D809,Products!$A$2:$C$61,3,FALSE),"Unknown")</f>
        <v>Grocery</v>
      </c>
      <c r="F809" t="str">
        <f>IFERROR(VLOOKUP(Orders!C809,Customers!$A$2:$E$301,5,FALSE),"Unknown")</f>
        <v>Retail</v>
      </c>
      <c r="G809">
        <f>IFERROR(VLOOKUP(Orders!C809,Customers!$A$2:$C$301,3,FALSE),"")</f>
        <v>26</v>
      </c>
      <c r="H809" t="str">
        <f>VLOOKUP(D809,Sales_Reps!$A$2:$C$31,3,FALSE)</f>
        <v>East</v>
      </c>
      <c r="I809" s="44">
        <f t="shared" si="27"/>
        <v>45292</v>
      </c>
      <c r="L809" t="str">
        <f>Orders!K809</f>
        <v>Chennai</v>
      </c>
      <c r="M809">
        <f>Orders!G809</f>
        <v>4070</v>
      </c>
      <c r="N809">
        <f>IFERROR(VLOOKUP(Orders!D809,Products!$A$2:$D$61,4,FALSE),"")</f>
        <v>2027</v>
      </c>
      <c r="O809">
        <f t="shared" si="28"/>
        <v>0.50196560196560192</v>
      </c>
      <c r="Q809" t="str">
        <f>Orders!D809</f>
        <v>PROD-026</v>
      </c>
    </row>
    <row r="810" spans="1:17" x14ac:dyDescent="0.3">
      <c r="A810" t="str">
        <f>Orders!A810</f>
        <v>ORD-00809</v>
      </c>
      <c r="B810">
        <f>Orders!B810</f>
        <v>45347</v>
      </c>
      <c r="C810">
        <f>Orders!I810</f>
        <v>2670.66</v>
      </c>
      <c r="D810" t="str">
        <f>Orders!E810</f>
        <v>R020</v>
      </c>
      <c r="E810" t="str">
        <f>IFERROR(VLOOKUP(Orders!D810,Products!$A$2:$C$61,3,FALSE),"Unknown")</f>
        <v>Home</v>
      </c>
      <c r="F810" t="str">
        <f>IFERROR(VLOOKUP(Orders!C810,Customers!$A$2:$E$301,5,FALSE),"Unknown")</f>
        <v>Retail</v>
      </c>
      <c r="G810">
        <f>IFERROR(VLOOKUP(Orders!C810,Customers!$A$2:$C$301,3,FALSE),"")</f>
        <v>29</v>
      </c>
      <c r="H810" t="str">
        <f>VLOOKUP(D810,Sales_Reps!$A$2:$C$31,3,FALSE)</f>
        <v>East</v>
      </c>
      <c r="I810" s="44">
        <f t="shared" si="27"/>
        <v>45323</v>
      </c>
      <c r="L810" t="str">
        <f>Orders!K810</f>
        <v>Mumbai</v>
      </c>
      <c r="M810">
        <f>Orders!G810</f>
        <v>370</v>
      </c>
      <c r="N810">
        <f>IFERROR(VLOOKUP(Orders!D810,Products!$A$2:$D$61,4,FALSE),"")</f>
        <v>288</v>
      </c>
      <c r="O810">
        <f t="shared" si="28"/>
        <v>0.22162162162162163</v>
      </c>
      <c r="Q810" t="str">
        <f>Orders!D810</f>
        <v>PROD-032</v>
      </c>
    </row>
    <row r="811" spans="1:17" x14ac:dyDescent="0.3">
      <c r="A811" t="str">
        <f>Orders!A811</f>
        <v>ORD-00810</v>
      </c>
      <c r="B811">
        <f>Orders!B811</f>
        <v>45544</v>
      </c>
      <c r="C811">
        <f>Orders!I811</f>
        <v>4877.16</v>
      </c>
      <c r="D811" t="str">
        <f>Orders!E811</f>
        <v>R020</v>
      </c>
      <c r="E811" t="str">
        <f>IFERROR(VLOOKUP(Orders!D811,Products!$A$2:$C$61,3,FALSE),"Unknown")</f>
        <v>Grocery</v>
      </c>
      <c r="F811" t="str">
        <f>IFERROR(VLOOKUP(Orders!C811,Customers!$A$2:$E$301,5,FALSE),"Unknown")</f>
        <v>SMB</v>
      </c>
      <c r="G811">
        <f>IFERROR(VLOOKUP(Orders!C811,Customers!$A$2:$C$301,3,FALSE),"")</f>
        <v>28</v>
      </c>
      <c r="H811" t="str">
        <f>VLOOKUP(D811,Sales_Reps!$A$2:$C$31,3,FALSE)</f>
        <v>East</v>
      </c>
      <c r="I811" s="44">
        <f t="shared" si="27"/>
        <v>45536</v>
      </c>
      <c r="L811" t="str">
        <f>Orders!K811</f>
        <v>Hyderabad</v>
      </c>
      <c r="M811">
        <f>Orders!G811</f>
        <v>970</v>
      </c>
      <c r="N811">
        <f>IFERROR(VLOOKUP(Orders!D811,Products!$A$2:$D$61,4,FALSE),"")</f>
        <v>434</v>
      </c>
      <c r="O811">
        <f t="shared" si="28"/>
        <v>0.5525773195876289</v>
      </c>
      <c r="Q811" t="str">
        <f>Orders!D811</f>
        <v>PROD-030</v>
      </c>
    </row>
    <row r="812" spans="1:17" x14ac:dyDescent="0.3">
      <c r="A812" t="str">
        <f>Orders!A812</f>
        <v>ORD-00811</v>
      </c>
      <c r="B812">
        <f>Orders!B812</f>
        <v>45633</v>
      </c>
      <c r="C812">
        <f>Orders!I812</f>
        <v>26384</v>
      </c>
      <c r="D812" t="str">
        <f>Orders!E812</f>
        <v>R019</v>
      </c>
      <c r="E812" t="str">
        <f>IFERROR(VLOOKUP(Orders!D812,Products!$A$2:$C$61,3,FALSE),"Unknown")</f>
        <v>Apparel</v>
      </c>
      <c r="F812" t="str">
        <f>IFERROR(VLOOKUP(Orders!C812,Customers!$A$2:$E$301,5,FALSE),"Unknown")</f>
        <v>SMB</v>
      </c>
      <c r="G812">
        <f>IFERROR(VLOOKUP(Orders!C812,Customers!$A$2:$C$301,3,FALSE),"")</f>
        <v>60</v>
      </c>
      <c r="H812" t="str">
        <f>VLOOKUP(D812,Sales_Reps!$A$2:$C$31,3,FALSE)</f>
        <v>East</v>
      </c>
      <c r="I812" s="44">
        <f t="shared" si="27"/>
        <v>45627</v>
      </c>
      <c r="L812" t="str">
        <f>Orders!K812</f>
        <v>Pune</v>
      </c>
      <c r="M812">
        <f>Orders!G812</f>
        <v>2720</v>
      </c>
      <c r="N812">
        <f>IFERROR(VLOOKUP(Orders!D812,Products!$A$2:$D$61,4,FALSE),"")</f>
        <v>1962</v>
      </c>
      <c r="O812">
        <f t="shared" si="28"/>
        <v>0.2786764705882353</v>
      </c>
      <c r="Q812" t="str">
        <f>Orders!D812</f>
        <v>PROD-015</v>
      </c>
    </row>
    <row r="813" spans="1:17" x14ac:dyDescent="0.3">
      <c r="A813" t="str">
        <f>Orders!A813</f>
        <v>ORD-00812</v>
      </c>
      <c r="B813">
        <f>Orders!B813</f>
        <v>45293</v>
      </c>
      <c r="C813">
        <f>Orders!I813</f>
        <v>11860.8</v>
      </c>
      <c r="D813" t="str">
        <f>Orders!E813</f>
        <v>R014</v>
      </c>
      <c r="E813" t="str">
        <f>IFERROR(VLOOKUP(Orders!D813,Products!$A$2:$C$61,3,FALSE),"Unknown")</f>
        <v>Sports</v>
      </c>
      <c r="F813" t="str">
        <f>IFERROR(VLOOKUP(Orders!C813,Customers!$A$2:$E$301,5,FALSE),"Unknown")</f>
        <v>Corporate</v>
      </c>
      <c r="G813">
        <f>IFERROR(VLOOKUP(Orders!C813,Customers!$A$2:$C$301,3,FALSE),"")</f>
        <v>43</v>
      </c>
      <c r="H813" t="str">
        <f>VLOOKUP(D813,Sales_Reps!$A$2:$C$31,3,FALSE)</f>
        <v>South</v>
      </c>
      <c r="I813" s="44">
        <f t="shared" si="27"/>
        <v>45292</v>
      </c>
      <c r="L813" t="str">
        <f>Orders!K813</f>
        <v>Bengaluru</v>
      </c>
      <c r="M813">
        <f>Orders!G813</f>
        <v>2400</v>
      </c>
      <c r="N813">
        <f>IFERROR(VLOOKUP(Orders!D813,Products!$A$2:$D$61,4,FALSE),"")</f>
        <v>974</v>
      </c>
      <c r="O813">
        <f t="shared" si="28"/>
        <v>0.59416666666666662</v>
      </c>
      <c r="Q813" t="str">
        <f>Orders!D813</f>
        <v>PROD-058</v>
      </c>
    </row>
    <row r="814" spans="1:17" x14ac:dyDescent="0.3">
      <c r="A814" t="str">
        <f>Orders!A814</f>
        <v>ORD-00813</v>
      </c>
      <c r="B814">
        <f>Orders!B814</f>
        <v>45564</v>
      </c>
      <c r="C814">
        <f>Orders!I814</f>
        <v>22299.84</v>
      </c>
      <c r="D814" t="str">
        <f>Orders!E814</f>
        <v>R012</v>
      </c>
      <c r="E814" t="str">
        <f>IFERROR(VLOOKUP(Orders!D814,Products!$A$2:$C$61,3,FALSE),"Unknown")</f>
        <v>Apparel</v>
      </c>
      <c r="F814" t="str">
        <f>IFERROR(VLOOKUP(Orders!C814,Customers!$A$2:$E$301,5,FALSE),"Unknown")</f>
        <v>Retail</v>
      </c>
      <c r="G814">
        <f>IFERROR(VLOOKUP(Orders!C814,Customers!$A$2:$C$301,3,FALSE),"")</f>
        <v>65</v>
      </c>
      <c r="H814" t="str">
        <f>VLOOKUP(D814,Sales_Reps!$A$2:$C$31,3,FALSE)</f>
        <v>South</v>
      </c>
      <c r="I814" s="44">
        <f t="shared" si="27"/>
        <v>45536</v>
      </c>
      <c r="L814" t="str">
        <f>Orders!K814</f>
        <v>Pune</v>
      </c>
      <c r="M814">
        <f>Orders!G814</f>
        <v>3560</v>
      </c>
      <c r="N814">
        <f>IFERROR(VLOOKUP(Orders!D814,Products!$A$2:$D$61,4,FALSE),"")</f>
        <v>2629</v>
      </c>
      <c r="O814">
        <f t="shared" si="28"/>
        <v>0.26151685393258428</v>
      </c>
      <c r="Q814" t="str">
        <f>Orders!D814</f>
        <v>PROD-018</v>
      </c>
    </row>
    <row r="815" spans="1:17" x14ac:dyDescent="0.3">
      <c r="A815" t="str">
        <f>Orders!A815</f>
        <v>ORD-00814</v>
      </c>
      <c r="B815">
        <f>Orders!B815</f>
        <v>45385</v>
      </c>
      <c r="C815">
        <f>Orders!I815</f>
        <v>25498.55</v>
      </c>
      <c r="D815" t="str">
        <f>Orders!E815</f>
        <v>R015</v>
      </c>
      <c r="E815" t="str">
        <f>IFERROR(VLOOKUP(Orders!D815,Products!$A$2:$C$61,3,FALSE),"Unknown")</f>
        <v>Grocery</v>
      </c>
      <c r="F815" t="str">
        <f>IFERROR(VLOOKUP(Orders!C815,Customers!$A$2:$E$301,5,FALSE),"Unknown")</f>
        <v>SMB</v>
      </c>
      <c r="G815">
        <f>IFERROR(VLOOKUP(Orders!C815,Customers!$A$2:$C$301,3,FALSE),"")</f>
        <v>29</v>
      </c>
      <c r="H815" t="str">
        <f>VLOOKUP(D815,Sales_Reps!$A$2:$C$31,3,FALSE)</f>
        <v>South</v>
      </c>
      <c r="I815" s="44">
        <f t="shared" si="27"/>
        <v>45383</v>
      </c>
      <c r="L815" t="str">
        <f>Orders!K815</f>
        <v>Delhi</v>
      </c>
      <c r="M815">
        <f>Orders!G815</f>
        <v>4070</v>
      </c>
      <c r="N815">
        <f>IFERROR(VLOOKUP(Orders!D815,Products!$A$2:$D$61,4,FALSE),"")</f>
        <v>2027</v>
      </c>
      <c r="O815">
        <f t="shared" si="28"/>
        <v>0.50196560196560192</v>
      </c>
      <c r="Q815" t="str">
        <f>Orders!D815</f>
        <v>PROD-026</v>
      </c>
    </row>
    <row r="816" spans="1:17" x14ac:dyDescent="0.3">
      <c r="A816" t="str">
        <f>Orders!A816</f>
        <v>ORD-01052</v>
      </c>
      <c r="B816">
        <f>Orders!B816</f>
        <v>45299</v>
      </c>
      <c r="C816">
        <f>Orders!I816</f>
        <v>16197.54</v>
      </c>
      <c r="D816" t="str">
        <f>Orders!E816</f>
        <v>R008</v>
      </c>
      <c r="E816" t="str">
        <f>IFERROR(VLOOKUP(Orders!D816,Products!$A$2:$C$61,3,FALSE),"Unknown")</f>
        <v>Sports</v>
      </c>
      <c r="F816" t="str">
        <f>IFERROR(VLOOKUP(Orders!C816,Customers!$A$2:$E$301,5,FALSE),"Unknown")</f>
        <v>Retail</v>
      </c>
      <c r="G816">
        <f>IFERROR(VLOOKUP(Orders!C816,Customers!$A$2:$C$301,3,FALSE),"")</f>
        <v>53</v>
      </c>
      <c r="H816" t="str">
        <f>VLOOKUP(D816,Sales_Reps!$A$2:$C$31,3,FALSE)</f>
        <v>North</v>
      </c>
      <c r="I816" s="44">
        <f t="shared" si="27"/>
        <v>45292</v>
      </c>
      <c r="L816" t="str">
        <f>Orders!K816</f>
        <v>Mumbai</v>
      </c>
      <c r="M816">
        <f>Orders!G816</f>
        <v>5410</v>
      </c>
      <c r="N816">
        <f>IFERROR(VLOOKUP(Orders!D816,Products!$A$2:$D$61,4,FALSE),"")</f>
        <v>2265</v>
      </c>
      <c r="O816">
        <f t="shared" si="28"/>
        <v>0.58133086876155271</v>
      </c>
      <c r="Q816" t="str">
        <f>Orders!D816</f>
        <v>PROD-052</v>
      </c>
    </row>
    <row r="817" spans="1:17" x14ac:dyDescent="0.3">
      <c r="A817" t="str">
        <f>Orders!A817</f>
        <v>ORD-00816</v>
      </c>
      <c r="B817">
        <f>Orders!B817</f>
        <v>45651</v>
      </c>
      <c r="C817">
        <f>Orders!I817</f>
        <v>8004</v>
      </c>
      <c r="D817" t="str">
        <f>Orders!E817</f>
        <v>R028</v>
      </c>
      <c r="E817" t="str">
        <f>IFERROR(VLOOKUP(Orders!D817,Products!$A$2:$C$61,3,FALSE),"Unknown")</f>
        <v>Grocery</v>
      </c>
      <c r="F817" t="str">
        <f>IFERROR(VLOOKUP(Orders!C817,Customers!$A$2:$E$301,5,FALSE),"Unknown")</f>
        <v>SMB</v>
      </c>
      <c r="G817">
        <f>IFERROR(VLOOKUP(Orders!C817,Customers!$A$2:$C$301,3,FALSE),"")</f>
        <v>48</v>
      </c>
      <c r="H817" t="str">
        <f>VLOOKUP(D817,Sales_Reps!$A$2:$C$31,3,FALSE)</f>
        <v>West</v>
      </c>
      <c r="I817" s="44">
        <f t="shared" si="27"/>
        <v>45627</v>
      </c>
      <c r="L817" t="str">
        <f>Orders!K817</f>
        <v>Delhi</v>
      </c>
      <c r="M817">
        <f>Orders!G817</f>
        <v>2760</v>
      </c>
      <c r="N817">
        <f>IFERROR(VLOOKUP(Orders!D817,Products!$A$2:$D$61,4,FALSE),"")</f>
        <v>1435</v>
      </c>
      <c r="O817">
        <f t="shared" si="28"/>
        <v>0.48007246376811596</v>
      </c>
      <c r="Q817" t="str">
        <f>Orders!D817</f>
        <v>PROD-021</v>
      </c>
    </row>
    <row r="818" spans="1:17" x14ac:dyDescent="0.3">
      <c r="A818" t="str">
        <f>Orders!A818</f>
        <v>ORD-01136</v>
      </c>
      <c r="B818">
        <f>Orders!B818</f>
        <v>45474</v>
      </c>
      <c r="C818">
        <f>Orders!I818</f>
        <v>11094.72</v>
      </c>
      <c r="D818" t="str">
        <f>Orders!E818</f>
        <v>R013</v>
      </c>
      <c r="E818" t="str">
        <f>IFERROR(VLOOKUP(Orders!D818,Products!$A$2:$C$61,3,FALSE),"Unknown")</f>
        <v>Home</v>
      </c>
      <c r="F818" t="str">
        <f>IFERROR(VLOOKUP(Orders!C818,Customers!$A$2:$E$301,5,FALSE),"Unknown")</f>
        <v>Retail</v>
      </c>
      <c r="G818">
        <f>IFERROR(VLOOKUP(Orders!C818,Customers!$A$2:$C$301,3,FALSE),"")</f>
        <v>29</v>
      </c>
      <c r="H818" t="str">
        <f>VLOOKUP(D818,Sales_Reps!$A$2:$C$31,3,FALSE)</f>
        <v>South</v>
      </c>
      <c r="I818" s="44">
        <f t="shared" si="27"/>
        <v>45474</v>
      </c>
      <c r="L818" t="str">
        <f>Orders!K818</f>
        <v>Pune</v>
      </c>
      <c r="M818">
        <f>Orders!G818</f>
        <v>5080</v>
      </c>
      <c r="N818">
        <f>IFERROR(VLOOKUP(Orders!D818,Products!$A$2:$D$61,4,FALSE),"")</f>
        <v>2459</v>
      </c>
      <c r="O818">
        <f t="shared" si="28"/>
        <v>0.51594488188976373</v>
      </c>
      <c r="Q818" t="str">
        <f>Orders!D818</f>
        <v>PROD-034</v>
      </c>
    </row>
    <row r="819" spans="1:17" x14ac:dyDescent="0.3">
      <c r="A819" t="str">
        <f>Orders!A819</f>
        <v>ORD-00818</v>
      </c>
      <c r="B819">
        <f>Orders!B819</f>
        <v>45391</v>
      </c>
      <c r="C819">
        <f>Orders!I819</f>
        <v>5270.15</v>
      </c>
      <c r="D819" t="str">
        <f>Orders!E819</f>
        <v>R017</v>
      </c>
      <c r="E819" t="str">
        <f>IFERROR(VLOOKUP(Orders!D819,Products!$A$2:$C$61,3,FALSE),"Unknown")</f>
        <v>Home</v>
      </c>
      <c r="F819" t="str">
        <f>IFERROR(VLOOKUP(Orders!C819,Customers!$A$2:$E$301,5,FALSE),"Unknown")</f>
        <v>Retail</v>
      </c>
      <c r="G819">
        <f>IFERROR(VLOOKUP(Orders!C819,Customers!$A$2:$C$301,3,FALSE),"")</f>
        <v>39</v>
      </c>
      <c r="H819" t="str">
        <f>VLOOKUP(D819,Sales_Reps!$A$2:$C$31,3,FALSE)</f>
        <v>East</v>
      </c>
      <c r="I819" s="44">
        <f t="shared" si="27"/>
        <v>45383</v>
      </c>
      <c r="L819" t="str">
        <f>Orders!K819</f>
        <v>Pune</v>
      </c>
      <c r="M819">
        <f>Orders!G819</f>
        <v>1090</v>
      </c>
      <c r="N819">
        <f>IFERROR(VLOOKUP(Orders!D819,Products!$A$2:$D$61,4,FALSE),"")</f>
        <v>464</v>
      </c>
      <c r="O819">
        <f t="shared" si="28"/>
        <v>0.57431192660550456</v>
      </c>
      <c r="Q819" t="str">
        <f>Orders!D819</f>
        <v>PROD-035</v>
      </c>
    </row>
    <row r="820" spans="1:17" x14ac:dyDescent="0.3">
      <c r="A820" t="str">
        <f>Orders!A820</f>
        <v>ORD-00819</v>
      </c>
      <c r="B820">
        <f>Orders!B820</f>
        <v>45328</v>
      </c>
      <c r="C820">
        <f>Orders!I820</f>
        <v>22134</v>
      </c>
      <c r="D820" t="str">
        <f>Orders!E820</f>
        <v>R029</v>
      </c>
      <c r="E820" t="str">
        <f>IFERROR(VLOOKUP(Orders!D820,Products!$A$2:$C$61,3,FALSE),"Unknown")</f>
        <v>Grocery</v>
      </c>
      <c r="F820" t="str">
        <f>IFERROR(VLOOKUP(Orders!C820,Customers!$A$2:$E$301,5,FALSE),"Unknown")</f>
        <v>Corporate</v>
      </c>
      <c r="G820">
        <f>IFERROR(VLOOKUP(Orders!C820,Customers!$A$2:$C$301,3,FALSE),"")</f>
        <v>41</v>
      </c>
      <c r="H820" t="str">
        <f>VLOOKUP(D820,Sales_Reps!$A$2:$C$31,3,FALSE)</f>
        <v>West</v>
      </c>
      <c r="I820" s="44">
        <f t="shared" si="27"/>
        <v>45323</v>
      </c>
      <c r="L820" t="str">
        <f>Orders!K820</f>
        <v>Bengaluru</v>
      </c>
      <c r="M820">
        <f>Orders!G820</f>
        <v>2380</v>
      </c>
      <c r="N820">
        <f>IFERROR(VLOOKUP(Orders!D820,Products!$A$2:$D$61,4,FALSE),"")</f>
        <v>1182</v>
      </c>
      <c r="O820">
        <f t="shared" si="28"/>
        <v>0.50336134453781511</v>
      </c>
      <c r="Q820" t="str">
        <f>Orders!D820</f>
        <v>PROD-023</v>
      </c>
    </row>
    <row r="821" spans="1:17" x14ac:dyDescent="0.3">
      <c r="A821" t="str">
        <f>Orders!A821</f>
        <v>ORD-00820</v>
      </c>
      <c r="B821">
        <f>Orders!B821</f>
        <v>45490</v>
      </c>
      <c r="C821">
        <f>Orders!I821</f>
        <v>11755.2</v>
      </c>
      <c r="D821" t="str">
        <f>Orders!E821</f>
        <v>R026</v>
      </c>
      <c r="E821" t="str">
        <f>IFERROR(VLOOKUP(Orders!D821,Products!$A$2:$C$61,3,FALSE),"Unknown")</f>
        <v>Apparel</v>
      </c>
      <c r="F821" t="str">
        <f>IFERROR(VLOOKUP(Orders!C821,Customers!$A$2:$E$301,5,FALSE),"Unknown")</f>
        <v>SMB</v>
      </c>
      <c r="G821">
        <f>IFERROR(VLOOKUP(Orders!C821,Customers!$A$2:$C$301,3,FALSE),"")</f>
        <v>43</v>
      </c>
      <c r="H821" t="str">
        <f>VLOOKUP(D821,Sales_Reps!$A$2:$C$31,3,FALSE)</f>
        <v>West</v>
      </c>
      <c r="I821" s="44">
        <f t="shared" si="27"/>
        <v>45474</v>
      </c>
      <c r="L821" t="str">
        <f>Orders!K821</f>
        <v>Chennai</v>
      </c>
      <c r="M821">
        <f>Orders!G821</f>
        <v>3160</v>
      </c>
      <c r="N821">
        <f>IFERROR(VLOOKUP(Orders!D821,Products!$A$2:$D$61,4,FALSE),"")</f>
        <v>1886</v>
      </c>
      <c r="O821">
        <f t="shared" si="28"/>
        <v>0.4031645569620253</v>
      </c>
      <c r="Q821" t="str">
        <f>Orders!D821</f>
        <v>PROD-012</v>
      </c>
    </row>
    <row r="822" spans="1:17" x14ac:dyDescent="0.3">
      <c r="A822" t="str">
        <f>Orders!A822</f>
        <v>ORD-00821</v>
      </c>
      <c r="B822">
        <f>Orders!B822</f>
        <v>45362</v>
      </c>
      <c r="C822">
        <f>Orders!I822</f>
        <v>19785.599999999999</v>
      </c>
      <c r="D822" t="str">
        <f>Orders!E822</f>
        <v>R029</v>
      </c>
      <c r="E822" t="str">
        <f>IFERROR(VLOOKUP(Orders!D822,Products!$A$2:$C$61,3,FALSE),"Unknown")</f>
        <v>Sports</v>
      </c>
      <c r="F822" t="str">
        <f>IFERROR(VLOOKUP(Orders!C822,Customers!$A$2:$E$301,5,FALSE),"Unknown")</f>
        <v>SMB</v>
      </c>
      <c r="G822">
        <f>IFERROR(VLOOKUP(Orders!C822,Customers!$A$2:$C$301,3,FALSE),"")</f>
        <v>43</v>
      </c>
      <c r="H822" t="str">
        <f>VLOOKUP(D822,Sales_Reps!$A$2:$C$31,3,FALSE)</f>
        <v>West</v>
      </c>
      <c r="I822" s="44">
        <f t="shared" si="27"/>
        <v>45352</v>
      </c>
      <c r="L822" t="str">
        <f>Orders!K822</f>
        <v>Mumbai</v>
      </c>
      <c r="M822">
        <f>Orders!G822</f>
        <v>2400</v>
      </c>
      <c r="N822">
        <f>IFERROR(VLOOKUP(Orders!D822,Products!$A$2:$D$61,4,FALSE),"")</f>
        <v>974</v>
      </c>
      <c r="O822">
        <f t="shared" si="28"/>
        <v>0.59416666666666662</v>
      </c>
      <c r="Q822" t="str">
        <f>Orders!D822</f>
        <v>PROD-058</v>
      </c>
    </row>
    <row r="823" spans="1:17" x14ac:dyDescent="0.3">
      <c r="A823" t="str">
        <f>Orders!A823</f>
        <v>ORD-00822</v>
      </c>
      <c r="B823">
        <f>Orders!B823</f>
        <v>45449</v>
      </c>
      <c r="C823">
        <f>Orders!I823</f>
        <v>9963.2000000000007</v>
      </c>
      <c r="D823" t="str">
        <f>Orders!E823</f>
        <v>R020</v>
      </c>
      <c r="E823" t="str">
        <f>IFERROR(VLOOKUP(Orders!D823,Products!$A$2:$C$61,3,FALSE),"Unknown")</f>
        <v>Electronics</v>
      </c>
      <c r="F823" t="str">
        <f>IFERROR(VLOOKUP(Orders!C823,Customers!$A$2:$E$301,5,FALSE),"Unknown")</f>
        <v>Retail</v>
      </c>
      <c r="G823">
        <f>IFERROR(VLOOKUP(Orders!C823,Customers!$A$2:$C$301,3,FALSE),"")</f>
        <v>38</v>
      </c>
      <c r="H823" t="str">
        <f>VLOOKUP(D823,Sales_Reps!$A$2:$C$31,3,FALSE)</f>
        <v>East</v>
      </c>
      <c r="I823" s="44">
        <f t="shared" si="27"/>
        <v>45444</v>
      </c>
      <c r="L823" t="str">
        <f>Orders!K823</f>
        <v>Mumbai</v>
      </c>
      <c r="M823">
        <f>Orders!G823</f>
        <v>2600</v>
      </c>
      <c r="N823">
        <f>IFERROR(VLOOKUP(Orders!D823,Products!$A$2:$D$61,4,FALSE),"")</f>
        <v>1052</v>
      </c>
      <c r="O823">
        <f t="shared" si="28"/>
        <v>0.5953846153846154</v>
      </c>
      <c r="Q823" t="str">
        <f>Orders!D823</f>
        <v>PROD-002</v>
      </c>
    </row>
    <row r="824" spans="1:17" x14ac:dyDescent="0.3">
      <c r="A824" t="str">
        <f>Orders!A824</f>
        <v>ORD-00823</v>
      </c>
      <c r="B824">
        <f>Orders!B824</f>
        <v>45409</v>
      </c>
      <c r="C824">
        <f>Orders!I824</f>
        <v>11338.65</v>
      </c>
      <c r="D824" t="str">
        <f>Orders!E824</f>
        <v>R023</v>
      </c>
      <c r="E824" t="str">
        <f>IFERROR(VLOOKUP(Orders!D824,Products!$A$2:$C$61,3,FALSE),"Unknown")</f>
        <v>Grocery</v>
      </c>
      <c r="F824" t="str">
        <f>IFERROR(VLOOKUP(Orders!C824,Customers!$A$2:$E$301,5,FALSE),"Unknown")</f>
        <v>Unknown</v>
      </c>
      <c r="G824" t="str">
        <f>IFERROR(VLOOKUP(Orders!C824,Customers!$A$2:$C$301,3,FALSE),"")</f>
        <v/>
      </c>
      <c r="H824" t="str">
        <f>VLOOKUP(D824,Sales_Reps!$A$2:$C$31,3,FALSE)</f>
        <v>East</v>
      </c>
      <c r="I824" s="44">
        <f t="shared" si="27"/>
        <v>45383</v>
      </c>
      <c r="L824" t="str">
        <f>Orders!K824</f>
        <v>Mumbai</v>
      </c>
      <c r="M824">
        <f>Orders!G824</f>
        <v>2270</v>
      </c>
      <c r="N824">
        <f>IFERROR(VLOOKUP(Orders!D824,Products!$A$2:$D$61,4,FALSE),"")</f>
        <v>1203</v>
      </c>
      <c r="O824">
        <f t="shared" si="28"/>
        <v>0.47004405286343615</v>
      </c>
      <c r="Q824" t="str">
        <f>Orders!D824</f>
        <v>PROD-024</v>
      </c>
    </row>
    <row r="825" spans="1:17" x14ac:dyDescent="0.3">
      <c r="A825" t="str">
        <f>Orders!A825</f>
        <v>ORD-00824</v>
      </c>
      <c r="B825">
        <f>Orders!B825</f>
        <v>45465</v>
      </c>
      <c r="C825">
        <f>Orders!I825</f>
        <v>32703.93</v>
      </c>
      <c r="D825" t="str">
        <f>Orders!E825</f>
        <v>R020</v>
      </c>
      <c r="E825" t="str">
        <f>IFERROR(VLOOKUP(Orders!D825,Products!$A$2:$C$61,3,FALSE),"Unknown")</f>
        <v>Home</v>
      </c>
      <c r="F825" t="str">
        <f>IFERROR(VLOOKUP(Orders!C825,Customers!$A$2:$E$301,5,FALSE),"Unknown")</f>
        <v>Corporate</v>
      </c>
      <c r="G825">
        <f>IFERROR(VLOOKUP(Orders!C825,Customers!$A$2:$C$301,3,FALSE),"")</f>
        <v>41</v>
      </c>
      <c r="H825" t="str">
        <f>VLOOKUP(D825,Sales_Reps!$A$2:$C$31,3,FALSE)</f>
        <v>East</v>
      </c>
      <c r="I825" s="44">
        <f t="shared" si="27"/>
        <v>45444</v>
      </c>
      <c r="L825" t="str">
        <f>Orders!K825</f>
        <v>Bengaluru</v>
      </c>
      <c r="M825">
        <f>Orders!G825</f>
        <v>5490</v>
      </c>
      <c r="N825">
        <f>IFERROR(VLOOKUP(Orders!D825,Products!$A$2:$D$61,4,FALSE),"")</f>
        <v>2549</v>
      </c>
      <c r="O825">
        <f t="shared" si="28"/>
        <v>0.53570127504553733</v>
      </c>
      <c r="Q825" t="str">
        <f>Orders!D825</f>
        <v>PROD-038</v>
      </c>
    </row>
    <row r="826" spans="1:17" x14ac:dyDescent="0.3">
      <c r="A826" t="str">
        <f>Orders!A826</f>
        <v>ORD-00825</v>
      </c>
      <c r="B826">
        <f>Orders!B826</f>
        <v>45415</v>
      </c>
      <c r="C826">
        <f>Orders!I826</f>
        <v>16776.45</v>
      </c>
      <c r="D826" t="str">
        <f>Orders!E826</f>
        <v>R009</v>
      </c>
      <c r="E826" t="str">
        <f>IFERROR(VLOOKUP(Orders!D826,Products!$A$2:$C$61,3,FALSE),"Unknown")</f>
        <v>Electronics</v>
      </c>
      <c r="F826" t="str">
        <f>IFERROR(VLOOKUP(Orders!C826,Customers!$A$2:$E$301,5,FALSE),"Unknown")</f>
        <v>SMB</v>
      </c>
      <c r="G826">
        <f>IFERROR(VLOOKUP(Orders!C826,Customers!$A$2:$C$301,3,FALSE),"")</f>
        <v>35</v>
      </c>
      <c r="H826" t="str">
        <f>VLOOKUP(D826,Sales_Reps!$A$2:$C$31,3,FALSE)</f>
        <v>South</v>
      </c>
      <c r="I826" s="44">
        <f t="shared" si="27"/>
        <v>45413</v>
      </c>
      <c r="L826" t="str">
        <f>Orders!K826</f>
        <v>Pune</v>
      </c>
      <c r="M826">
        <f>Orders!G826</f>
        <v>3870</v>
      </c>
      <c r="N826">
        <f>IFERROR(VLOOKUP(Orders!D826,Products!$A$2:$D$61,4,FALSE),"")</f>
        <v>1559</v>
      </c>
      <c r="O826">
        <f t="shared" si="28"/>
        <v>0.59715762273901807</v>
      </c>
      <c r="Q826" t="str">
        <f>Orders!D826</f>
        <v>PROD-004</v>
      </c>
    </row>
    <row r="827" spans="1:17" x14ac:dyDescent="0.3">
      <c r="A827" t="str">
        <f>Orders!A827</f>
        <v>ORD-00826</v>
      </c>
      <c r="B827">
        <f>Orders!B827</f>
        <v>45372</v>
      </c>
      <c r="C827">
        <f>Orders!I827</f>
        <v>1584</v>
      </c>
      <c r="D827" t="str">
        <f>Orders!E827</f>
        <v>R024</v>
      </c>
      <c r="E827" t="str">
        <f>IFERROR(VLOOKUP(Orders!D827,Products!$A$2:$C$61,3,FALSE),"Unknown")</f>
        <v>Beauty</v>
      </c>
      <c r="F827" t="str">
        <f>IFERROR(VLOOKUP(Orders!C827,Customers!$A$2:$E$301,5,FALSE),"Unknown")</f>
        <v>Retail</v>
      </c>
      <c r="G827">
        <f>IFERROR(VLOOKUP(Orders!C827,Customers!$A$2:$C$301,3,FALSE),"")</f>
        <v>28</v>
      </c>
      <c r="H827" t="str">
        <f>VLOOKUP(D827,Sales_Reps!$A$2:$C$31,3,FALSE)</f>
        <v>West</v>
      </c>
      <c r="I827" s="44">
        <f t="shared" si="27"/>
        <v>45352</v>
      </c>
      <c r="L827" t="str">
        <f>Orders!K827</f>
        <v>Hyderabad</v>
      </c>
      <c r="M827">
        <f>Orders!G827</f>
        <v>960</v>
      </c>
      <c r="N827">
        <f>IFERROR(VLOOKUP(Orders!D827,Products!$A$2:$D$61,4,FALSE),"")</f>
        <v>675</v>
      </c>
      <c r="O827">
        <f t="shared" si="28"/>
        <v>0.296875</v>
      </c>
      <c r="Q827" t="str">
        <f>Orders!D827</f>
        <v>PROD-049</v>
      </c>
    </row>
    <row r="828" spans="1:17" x14ac:dyDescent="0.3">
      <c r="A828" t="str">
        <f>Orders!A828</f>
        <v>ORD-00827</v>
      </c>
      <c r="B828">
        <f>Orders!B828</f>
        <v>45405</v>
      </c>
      <c r="C828">
        <f>Orders!I828</f>
        <v>17138.560000000001</v>
      </c>
      <c r="D828" t="str">
        <f>Orders!E828</f>
        <v>R001</v>
      </c>
      <c r="E828" t="str">
        <f>IFERROR(VLOOKUP(Orders!D828,Products!$A$2:$C$61,3,FALSE),"Unknown")</f>
        <v>Beauty</v>
      </c>
      <c r="F828" t="str">
        <f>IFERROR(VLOOKUP(Orders!C828,Customers!$A$2:$E$301,5,FALSE),"Unknown")</f>
        <v>Retail</v>
      </c>
      <c r="G828">
        <f>IFERROR(VLOOKUP(Orders!C828,Customers!$A$2:$C$301,3,FALSE),"")</f>
        <v>37</v>
      </c>
      <c r="H828" t="str">
        <f>VLOOKUP(D828,Sales_Reps!$A$2:$C$31,3,FALSE)</f>
        <v>North</v>
      </c>
      <c r="I828" s="44">
        <f t="shared" si="27"/>
        <v>45383</v>
      </c>
      <c r="L828" t="str">
        <f>Orders!K828</f>
        <v>Mumbai</v>
      </c>
      <c r="M828">
        <f>Orders!G828</f>
        <v>4880</v>
      </c>
      <c r="N828">
        <f>IFERROR(VLOOKUP(Orders!D828,Products!$A$2:$D$61,4,FALSE),"")</f>
        <v>2768</v>
      </c>
      <c r="O828">
        <f t="shared" si="28"/>
        <v>0.43278688524590164</v>
      </c>
      <c r="Q828" t="str">
        <f>Orders!D828</f>
        <v>PROD-046</v>
      </c>
    </row>
    <row r="829" spans="1:17" x14ac:dyDescent="0.3">
      <c r="A829" t="str">
        <f>Orders!A829</f>
        <v>ORD-00828</v>
      </c>
      <c r="B829">
        <f>Orders!B829</f>
        <v>45419</v>
      </c>
      <c r="C829">
        <f>Orders!I829</f>
        <v>10200</v>
      </c>
      <c r="D829" t="str">
        <f>Orders!E829</f>
        <v>R008</v>
      </c>
      <c r="E829" t="str">
        <f>IFERROR(VLOOKUP(Orders!D829,Products!$A$2:$C$61,3,FALSE),"Unknown")</f>
        <v>Sports</v>
      </c>
      <c r="F829" t="str">
        <f>IFERROR(VLOOKUP(Orders!C829,Customers!$A$2:$E$301,5,FALSE),"Unknown")</f>
        <v>SMB</v>
      </c>
      <c r="G829">
        <f>IFERROR(VLOOKUP(Orders!C829,Customers!$A$2:$C$301,3,FALSE),"")</f>
        <v>27</v>
      </c>
      <c r="H829" t="str">
        <f>VLOOKUP(D829,Sales_Reps!$A$2:$C$31,3,FALSE)</f>
        <v>North</v>
      </c>
      <c r="I829" s="44">
        <f t="shared" si="27"/>
        <v>45413</v>
      </c>
      <c r="L829" t="str">
        <f>Orders!K829</f>
        <v>Mumbai</v>
      </c>
      <c r="M829">
        <f>Orders!G829</f>
        <v>2400</v>
      </c>
      <c r="N829">
        <f>IFERROR(VLOOKUP(Orders!D829,Products!$A$2:$D$61,4,FALSE),"")</f>
        <v>974</v>
      </c>
      <c r="O829">
        <f t="shared" si="28"/>
        <v>0.59416666666666662</v>
      </c>
      <c r="Q829" t="str">
        <f>Orders!D829</f>
        <v>PROD-058</v>
      </c>
    </row>
    <row r="830" spans="1:17" x14ac:dyDescent="0.3">
      <c r="A830" t="str">
        <f>Orders!A830</f>
        <v>ORD-00829</v>
      </c>
      <c r="B830">
        <f>Orders!B830</f>
        <v>45522</v>
      </c>
      <c r="C830">
        <f>Orders!I830</f>
        <v>4441.68</v>
      </c>
      <c r="D830" t="str">
        <f>Orders!E830</f>
        <v>R015</v>
      </c>
      <c r="E830" t="str">
        <f>IFERROR(VLOOKUP(Orders!D830,Products!$A$2:$C$61,3,FALSE),"Unknown")</f>
        <v>Apparel</v>
      </c>
      <c r="F830" t="str">
        <f>IFERROR(VLOOKUP(Orders!C830,Customers!$A$2:$E$301,5,FALSE),"Unknown")</f>
        <v>SMB</v>
      </c>
      <c r="G830">
        <f>IFERROR(VLOOKUP(Orders!C830,Customers!$A$2:$C$301,3,FALSE),"")</f>
        <v>54</v>
      </c>
      <c r="H830" t="str">
        <f>VLOOKUP(D830,Sales_Reps!$A$2:$C$31,3,FALSE)</f>
        <v>South</v>
      </c>
      <c r="I830" s="44">
        <f t="shared" si="27"/>
        <v>45505</v>
      </c>
      <c r="L830" t="str">
        <f>Orders!K830</f>
        <v>Pune</v>
      </c>
      <c r="M830">
        <f>Orders!G830</f>
        <v>620</v>
      </c>
      <c r="N830">
        <f>IFERROR(VLOOKUP(Orders!D830,Products!$A$2:$D$61,4,FALSE),"")</f>
        <v>396</v>
      </c>
      <c r="O830">
        <f t="shared" si="28"/>
        <v>0.36129032258064514</v>
      </c>
      <c r="Q830" t="str">
        <f>Orders!D830</f>
        <v>PROD-016</v>
      </c>
    </row>
    <row r="831" spans="1:17" x14ac:dyDescent="0.3">
      <c r="A831" t="str">
        <f>Orders!A831</f>
        <v>ORD-00830</v>
      </c>
      <c r="B831">
        <f>Orders!B831</f>
        <v>45513</v>
      </c>
      <c r="C831">
        <f>Orders!I831</f>
        <v>4527.0200000000004</v>
      </c>
      <c r="D831" t="str">
        <f>Orders!E831</f>
        <v>R013</v>
      </c>
      <c r="E831" t="str">
        <f>IFERROR(VLOOKUP(Orders!D831,Products!$A$2:$C$61,3,FALSE),"Unknown")</f>
        <v>Home</v>
      </c>
      <c r="F831" t="str">
        <f>IFERROR(VLOOKUP(Orders!C831,Customers!$A$2:$E$301,5,FALSE),"Unknown")</f>
        <v>Retail</v>
      </c>
      <c r="G831">
        <f>IFERROR(VLOOKUP(Orders!C831,Customers!$A$2:$C$301,3,FALSE),"")</f>
        <v>36</v>
      </c>
      <c r="H831" t="str">
        <f>VLOOKUP(D831,Sales_Reps!$A$2:$C$31,3,FALSE)</f>
        <v>South</v>
      </c>
      <c r="I831" s="44">
        <f t="shared" si="27"/>
        <v>45505</v>
      </c>
      <c r="L831" t="str">
        <f>Orders!K831</f>
        <v>Pune</v>
      </c>
      <c r="M831">
        <f>Orders!G831</f>
        <v>4610</v>
      </c>
      <c r="N831">
        <f>IFERROR(VLOOKUP(Orders!D831,Products!$A$2:$D$61,4,FALSE),"")</f>
        <v>1850</v>
      </c>
      <c r="O831">
        <f t="shared" si="28"/>
        <v>0.59869848156182215</v>
      </c>
      <c r="Q831" t="str">
        <f>Orders!D831</f>
        <v>PROD-039</v>
      </c>
    </row>
    <row r="832" spans="1:17" x14ac:dyDescent="0.3">
      <c r="A832" t="str">
        <f>Orders!A832</f>
        <v>ORD-00831</v>
      </c>
      <c r="B832">
        <f>Orders!B832</f>
        <v>45500</v>
      </c>
      <c r="C832">
        <f>Orders!I832</f>
        <v>23557.1</v>
      </c>
      <c r="D832" t="str">
        <f>Orders!E832</f>
        <v>R014</v>
      </c>
      <c r="E832" t="str">
        <f>IFERROR(VLOOKUP(Orders!D832,Products!$A$2:$C$61,3,FALSE),"Unknown")</f>
        <v>Home</v>
      </c>
      <c r="F832" t="str">
        <f>IFERROR(VLOOKUP(Orders!C832,Customers!$A$2:$E$301,5,FALSE),"Unknown")</f>
        <v>SMB</v>
      </c>
      <c r="G832">
        <f>IFERROR(VLOOKUP(Orders!C832,Customers!$A$2:$C$301,3,FALSE),"")</f>
        <v>51</v>
      </c>
      <c r="H832" t="str">
        <f>VLOOKUP(D832,Sales_Reps!$A$2:$C$31,3,FALSE)</f>
        <v>South</v>
      </c>
      <c r="I832" s="44">
        <f t="shared" si="27"/>
        <v>45474</v>
      </c>
      <c r="L832" t="str">
        <f>Orders!K832</f>
        <v>Chennai</v>
      </c>
      <c r="M832">
        <f>Orders!G832</f>
        <v>4610</v>
      </c>
      <c r="N832">
        <f>IFERROR(VLOOKUP(Orders!D832,Products!$A$2:$D$61,4,FALSE),"")</f>
        <v>1850</v>
      </c>
      <c r="O832">
        <f t="shared" si="28"/>
        <v>0.59869848156182215</v>
      </c>
      <c r="Q832" t="str">
        <f>Orders!D832</f>
        <v>PROD-039</v>
      </c>
    </row>
    <row r="833" spans="1:17" x14ac:dyDescent="0.3">
      <c r="A833" t="str">
        <f>Orders!A833</f>
        <v>ORD-00832</v>
      </c>
      <c r="B833">
        <f>Orders!B833</f>
        <v>45608</v>
      </c>
      <c r="C833">
        <f>Orders!I833</f>
        <v>5546.46</v>
      </c>
      <c r="D833" t="str">
        <f>Orders!E833</f>
        <v>R029</v>
      </c>
      <c r="E833" t="str">
        <f>IFERROR(VLOOKUP(Orders!D833,Products!$A$2:$C$61,3,FALSE),"Unknown")</f>
        <v>Grocery</v>
      </c>
      <c r="F833" t="str">
        <f>IFERROR(VLOOKUP(Orders!C833,Customers!$A$2:$E$301,5,FALSE),"Unknown")</f>
        <v>SMB</v>
      </c>
      <c r="G833">
        <f>IFERROR(VLOOKUP(Orders!C833,Customers!$A$2:$C$301,3,FALSE),"")</f>
        <v>31</v>
      </c>
      <c r="H833" t="str">
        <f>VLOOKUP(D833,Sales_Reps!$A$2:$C$31,3,FALSE)</f>
        <v>West</v>
      </c>
      <c r="I833" s="44">
        <f t="shared" si="27"/>
        <v>45597</v>
      </c>
      <c r="L833" t="str">
        <f>Orders!K833</f>
        <v>Hyderabad</v>
      </c>
      <c r="M833">
        <f>Orders!G833</f>
        <v>970</v>
      </c>
      <c r="N833">
        <f>IFERROR(VLOOKUP(Orders!D833,Products!$A$2:$D$61,4,FALSE),"")</f>
        <v>434</v>
      </c>
      <c r="O833">
        <f t="shared" si="28"/>
        <v>0.5525773195876289</v>
      </c>
      <c r="Q833" t="str">
        <f>Orders!D833</f>
        <v>PROD-030</v>
      </c>
    </row>
    <row r="834" spans="1:17" x14ac:dyDescent="0.3">
      <c r="A834" t="str">
        <f>Orders!A834</f>
        <v>ORD-00833</v>
      </c>
      <c r="B834">
        <f>Orders!B834</f>
        <v>45362</v>
      </c>
      <c r="C834">
        <f>Orders!I834</f>
        <v>10444.719999999999</v>
      </c>
      <c r="D834" t="str">
        <f>Orders!E834</f>
        <v>R026</v>
      </c>
      <c r="E834" t="str">
        <f>IFERROR(VLOOKUP(Orders!D834,Products!$A$2:$C$61,3,FALSE),"Unknown")</f>
        <v>Electronics</v>
      </c>
      <c r="F834" t="str">
        <f>IFERROR(VLOOKUP(Orders!C834,Customers!$A$2:$E$301,5,FALSE),"Unknown")</f>
        <v>Corporate</v>
      </c>
      <c r="G834">
        <f>IFERROR(VLOOKUP(Orders!C834,Customers!$A$2:$C$301,3,FALSE),"")</f>
        <v>35</v>
      </c>
      <c r="H834" t="str">
        <f>VLOOKUP(D834,Sales_Reps!$A$2:$C$31,3,FALSE)</f>
        <v>West</v>
      </c>
      <c r="I834" s="44">
        <f t="shared" si="27"/>
        <v>45352</v>
      </c>
      <c r="L834" t="str">
        <f>Orders!K834</f>
        <v>Chennai</v>
      </c>
      <c r="M834">
        <f>Orders!G834</f>
        <v>1430</v>
      </c>
      <c r="N834">
        <f>IFERROR(VLOOKUP(Orders!D834,Products!$A$2:$D$61,4,FALSE),"")</f>
        <v>861</v>
      </c>
      <c r="O834">
        <f t="shared" si="28"/>
        <v>0.39790209790209791</v>
      </c>
      <c r="Q834" t="str">
        <f>Orders!D834</f>
        <v>PROD-007</v>
      </c>
    </row>
    <row r="835" spans="1:17" x14ac:dyDescent="0.3">
      <c r="A835" t="str">
        <f>Orders!A835</f>
        <v>ORD-00834</v>
      </c>
      <c r="B835">
        <f>Orders!B835</f>
        <v>45348</v>
      </c>
      <c r="C835">
        <f>Orders!I835</f>
        <v>18351.900000000001</v>
      </c>
      <c r="D835" t="str">
        <f>Orders!E835</f>
        <v>R011</v>
      </c>
      <c r="E835" t="str">
        <f>IFERROR(VLOOKUP(Orders!D835,Products!$A$2:$C$61,3,FALSE),"Unknown")</f>
        <v>Grocery</v>
      </c>
      <c r="F835" t="str">
        <f>IFERROR(VLOOKUP(Orders!C835,Customers!$A$2:$E$301,5,FALSE),"Unknown")</f>
        <v>SMB</v>
      </c>
      <c r="G835">
        <f>IFERROR(VLOOKUP(Orders!C835,Customers!$A$2:$C$301,3,FALSE),"")</f>
        <v>50</v>
      </c>
      <c r="H835" t="str">
        <f>VLOOKUP(D835,Sales_Reps!$A$2:$C$31,3,FALSE)</f>
        <v>South</v>
      </c>
      <c r="I835" s="44">
        <f t="shared" ref="I835:I898" si="29">DATE(YEAR(B835),MONTH(B835),1)</f>
        <v>45323</v>
      </c>
      <c r="L835" t="str">
        <f>Orders!K835</f>
        <v>Delhi</v>
      </c>
      <c r="M835">
        <f>Orders!G835</f>
        <v>3780</v>
      </c>
      <c r="N835">
        <f>IFERROR(VLOOKUP(Orders!D835,Products!$A$2:$D$61,4,FALSE),"")</f>
        <v>2436</v>
      </c>
      <c r="O835">
        <f t="shared" ref="O835:O898" si="30">IF(OR(N835="",M835&lt;=0),"",(M835-N835)/M835)</f>
        <v>0.35555555555555557</v>
      </c>
      <c r="Q835" t="str">
        <f>Orders!D835</f>
        <v>PROD-027</v>
      </c>
    </row>
    <row r="836" spans="1:17" x14ac:dyDescent="0.3">
      <c r="A836" t="str">
        <f>Orders!A836</f>
        <v>ORD-00835</v>
      </c>
      <c r="B836">
        <f>Orders!B836</f>
        <v>45532</v>
      </c>
      <c r="C836">
        <f>Orders!I836</f>
        <v>2688.84</v>
      </c>
      <c r="D836" t="str">
        <f>Orders!E836</f>
        <v>R023</v>
      </c>
      <c r="E836" t="str">
        <f>IFERROR(VLOOKUP(Orders!D836,Products!$A$2:$C$61,3,FALSE),"Unknown")</f>
        <v>Beauty</v>
      </c>
      <c r="F836" t="str">
        <f>IFERROR(VLOOKUP(Orders!C836,Customers!$A$2:$E$301,5,FALSE),"Unknown")</f>
        <v>SMB</v>
      </c>
      <c r="G836">
        <f>IFERROR(VLOOKUP(Orders!C836,Customers!$A$2:$C$301,3,FALSE),"")</f>
        <v>65</v>
      </c>
      <c r="H836" t="str">
        <f>VLOOKUP(D836,Sales_Reps!$A$2:$C$31,3,FALSE)</f>
        <v>East</v>
      </c>
      <c r="I836" s="44">
        <f t="shared" si="29"/>
        <v>45505</v>
      </c>
      <c r="L836" t="str">
        <f>Orders!K836</f>
        <v>Hyderabad</v>
      </c>
      <c r="M836">
        <f>Orders!G836</f>
        <v>1540</v>
      </c>
      <c r="N836">
        <f>IFERROR(VLOOKUP(Orders!D836,Products!$A$2:$D$61,4,FALSE),"")</f>
        <v>647</v>
      </c>
      <c r="O836">
        <f t="shared" si="30"/>
        <v>0.57987012987012987</v>
      </c>
      <c r="Q836" t="str">
        <f>Orders!D836</f>
        <v>PROD-041</v>
      </c>
    </row>
    <row r="837" spans="1:17" x14ac:dyDescent="0.3">
      <c r="A837" t="str">
        <f>Orders!A837</f>
        <v>ORD-00836</v>
      </c>
      <c r="B837">
        <f>Orders!B837</f>
        <v>45492</v>
      </c>
      <c r="C837">
        <f>Orders!I837</f>
        <v>8631.36</v>
      </c>
      <c r="D837" t="str">
        <f>Orders!E837</f>
        <v>R020</v>
      </c>
      <c r="E837" t="str">
        <f>IFERROR(VLOOKUP(Orders!D837,Products!$A$2:$C$61,3,FALSE),"Unknown")</f>
        <v>Home</v>
      </c>
      <c r="F837" t="str">
        <f>IFERROR(VLOOKUP(Orders!C837,Customers!$A$2:$E$301,5,FALSE),"Unknown")</f>
        <v>Retail</v>
      </c>
      <c r="G837">
        <f>IFERROR(VLOOKUP(Orders!C837,Customers!$A$2:$C$301,3,FALSE),"")</f>
        <v>39</v>
      </c>
      <c r="H837" t="str">
        <f>VLOOKUP(D837,Sales_Reps!$A$2:$C$31,3,FALSE)</f>
        <v>East</v>
      </c>
      <c r="I837" s="44">
        <f t="shared" si="29"/>
        <v>45474</v>
      </c>
      <c r="L837" t="str">
        <f>Orders!K837</f>
        <v>Pune</v>
      </c>
      <c r="M837">
        <f>Orders!G837</f>
        <v>1080</v>
      </c>
      <c r="N837">
        <f>IFERROR(VLOOKUP(Orders!D837,Products!$A$2:$D$61,4,FALSE),"")</f>
        <v>519</v>
      </c>
      <c r="O837">
        <f t="shared" si="30"/>
        <v>0.51944444444444449</v>
      </c>
      <c r="Q837" t="str">
        <f>Orders!D837</f>
        <v>PROD-040</v>
      </c>
    </row>
    <row r="838" spans="1:17" x14ac:dyDescent="0.3">
      <c r="A838" t="str">
        <f>Orders!A838</f>
        <v>ORD-00837</v>
      </c>
      <c r="B838">
        <f>Orders!B838</f>
        <v>45368</v>
      </c>
      <c r="C838">
        <f>Orders!I838</f>
        <v>5140.8</v>
      </c>
      <c r="D838" t="str">
        <f>Orders!E838</f>
        <v>R007</v>
      </c>
      <c r="E838" t="str">
        <f>IFERROR(VLOOKUP(Orders!D838,Products!$A$2:$C$61,3,FALSE),"Unknown")</f>
        <v>Sports</v>
      </c>
      <c r="F838" t="str">
        <f>IFERROR(VLOOKUP(Orders!C838,Customers!$A$2:$E$301,5,FALSE),"Unknown")</f>
        <v>Retail</v>
      </c>
      <c r="G838">
        <f>IFERROR(VLOOKUP(Orders!C838,Customers!$A$2:$C$301,3,FALSE),"")</f>
        <v>65</v>
      </c>
      <c r="H838" t="str">
        <f>VLOOKUP(D838,Sales_Reps!$A$2:$C$31,3,FALSE)</f>
        <v>North</v>
      </c>
      <c r="I838" s="44">
        <f t="shared" si="29"/>
        <v>45352</v>
      </c>
      <c r="L838" t="str">
        <f>Orders!K838</f>
        <v>Pune</v>
      </c>
      <c r="M838">
        <f>Orders!G838</f>
        <v>2400</v>
      </c>
      <c r="N838">
        <f>IFERROR(VLOOKUP(Orders!D838,Products!$A$2:$D$61,4,FALSE),"")</f>
        <v>974</v>
      </c>
      <c r="O838">
        <f t="shared" si="30"/>
        <v>0.59416666666666662</v>
      </c>
      <c r="Q838" t="str">
        <f>Orders!D838</f>
        <v>PROD-058</v>
      </c>
    </row>
    <row r="839" spans="1:17" x14ac:dyDescent="0.3">
      <c r="A839" t="str">
        <f>Orders!A839</f>
        <v>ORD-00838</v>
      </c>
      <c r="B839">
        <f>Orders!B839</f>
        <v>45448</v>
      </c>
      <c r="C839">
        <f>Orders!I839</f>
        <v>4411.8</v>
      </c>
      <c r="D839" t="str">
        <f>Orders!E839</f>
        <v>R018</v>
      </c>
      <c r="E839" t="str">
        <f>IFERROR(VLOOKUP(Orders!D839,Products!$A$2:$C$61,3,FALSE),"Unknown")</f>
        <v>Home</v>
      </c>
      <c r="F839" t="str">
        <f>IFERROR(VLOOKUP(Orders!C839,Customers!$A$2:$E$301,5,FALSE),"Unknown")</f>
        <v>SMB</v>
      </c>
      <c r="G839">
        <f>IFERROR(VLOOKUP(Orders!C839,Customers!$A$2:$C$301,3,FALSE),"")</f>
        <v>46</v>
      </c>
      <c r="H839" t="str">
        <f>VLOOKUP(D839,Sales_Reps!$A$2:$C$31,3,FALSE)</f>
        <v>East</v>
      </c>
      <c r="I839" s="44">
        <f t="shared" si="29"/>
        <v>45444</v>
      </c>
      <c r="L839" t="str">
        <f>Orders!K839</f>
        <v>Bengaluru</v>
      </c>
      <c r="M839">
        <f>Orders!G839</f>
        <v>1080</v>
      </c>
      <c r="N839">
        <f>IFERROR(VLOOKUP(Orders!D839,Products!$A$2:$D$61,4,FALSE),"")</f>
        <v>519</v>
      </c>
      <c r="O839">
        <f t="shared" si="30"/>
        <v>0.51944444444444449</v>
      </c>
      <c r="Q839" t="str">
        <f>Orders!D839</f>
        <v>PROD-040</v>
      </c>
    </row>
    <row r="840" spans="1:17" x14ac:dyDescent="0.3">
      <c r="A840" t="str">
        <f>Orders!A840</f>
        <v>ORD-00839</v>
      </c>
      <c r="B840">
        <f>Orders!B840</f>
        <v>45610</v>
      </c>
      <c r="C840">
        <f>Orders!I840</f>
        <v>15619.87</v>
      </c>
      <c r="D840" t="str">
        <f>Orders!E840</f>
        <v>R027</v>
      </c>
      <c r="E840" t="str">
        <f>IFERROR(VLOOKUP(Orders!D840,Products!$A$2:$C$61,3,FALSE),"Unknown")</f>
        <v>Grocery</v>
      </c>
      <c r="F840" t="str">
        <f>IFERROR(VLOOKUP(Orders!C840,Customers!$A$2:$E$301,5,FALSE),"Unknown")</f>
        <v>SMB</v>
      </c>
      <c r="G840">
        <f>IFERROR(VLOOKUP(Orders!C840,Customers!$A$2:$C$301,3,FALSE),"")</f>
        <v>51</v>
      </c>
      <c r="H840" t="str">
        <f>VLOOKUP(D840,Sales_Reps!$A$2:$C$31,3,FALSE)</f>
        <v>West</v>
      </c>
      <c r="I840" s="44">
        <f t="shared" si="29"/>
        <v>45597</v>
      </c>
      <c r="L840" t="str">
        <f>Orders!K840</f>
        <v>Chennai</v>
      </c>
      <c r="M840">
        <f>Orders!G840</f>
        <v>2270</v>
      </c>
      <c r="N840">
        <f>IFERROR(VLOOKUP(Orders!D840,Products!$A$2:$D$61,4,FALSE),"")</f>
        <v>1203</v>
      </c>
      <c r="O840">
        <f t="shared" si="30"/>
        <v>0.47004405286343615</v>
      </c>
      <c r="Q840" t="str">
        <f>Orders!D840</f>
        <v>PROD-024</v>
      </c>
    </row>
    <row r="841" spans="1:17" x14ac:dyDescent="0.3">
      <c r="A841" t="str">
        <f>Orders!A841</f>
        <v>ORD-00840</v>
      </c>
      <c r="B841">
        <f>Orders!B841</f>
        <v>45438</v>
      </c>
      <c r="C841">
        <f>Orders!I841</f>
        <v>23687.52</v>
      </c>
      <c r="D841" t="str">
        <f>Orders!E841</f>
        <v>R026</v>
      </c>
      <c r="E841" t="str">
        <f>IFERROR(VLOOKUP(Orders!D841,Products!$A$2:$C$61,3,FALSE),"Unknown")</f>
        <v>Grocery</v>
      </c>
      <c r="F841" t="str">
        <f>IFERROR(VLOOKUP(Orders!C841,Customers!$A$2:$E$301,5,FALSE),"Unknown")</f>
        <v>SMB</v>
      </c>
      <c r="G841">
        <f>IFERROR(VLOOKUP(Orders!C841,Customers!$A$2:$C$301,3,FALSE),"")</f>
        <v>27</v>
      </c>
      <c r="H841" t="str">
        <f>VLOOKUP(D841,Sales_Reps!$A$2:$C$31,3,FALSE)</f>
        <v>West</v>
      </c>
      <c r="I841" s="44">
        <f t="shared" si="29"/>
        <v>45413</v>
      </c>
      <c r="L841" t="str">
        <f>Orders!K841</f>
        <v>Mumbai</v>
      </c>
      <c r="M841">
        <f>Orders!G841</f>
        <v>3660</v>
      </c>
      <c r="N841">
        <f>IFERROR(VLOOKUP(Orders!D841,Products!$A$2:$D$61,4,FALSE),"")</f>
        <v>2214</v>
      </c>
      <c r="O841">
        <f t="shared" si="30"/>
        <v>0.39508196721311473</v>
      </c>
      <c r="Q841" t="str">
        <f>Orders!D841</f>
        <v>PROD-028</v>
      </c>
    </row>
    <row r="842" spans="1:17" x14ac:dyDescent="0.3">
      <c r="A842" t="str">
        <f>Orders!A842</f>
        <v>ORD-00841</v>
      </c>
      <c r="B842">
        <f>Orders!B842</f>
        <v>45477</v>
      </c>
      <c r="C842">
        <f>Orders!I842</f>
        <v>14153.75</v>
      </c>
      <c r="D842" t="str">
        <f>Orders!E842</f>
        <v>R003</v>
      </c>
      <c r="E842" t="str">
        <f>IFERROR(VLOOKUP(Orders!D842,Products!$A$2:$C$61,3,FALSE),"Unknown")</f>
        <v>Home</v>
      </c>
      <c r="F842" t="str">
        <f>IFERROR(VLOOKUP(Orders!C842,Customers!$A$2:$E$301,5,FALSE),"Unknown")</f>
        <v>SMB</v>
      </c>
      <c r="G842">
        <f>IFERROR(VLOOKUP(Orders!C842,Customers!$A$2:$C$301,3,FALSE),"")</f>
        <v>48</v>
      </c>
      <c r="H842" t="str">
        <f>VLOOKUP(D842,Sales_Reps!$A$2:$C$31,3,FALSE)</f>
        <v>North</v>
      </c>
      <c r="I842" s="44">
        <f t="shared" si="29"/>
        <v>45474</v>
      </c>
      <c r="L842" t="str">
        <f>Orders!K842</f>
        <v>Delhi</v>
      </c>
      <c r="M842">
        <f>Orders!G842</f>
        <v>3250</v>
      </c>
      <c r="N842">
        <f>IFERROR(VLOOKUP(Orders!D842,Products!$A$2:$D$61,4,FALSE),"")</f>
        <v>1556</v>
      </c>
      <c r="O842">
        <f t="shared" si="30"/>
        <v>0.52123076923076928</v>
      </c>
      <c r="Q842" t="str">
        <f>Orders!D842</f>
        <v>PROD-036</v>
      </c>
    </row>
    <row r="843" spans="1:17" x14ac:dyDescent="0.3">
      <c r="A843" t="str">
        <f>Orders!A843</f>
        <v>ORD-00842</v>
      </c>
      <c r="B843">
        <f>Orders!B843</f>
        <v>45328</v>
      </c>
      <c r="C843">
        <f>Orders!I843</f>
        <v>6329.4</v>
      </c>
      <c r="D843" t="str">
        <f>Orders!E843</f>
        <v>R012</v>
      </c>
      <c r="E843" t="str">
        <f>IFERROR(VLOOKUP(Orders!D843,Products!$A$2:$C$61,3,FALSE),"Unknown")</f>
        <v>Beauty</v>
      </c>
      <c r="F843" t="str">
        <f>IFERROR(VLOOKUP(Orders!C843,Customers!$A$2:$E$301,5,FALSE),"Unknown")</f>
        <v>SMB</v>
      </c>
      <c r="G843">
        <f>IFERROR(VLOOKUP(Orders!C843,Customers!$A$2:$C$301,3,FALSE),"")</f>
        <v>24</v>
      </c>
      <c r="H843" t="str">
        <f>VLOOKUP(D843,Sales_Reps!$A$2:$C$31,3,FALSE)</f>
        <v>South</v>
      </c>
      <c r="I843" s="44">
        <f t="shared" si="29"/>
        <v>45323</v>
      </c>
      <c r="L843" t="str">
        <f>Orders!K843</f>
        <v>Pune</v>
      </c>
      <c r="M843">
        <f>Orders!G843</f>
        <v>1650</v>
      </c>
      <c r="N843">
        <f>IFERROR(VLOOKUP(Orders!D843,Products!$A$2:$D$61,4,FALSE),"")</f>
        <v>1222</v>
      </c>
      <c r="O843">
        <f t="shared" si="30"/>
        <v>0.2593939393939394</v>
      </c>
      <c r="Q843" t="str">
        <f>Orders!D843</f>
        <v>PROD-044</v>
      </c>
    </row>
    <row r="844" spans="1:17" x14ac:dyDescent="0.3">
      <c r="A844" t="str">
        <f>Orders!A844</f>
        <v>ORD-00843</v>
      </c>
      <c r="B844">
        <f>Orders!B844</f>
        <v>45624</v>
      </c>
      <c r="C844">
        <f>Orders!I844</f>
        <v>29565.599999999999</v>
      </c>
      <c r="D844" t="str">
        <f>Orders!E844</f>
        <v>R003</v>
      </c>
      <c r="E844" t="str">
        <f>IFERROR(VLOOKUP(Orders!D844,Products!$A$2:$C$61,3,FALSE),"Unknown")</f>
        <v>Home</v>
      </c>
      <c r="F844" t="str">
        <f>IFERROR(VLOOKUP(Orders!C844,Customers!$A$2:$E$301,5,FALSE),"Unknown")</f>
        <v>SMB</v>
      </c>
      <c r="G844">
        <f>IFERROR(VLOOKUP(Orders!C844,Customers!$A$2:$C$301,3,FALSE),"")</f>
        <v>43</v>
      </c>
      <c r="H844" t="str">
        <f>VLOOKUP(D844,Sales_Reps!$A$2:$C$31,3,FALSE)</f>
        <v>North</v>
      </c>
      <c r="I844" s="44">
        <f t="shared" si="29"/>
        <v>45597</v>
      </c>
      <c r="L844" t="str">
        <f>Orders!K844</f>
        <v>Hyderabad</v>
      </c>
      <c r="M844">
        <f>Orders!G844</f>
        <v>5080</v>
      </c>
      <c r="N844">
        <f>IFERROR(VLOOKUP(Orders!D844,Products!$A$2:$D$61,4,FALSE),"")</f>
        <v>2459</v>
      </c>
      <c r="O844">
        <f t="shared" si="30"/>
        <v>0.51594488188976373</v>
      </c>
      <c r="Q844" t="str">
        <f>Orders!D844</f>
        <v>PROD-034</v>
      </c>
    </row>
    <row r="845" spans="1:17" x14ac:dyDescent="0.3">
      <c r="A845" t="str">
        <f>Orders!A845</f>
        <v>ORD-00844</v>
      </c>
      <c r="B845">
        <f>Orders!B845</f>
        <v>45614</v>
      </c>
      <c r="C845">
        <f>Orders!I845</f>
        <v>21831.599999999999</v>
      </c>
      <c r="D845" t="str">
        <f>Orders!E845</f>
        <v>R027</v>
      </c>
      <c r="E845" t="str">
        <f>IFERROR(VLOOKUP(Orders!D845,Products!$A$2:$C$61,3,FALSE),"Unknown")</f>
        <v>Sports</v>
      </c>
      <c r="F845" t="str">
        <f>IFERROR(VLOOKUP(Orders!C845,Customers!$A$2:$E$301,5,FALSE),"Unknown")</f>
        <v>Retail</v>
      </c>
      <c r="G845">
        <f>IFERROR(VLOOKUP(Orders!C845,Customers!$A$2:$C$301,3,FALSE),"")</f>
        <v>61</v>
      </c>
      <c r="H845" t="str">
        <f>VLOOKUP(D845,Sales_Reps!$A$2:$C$31,3,FALSE)</f>
        <v>West</v>
      </c>
      <c r="I845" s="44">
        <f t="shared" si="29"/>
        <v>45597</v>
      </c>
      <c r="L845" t="str">
        <f>Orders!K845</f>
        <v>Bengaluru</v>
      </c>
      <c r="M845">
        <f>Orders!G845</f>
        <v>3450</v>
      </c>
      <c r="N845">
        <f>IFERROR(VLOOKUP(Orders!D845,Products!$A$2:$D$61,4,FALSE),"")</f>
        <v>2467</v>
      </c>
      <c r="O845">
        <f t="shared" si="30"/>
        <v>0.28492753623188405</v>
      </c>
      <c r="Q845" t="str">
        <f>Orders!D845</f>
        <v>PROD-051</v>
      </c>
    </row>
    <row r="846" spans="1:17" x14ac:dyDescent="0.3">
      <c r="A846" t="str">
        <f>Orders!A846</f>
        <v>ORD-00845</v>
      </c>
      <c r="B846">
        <f>Orders!B846</f>
        <v>45429</v>
      </c>
      <c r="C846">
        <f>Orders!I846</f>
        <v>15115.2</v>
      </c>
      <c r="D846" t="str">
        <f>Orders!E846</f>
        <v>R018</v>
      </c>
      <c r="E846" t="str">
        <f>IFERROR(VLOOKUP(Orders!D846,Products!$A$2:$C$61,3,FALSE),"Unknown")</f>
        <v>Beauty</v>
      </c>
      <c r="F846" t="str">
        <f>IFERROR(VLOOKUP(Orders!C846,Customers!$A$2:$E$301,5,FALSE),"Unknown")</f>
        <v>Retail</v>
      </c>
      <c r="G846">
        <f>IFERROR(VLOOKUP(Orders!C846,Customers!$A$2:$C$301,3,FALSE),"")</f>
        <v>41</v>
      </c>
      <c r="H846" t="str">
        <f>VLOOKUP(D846,Sales_Reps!$A$2:$C$31,3,FALSE)</f>
        <v>East</v>
      </c>
      <c r="I846" s="44">
        <f t="shared" si="29"/>
        <v>45413</v>
      </c>
      <c r="L846" t="str">
        <f>Orders!K846</f>
        <v>Chennai</v>
      </c>
      <c r="M846">
        <f>Orders!G846</f>
        <v>3350</v>
      </c>
      <c r="N846">
        <f>IFERROR(VLOOKUP(Orders!D846,Products!$A$2:$D$61,4,FALSE),"")</f>
        <v>1728</v>
      </c>
      <c r="O846">
        <f t="shared" si="30"/>
        <v>0.48417910447761192</v>
      </c>
      <c r="Q846" t="str">
        <f>Orders!D846</f>
        <v>PROD-043</v>
      </c>
    </row>
    <row r="847" spans="1:17" x14ac:dyDescent="0.3">
      <c r="A847" t="str">
        <f>Orders!A847</f>
        <v>ORD-00846</v>
      </c>
      <c r="B847">
        <f>Orders!B847</f>
        <v>45451</v>
      </c>
      <c r="C847">
        <f>Orders!I847</f>
        <v>21171.8</v>
      </c>
      <c r="D847" t="str">
        <f>Orders!E847</f>
        <v>R027</v>
      </c>
      <c r="E847" t="str">
        <f>IFERROR(VLOOKUP(Orders!D847,Products!$A$2:$C$61,3,FALSE),"Unknown")</f>
        <v>Grocery</v>
      </c>
      <c r="F847" t="str">
        <f>IFERROR(VLOOKUP(Orders!C847,Customers!$A$2:$E$301,5,FALSE),"Unknown")</f>
        <v>Retail</v>
      </c>
      <c r="G847">
        <f>IFERROR(VLOOKUP(Orders!C847,Customers!$A$2:$C$301,3,FALSE),"")</f>
        <v>31</v>
      </c>
      <c r="H847" t="str">
        <f>VLOOKUP(D847,Sales_Reps!$A$2:$C$31,3,FALSE)</f>
        <v>West</v>
      </c>
      <c r="I847" s="44">
        <f t="shared" si="29"/>
        <v>45444</v>
      </c>
      <c r="L847" t="str">
        <f>Orders!K847</f>
        <v>Hyderabad</v>
      </c>
      <c r="M847">
        <f>Orders!G847</f>
        <v>2210</v>
      </c>
      <c r="N847">
        <f>IFERROR(VLOOKUP(Orders!D847,Products!$A$2:$D$61,4,FALSE),"")</f>
        <v>1010</v>
      </c>
      <c r="O847">
        <f t="shared" si="30"/>
        <v>0.54298642533936647</v>
      </c>
      <c r="Q847" t="str">
        <f>Orders!D847</f>
        <v>PROD-029</v>
      </c>
    </row>
    <row r="848" spans="1:17" x14ac:dyDescent="0.3">
      <c r="A848" t="str">
        <f>Orders!A848</f>
        <v>ORD-00847</v>
      </c>
      <c r="B848">
        <f>Orders!B848</f>
        <v>45444</v>
      </c>
      <c r="C848">
        <f>Orders!I848</f>
        <v>48458.400000000001</v>
      </c>
      <c r="D848" t="str">
        <f>Orders!E848</f>
        <v>R006</v>
      </c>
      <c r="E848" t="str">
        <f>IFERROR(VLOOKUP(Orders!D848,Products!$A$2:$C$61,3,FALSE),"Unknown")</f>
        <v>Beauty</v>
      </c>
      <c r="F848" t="str">
        <f>IFERROR(VLOOKUP(Orders!C848,Customers!$A$2:$E$301,5,FALSE),"Unknown")</f>
        <v>Retail</v>
      </c>
      <c r="G848">
        <f>IFERROR(VLOOKUP(Orders!C848,Customers!$A$2:$C$301,3,FALSE),"")</f>
        <v>43</v>
      </c>
      <c r="H848" t="str">
        <f>VLOOKUP(D848,Sales_Reps!$A$2:$C$31,3,FALSE)</f>
        <v>North</v>
      </c>
      <c r="I848" s="44">
        <f t="shared" si="29"/>
        <v>45444</v>
      </c>
      <c r="L848" t="str">
        <f>Orders!K848</f>
        <v>Delhi</v>
      </c>
      <c r="M848">
        <f>Orders!G848</f>
        <v>4880</v>
      </c>
      <c r="N848">
        <f>IFERROR(VLOOKUP(Orders!D848,Products!$A$2:$D$61,4,FALSE),"")</f>
        <v>2768</v>
      </c>
      <c r="O848">
        <f t="shared" si="30"/>
        <v>0.43278688524590164</v>
      </c>
      <c r="Q848" t="str">
        <f>Orders!D848</f>
        <v>PROD-046</v>
      </c>
    </row>
    <row r="849" spans="1:17" x14ac:dyDescent="0.3">
      <c r="A849" t="str">
        <f>Orders!A849</f>
        <v>ORD-00848</v>
      </c>
      <c r="B849">
        <f>Orders!B849</f>
        <v>45369</v>
      </c>
      <c r="C849">
        <f>Orders!I849</f>
        <v>14394.38</v>
      </c>
      <c r="D849" t="str">
        <f>Orders!E849</f>
        <v>R004</v>
      </c>
      <c r="E849" t="str">
        <f>IFERROR(VLOOKUP(Orders!D849,Products!$A$2:$C$61,3,FALSE),"Unknown")</f>
        <v>Sports</v>
      </c>
      <c r="F849" t="str">
        <f>IFERROR(VLOOKUP(Orders!C849,Customers!$A$2:$E$301,5,FALSE),"Unknown")</f>
        <v>Retail</v>
      </c>
      <c r="G849">
        <f>IFERROR(VLOOKUP(Orders!C849,Customers!$A$2:$C$301,3,FALSE),"")</f>
        <v>49</v>
      </c>
      <c r="H849" t="str">
        <f>VLOOKUP(D849,Sales_Reps!$A$2:$C$31,3,FALSE)</f>
        <v>North</v>
      </c>
      <c r="I849" s="44">
        <f t="shared" si="29"/>
        <v>45352</v>
      </c>
      <c r="L849" t="str">
        <f>Orders!K849</f>
        <v>Chennai</v>
      </c>
      <c r="M849">
        <f>Orders!G849</f>
        <v>2860</v>
      </c>
      <c r="N849">
        <f>IFERROR(VLOOKUP(Orders!D849,Products!$A$2:$D$61,4,FALSE),"")</f>
        <v>2028</v>
      </c>
      <c r="O849">
        <f t="shared" si="30"/>
        <v>0.29090909090909089</v>
      </c>
      <c r="Q849" t="str">
        <f>Orders!D849</f>
        <v>PROD-055</v>
      </c>
    </row>
    <row r="850" spans="1:17" x14ac:dyDescent="0.3">
      <c r="A850" t="str">
        <f>Orders!A850</f>
        <v>ORD-00849</v>
      </c>
      <c r="B850">
        <f>Orders!B850</f>
        <v>45581</v>
      </c>
      <c r="C850">
        <f>Orders!I850</f>
        <v>2086.4699999999998</v>
      </c>
      <c r="D850" t="str">
        <f>Orders!E850</f>
        <v>R005</v>
      </c>
      <c r="E850" t="str">
        <f>IFERROR(VLOOKUP(Orders!D850,Products!$A$2:$C$61,3,FALSE),"Unknown")</f>
        <v>Grocery</v>
      </c>
      <c r="F850" t="str">
        <f>IFERROR(VLOOKUP(Orders!C850,Customers!$A$2:$E$301,5,FALSE),"Unknown")</f>
        <v>Retail</v>
      </c>
      <c r="G850">
        <f>IFERROR(VLOOKUP(Orders!C850,Customers!$A$2:$C$301,3,FALSE),"")</f>
        <v>65</v>
      </c>
      <c r="H850" t="str">
        <f>VLOOKUP(D850,Sales_Reps!$A$2:$C$31,3,FALSE)</f>
        <v>North</v>
      </c>
      <c r="I850" s="44">
        <f t="shared" si="29"/>
        <v>45566</v>
      </c>
      <c r="L850" t="str">
        <f>Orders!K850</f>
        <v>Pune</v>
      </c>
      <c r="M850">
        <f>Orders!G850</f>
        <v>970</v>
      </c>
      <c r="N850">
        <f>IFERROR(VLOOKUP(Orders!D850,Products!$A$2:$D$61,4,FALSE),"")</f>
        <v>434</v>
      </c>
      <c r="O850">
        <f t="shared" si="30"/>
        <v>0.5525773195876289</v>
      </c>
      <c r="Q850" t="str">
        <f>Orders!D850</f>
        <v>PROD-030</v>
      </c>
    </row>
    <row r="851" spans="1:17" x14ac:dyDescent="0.3">
      <c r="A851" t="str">
        <f>Orders!A851</f>
        <v>ORD-00850</v>
      </c>
      <c r="B851">
        <f>Orders!B851</f>
        <v>45494</v>
      </c>
      <c r="C851">
        <f>Orders!I851</f>
        <v>1927.23</v>
      </c>
      <c r="D851" t="str">
        <f>Orders!E851</f>
        <v>R008</v>
      </c>
      <c r="E851" t="str">
        <f>IFERROR(VLOOKUP(Orders!D851,Products!$A$2:$C$61,3,FALSE),"Unknown")</f>
        <v>Grocery</v>
      </c>
      <c r="F851" t="str">
        <f>IFERROR(VLOOKUP(Orders!C851,Customers!$A$2:$E$301,5,FALSE),"Unknown")</f>
        <v>Corporate</v>
      </c>
      <c r="G851">
        <f>IFERROR(VLOOKUP(Orders!C851,Customers!$A$2:$C$301,3,FALSE),"")</f>
        <v>29</v>
      </c>
      <c r="H851" t="str">
        <f>VLOOKUP(D851,Sales_Reps!$A$2:$C$31,3,FALSE)</f>
        <v>North</v>
      </c>
      <c r="I851" s="44">
        <f t="shared" si="29"/>
        <v>45474</v>
      </c>
      <c r="L851" t="str">
        <f>Orders!K851</f>
        <v>Pune</v>
      </c>
      <c r="M851">
        <f>Orders!G851</f>
        <v>2270</v>
      </c>
      <c r="N851">
        <f>IFERROR(VLOOKUP(Orders!D851,Products!$A$2:$D$61,4,FALSE),"")</f>
        <v>1412</v>
      </c>
      <c r="O851">
        <f t="shared" si="30"/>
        <v>0.37797356828193834</v>
      </c>
      <c r="Q851" t="str">
        <f>Orders!D851</f>
        <v>PROD-022</v>
      </c>
    </row>
    <row r="852" spans="1:17" x14ac:dyDescent="0.3">
      <c r="A852" t="str">
        <f>Orders!A852</f>
        <v>ORD-00851</v>
      </c>
      <c r="B852">
        <f>Orders!B852</f>
        <v>45324</v>
      </c>
      <c r="C852">
        <f>Orders!I852</f>
        <v>15753</v>
      </c>
      <c r="D852" t="str">
        <f>Orders!E852</f>
        <v>R015</v>
      </c>
      <c r="E852" t="str">
        <f>IFERROR(VLOOKUP(Orders!D852,Products!$A$2:$C$61,3,FALSE),"Unknown")</f>
        <v>Apparel</v>
      </c>
      <c r="F852" t="str">
        <f>IFERROR(VLOOKUP(Orders!C852,Customers!$A$2:$E$301,5,FALSE),"Unknown")</f>
        <v>SMB</v>
      </c>
      <c r="G852">
        <f>IFERROR(VLOOKUP(Orders!C852,Customers!$A$2:$C$301,3,FALSE),"")</f>
        <v>62</v>
      </c>
      <c r="H852" t="str">
        <f>VLOOKUP(D852,Sales_Reps!$A$2:$C$31,3,FALSE)</f>
        <v>South</v>
      </c>
      <c r="I852" s="44">
        <f t="shared" si="29"/>
        <v>45323</v>
      </c>
      <c r="L852" t="str">
        <f>Orders!K852</f>
        <v>Chennai</v>
      </c>
      <c r="M852">
        <f>Orders!G852</f>
        <v>3560</v>
      </c>
      <c r="N852">
        <f>IFERROR(VLOOKUP(Orders!D852,Products!$A$2:$D$61,4,FALSE),"")</f>
        <v>2629</v>
      </c>
      <c r="O852">
        <f t="shared" si="30"/>
        <v>0.26151685393258428</v>
      </c>
      <c r="Q852" t="str">
        <f>Orders!D852</f>
        <v>PROD-018</v>
      </c>
    </row>
    <row r="853" spans="1:17" x14ac:dyDescent="0.3">
      <c r="A853" t="str">
        <f>Orders!A853</f>
        <v>ORD-00852</v>
      </c>
      <c r="B853">
        <f>Orders!B853</f>
        <v>45419</v>
      </c>
      <c r="C853">
        <f>Orders!I853</f>
        <v>9218.64</v>
      </c>
      <c r="D853" t="str">
        <f>Orders!E853</f>
        <v>R010</v>
      </c>
      <c r="E853" t="str">
        <f>IFERROR(VLOOKUP(Orders!D853,Products!$A$2:$C$61,3,FALSE),"Unknown")</f>
        <v>Sports</v>
      </c>
      <c r="F853" t="str">
        <f>IFERROR(VLOOKUP(Orders!C853,Customers!$A$2:$E$301,5,FALSE),"Unknown")</f>
        <v>Corporate</v>
      </c>
      <c r="G853">
        <f>IFERROR(VLOOKUP(Orders!C853,Customers!$A$2:$C$301,3,FALSE),"")</f>
        <v>55</v>
      </c>
      <c r="H853" t="str">
        <f>VLOOKUP(D853,Sales_Reps!$A$2:$C$31,3,FALSE)</f>
        <v>South</v>
      </c>
      <c r="I853" s="44">
        <f t="shared" si="29"/>
        <v>45413</v>
      </c>
      <c r="L853" t="str">
        <f>Orders!K853</f>
        <v>Chennai</v>
      </c>
      <c r="M853">
        <f>Orders!G853</f>
        <v>5410</v>
      </c>
      <c r="N853">
        <f>IFERROR(VLOOKUP(Orders!D853,Products!$A$2:$D$61,4,FALSE),"")</f>
        <v>2265</v>
      </c>
      <c r="O853">
        <f t="shared" si="30"/>
        <v>0.58133086876155271</v>
      </c>
      <c r="Q853" t="str">
        <f>Orders!D853</f>
        <v>PROD-052</v>
      </c>
    </row>
    <row r="854" spans="1:17" x14ac:dyDescent="0.3">
      <c r="A854" t="str">
        <f>Orders!A854</f>
        <v>ORD-00853</v>
      </c>
      <c r="B854">
        <f>Orders!B854</f>
        <v>45656</v>
      </c>
      <c r="C854">
        <f>Orders!I854</f>
        <v>3610.88</v>
      </c>
      <c r="D854" t="str">
        <f>Orders!E854</f>
        <v>R006</v>
      </c>
      <c r="E854" t="str">
        <f>IFERROR(VLOOKUP(Orders!D854,Products!$A$2:$C$61,3,FALSE),"Unknown")</f>
        <v>Apparel</v>
      </c>
      <c r="F854" t="str">
        <f>IFERROR(VLOOKUP(Orders!C854,Customers!$A$2:$E$301,5,FALSE),"Unknown")</f>
        <v>Retail</v>
      </c>
      <c r="G854">
        <f>IFERROR(VLOOKUP(Orders!C854,Customers!$A$2:$C$301,3,FALSE),"")</f>
        <v>28</v>
      </c>
      <c r="H854" t="str">
        <f>VLOOKUP(D854,Sales_Reps!$A$2:$C$31,3,FALSE)</f>
        <v>North</v>
      </c>
      <c r="I854" s="44">
        <f t="shared" si="29"/>
        <v>45627</v>
      </c>
      <c r="L854" t="str">
        <f>Orders!K854</f>
        <v>Bengaluru</v>
      </c>
      <c r="M854">
        <f>Orders!G854</f>
        <v>2480</v>
      </c>
      <c r="N854">
        <f>IFERROR(VLOOKUP(Orders!D854,Products!$A$2:$D$61,4,FALSE),"")</f>
        <v>1173</v>
      </c>
      <c r="O854">
        <f t="shared" si="30"/>
        <v>0.52701612903225803</v>
      </c>
      <c r="Q854" t="str">
        <f>Orders!D854</f>
        <v>PROD-019</v>
      </c>
    </row>
    <row r="855" spans="1:17" x14ac:dyDescent="0.3">
      <c r="A855" t="str">
        <f>Orders!A855</f>
        <v>ORD-00854</v>
      </c>
      <c r="B855">
        <f>Orders!B855</f>
        <v>45350</v>
      </c>
      <c r="C855">
        <f>Orders!I855</f>
        <v>4595.28</v>
      </c>
      <c r="D855" t="str">
        <f>Orders!E855</f>
        <v>R014</v>
      </c>
      <c r="E855" t="str">
        <f>IFERROR(VLOOKUP(Orders!D855,Products!$A$2:$C$61,3,FALSE),"Unknown")</f>
        <v>Apparel</v>
      </c>
      <c r="F855" t="str">
        <f>IFERROR(VLOOKUP(Orders!C855,Customers!$A$2:$E$301,5,FALSE),"Unknown")</f>
        <v>Retail</v>
      </c>
      <c r="G855">
        <f>IFERROR(VLOOKUP(Orders!C855,Customers!$A$2:$C$301,3,FALSE),"")</f>
        <v>45</v>
      </c>
      <c r="H855" t="str">
        <f>VLOOKUP(D855,Sales_Reps!$A$2:$C$31,3,FALSE)</f>
        <v>South</v>
      </c>
      <c r="I855" s="44">
        <f t="shared" si="29"/>
        <v>45323</v>
      </c>
      <c r="L855" t="str">
        <f>Orders!K855</f>
        <v>Delhi</v>
      </c>
      <c r="M855">
        <f>Orders!G855</f>
        <v>820</v>
      </c>
      <c r="N855">
        <f>IFERROR(VLOOKUP(Orders!D855,Products!$A$2:$D$61,4,FALSE),"")</f>
        <v>391</v>
      </c>
      <c r="O855">
        <f t="shared" si="30"/>
        <v>0.52317073170731709</v>
      </c>
      <c r="Q855" t="str">
        <f>Orders!D855</f>
        <v>PROD-020</v>
      </c>
    </row>
    <row r="856" spans="1:17" x14ac:dyDescent="0.3">
      <c r="A856" t="str">
        <f>Orders!A856</f>
        <v>ORD-00855</v>
      </c>
      <c r="B856">
        <f>Orders!B856</f>
        <v>45434</v>
      </c>
      <c r="C856">
        <f>Orders!I856</f>
        <v>44718.7</v>
      </c>
      <c r="D856" t="str">
        <f>Orders!E856</f>
        <v>R015</v>
      </c>
      <c r="E856" t="str">
        <f>IFERROR(VLOOKUP(Orders!D856,Products!$A$2:$C$61,3,FALSE),"Unknown")</f>
        <v>Electronics</v>
      </c>
      <c r="F856" t="str">
        <f>IFERROR(VLOOKUP(Orders!C856,Customers!$A$2:$E$301,5,FALSE),"Unknown")</f>
        <v>Retail</v>
      </c>
      <c r="G856">
        <f>IFERROR(VLOOKUP(Orders!C856,Customers!$A$2:$C$301,3,FALSE),"")</f>
        <v>34</v>
      </c>
      <c r="H856" t="str">
        <f>VLOOKUP(D856,Sales_Reps!$A$2:$C$31,3,FALSE)</f>
        <v>South</v>
      </c>
      <c r="I856" s="44">
        <f t="shared" si="29"/>
        <v>45413</v>
      </c>
      <c r="L856" t="str">
        <f>Orders!K856</f>
        <v>Bengaluru</v>
      </c>
      <c r="M856">
        <f>Orders!G856</f>
        <v>5330</v>
      </c>
      <c r="N856">
        <f>IFERROR(VLOOKUP(Orders!D856,Products!$A$2:$D$61,4,FALSE),"")</f>
        <v>2405</v>
      </c>
      <c r="O856">
        <f t="shared" si="30"/>
        <v>0.54878048780487809</v>
      </c>
      <c r="Q856" t="str">
        <f>Orders!D856</f>
        <v>PROD-001</v>
      </c>
    </row>
    <row r="857" spans="1:17" x14ac:dyDescent="0.3">
      <c r="A857" t="str">
        <f>Orders!A857</f>
        <v>ORD-00856</v>
      </c>
      <c r="B857">
        <f>Orders!B857</f>
        <v>45438</v>
      </c>
      <c r="C857">
        <f>Orders!I857</f>
        <v>6120.3</v>
      </c>
      <c r="D857" t="str">
        <f>Orders!E857</f>
        <v>R004</v>
      </c>
      <c r="E857" t="str">
        <f>IFERROR(VLOOKUP(Orders!D857,Products!$A$2:$C$61,3,FALSE),"Unknown")</f>
        <v>Beauty</v>
      </c>
      <c r="F857" t="str">
        <f>IFERROR(VLOOKUP(Orders!C857,Customers!$A$2:$E$301,5,FALSE),"Unknown")</f>
        <v>Retail</v>
      </c>
      <c r="G857">
        <f>IFERROR(VLOOKUP(Orders!C857,Customers!$A$2:$C$301,3,FALSE),"")</f>
        <v>64</v>
      </c>
      <c r="H857" t="str">
        <f>VLOOKUP(D857,Sales_Reps!$A$2:$C$31,3,FALSE)</f>
        <v>North</v>
      </c>
      <c r="I857" s="44">
        <f t="shared" si="29"/>
        <v>45413</v>
      </c>
      <c r="L857" t="str">
        <f>Orders!K857</f>
        <v>Hyderabad</v>
      </c>
      <c r="M857">
        <f>Orders!G857</f>
        <v>3450</v>
      </c>
      <c r="N857">
        <f>IFERROR(VLOOKUP(Orders!D857,Products!$A$2:$D$61,4,FALSE),"")</f>
        <v>2420</v>
      </c>
      <c r="O857">
        <f t="shared" si="30"/>
        <v>0.29855072463768118</v>
      </c>
      <c r="Q857" t="str">
        <f>Orders!D857</f>
        <v>PROD-047</v>
      </c>
    </row>
    <row r="858" spans="1:17" x14ac:dyDescent="0.3">
      <c r="A858" t="str">
        <f>Orders!A858</f>
        <v>ORD-00857</v>
      </c>
      <c r="B858">
        <f>Orders!B858</f>
        <v>45486</v>
      </c>
      <c r="C858">
        <f>Orders!I858</f>
        <v>5570.88</v>
      </c>
      <c r="D858" t="str">
        <f>Orders!E858</f>
        <v>R023</v>
      </c>
      <c r="E858" t="str">
        <f>IFERROR(VLOOKUP(Orders!D858,Products!$A$2:$C$61,3,FALSE),"Unknown")</f>
        <v>Beauty</v>
      </c>
      <c r="F858" t="str">
        <f>IFERROR(VLOOKUP(Orders!C858,Customers!$A$2:$E$301,5,FALSE),"Unknown")</f>
        <v>Retail</v>
      </c>
      <c r="G858">
        <f>IFERROR(VLOOKUP(Orders!C858,Customers!$A$2:$C$301,3,FALSE),"")</f>
        <v>41</v>
      </c>
      <c r="H858" t="str">
        <f>VLOOKUP(D858,Sales_Reps!$A$2:$C$31,3,FALSE)</f>
        <v>East</v>
      </c>
      <c r="I858" s="44">
        <f t="shared" si="29"/>
        <v>45474</v>
      </c>
      <c r="L858" t="str">
        <f>Orders!K858</f>
        <v>Chennai</v>
      </c>
      <c r="M858">
        <f>Orders!G858</f>
        <v>960</v>
      </c>
      <c r="N858">
        <f>IFERROR(VLOOKUP(Orders!D858,Products!$A$2:$D$61,4,FALSE),"")</f>
        <v>675</v>
      </c>
      <c r="O858">
        <f t="shared" si="30"/>
        <v>0.296875</v>
      </c>
      <c r="Q858" t="str">
        <f>Orders!D858</f>
        <v>PROD-049</v>
      </c>
    </row>
    <row r="859" spans="1:17" x14ac:dyDescent="0.3">
      <c r="A859" t="str">
        <f>Orders!A859</f>
        <v>ORD-00858</v>
      </c>
      <c r="B859">
        <f>Orders!B859</f>
        <v>45623</v>
      </c>
      <c r="C859">
        <f>Orders!I859</f>
        <v>13299.75</v>
      </c>
      <c r="D859" t="str">
        <f>Orders!E859</f>
        <v>R003</v>
      </c>
      <c r="E859" t="str">
        <f>IFERROR(VLOOKUP(Orders!D859,Products!$A$2:$C$61,3,FALSE),"Unknown")</f>
        <v>Apparel</v>
      </c>
      <c r="F859" t="str">
        <f>IFERROR(VLOOKUP(Orders!C859,Customers!$A$2:$E$301,5,FALSE),"Unknown")</f>
        <v>SMB</v>
      </c>
      <c r="G859">
        <f>IFERROR(VLOOKUP(Orders!C859,Customers!$A$2:$C$301,3,FALSE),"")</f>
        <v>43</v>
      </c>
      <c r="H859" t="str">
        <f>VLOOKUP(D859,Sales_Reps!$A$2:$C$31,3,FALSE)</f>
        <v>North</v>
      </c>
      <c r="I859" s="44">
        <f t="shared" si="29"/>
        <v>45597</v>
      </c>
      <c r="L859" t="str">
        <f>Orders!K859</f>
        <v>Hyderabad</v>
      </c>
      <c r="M859">
        <f>Orders!G859</f>
        <v>3450</v>
      </c>
      <c r="N859">
        <f>IFERROR(VLOOKUP(Orders!D859,Products!$A$2:$D$61,4,FALSE),"")</f>
        <v>1748</v>
      </c>
      <c r="O859">
        <f t="shared" si="30"/>
        <v>0.49333333333333335</v>
      </c>
      <c r="Q859" t="str">
        <f>Orders!D859</f>
        <v>PROD-011</v>
      </c>
    </row>
    <row r="860" spans="1:17" x14ac:dyDescent="0.3">
      <c r="A860" t="str">
        <f>Orders!A860</f>
        <v>ORD-00859</v>
      </c>
      <c r="B860">
        <f>Orders!B860</f>
        <v>45634</v>
      </c>
      <c r="C860">
        <f>Orders!I860</f>
        <v>6081.7</v>
      </c>
      <c r="D860" t="str">
        <f>Orders!E860</f>
        <v>R008</v>
      </c>
      <c r="E860" t="str">
        <f>IFERROR(VLOOKUP(Orders!D860,Products!$A$2:$C$61,3,FALSE),"Unknown")</f>
        <v>Electronics</v>
      </c>
      <c r="F860" t="str">
        <f>IFERROR(VLOOKUP(Orders!C860,Customers!$A$2:$E$301,5,FALSE),"Unknown")</f>
        <v>SMB</v>
      </c>
      <c r="G860">
        <f>IFERROR(VLOOKUP(Orders!C860,Customers!$A$2:$C$301,3,FALSE),"")</f>
        <v>59</v>
      </c>
      <c r="H860" t="str">
        <f>VLOOKUP(D860,Sales_Reps!$A$2:$C$31,3,FALSE)</f>
        <v>North</v>
      </c>
      <c r="I860" s="44">
        <f t="shared" si="29"/>
        <v>45627</v>
      </c>
      <c r="L860" t="str">
        <f>Orders!K860</f>
        <v>Pune</v>
      </c>
      <c r="M860">
        <f>Orders!G860</f>
        <v>1220</v>
      </c>
      <c r="N860">
        <f>IFERROR(VLOOKUP(Orders!D860,Products!$A$2:$D$61,4,FALSE),"")</f>
        <v>517</v>
      </c>
      <c r="O860">
        <f t="shared" si="30"/>
        <v>0.57622950819672136</v>
      </c>
      <c r="Q860" t="str">
        <f>Orders!D860</f>
        <v>PROD-009</v>
      </c>
    </row>
    <row r="861" spans="1:17" x14ac:dyDescent="0.3">
      <c r="A861" t="str">
        <f>Orders!A861</f>
        <v>ORD-00860</v>
      </c>
      <c r="B861">
        <f>Orders!B861</f>
        <v>45308</v>
      </c>
      <c r="C861">
        <f>Orders!I861</f>
        <v>18921.5</v>
      </c>
      <c r="D861" t="str">
        <f>Orders!E861</f>
        <v>R007</v>
      </c>
      <c r="E861" t="str">
        <f>IFERROR(VLOOKUP(Orders!D861,Products!$A$2:$C$61,3,FALSE),"Unknown")</f>
        <v>Electronics</v>
      </c>
      <c r="F861" t="str">
        <f>IFERROR(VLOOKUP(Orders!C861,Customers!$A$2:$E$301,5,FALSE),"Unknown")</f>
        <v>Retail</v>
      </c>
      <c r="G861">
        <f>IFERROR(VLOOKUP(Orders!C861,Customers!$A$2:$C$301,3,FALSE),"")</f>
        <v>39</v>
      </c>
      <c r="H861" t="str">
        <f>VLOOKUP(D861,Sales_Reps!$A$2:$C$31,3,FALSE)</f>
        <v>North</v>
      </c>
      <c r="I861" s="44">
        <f t="shared" si="29"/>
        <v>45292</v>
      </c>
      <c r="L861" t="str">
        <f>Orders!K861</f>
        <v>Pune</v>
      </c>
      <c r="M861">
        <f>Orders!G861</f>
        <v>5330</v>
      </c>
      <c r="N861">
        <f>IFERROR(VLOOKUP(Orders!D861,Products!$A$2:$D$61,4,FALSE),"")</f>
        <v>2405</v>
      </c>
      <c r="O861">
        <f t="shared" si="30"/>
        <v>0.54878048780487809</v>
      </c>
      <c r="Q861" t="str">
        <f>Orders!D861</f>
        <v>PROD-001</v>
      </c>
    </row>
    <row r="862" spans="1:17" x14ac:dyDescent="0.3">
      <c r="A862" t="str">
        <f>Orders!A862</f>
        <v>ORD-00861</v>
      </c>
      <c r="B862">
        <f>Orders!B862</f>
        <v>45641</v>
      </c>
      <c r="C862">
        <f>Orders!I862</f>
        <v>8568</v>
      </c>
      <c r="D862" t="str">
        <f>Orders!E862</f>
        <v>R028</v>
      </c>
      <c r="E862" t="str">
        <f>IFERROR(VLOOKUP(Orders!D862,Products!$A$2:$C$61,3,FALSE),"Unknown")</f>
        <v>Electronics</v>
      </c>
      <c r="F862" t="str">
        <f>IFERROR(VLOOKUP(Orders!C862,Customers!$A$2:$E$301,5,FALSE),"Unknown")</f>
        <v>Retail</v>
      </c>
      <c r="G862">
        <f>IFERROR(VLOOKUP(Orders!C862,Customers!$A$2:$C$301,3,FALSE),"")</f>
        <v>29</v>
      </c>
      <c r="H862" t="str">
        <f>VLOOKUP(D862,Sales_Reps!$A$2:$C$31,3,FALSE)</f>
        <v>West</v>
      </c>
      <c r="I862" s="44">
        <f t="shared" si="29"/>
        <v>45627</v>
      </c>
      <c r="L862" t="str">
        <f>Orders!K862</f>
        <v>Bengaluru</v>
      </c>
      <c r="M862">
        <f>Orders!G862</f>
        <v>3570</v>
      </c>
      <c r="N862">
        <f>IFERROR(VLOOKUP(Orders!D862,Products!$A$2:$D$61,4,FALSE),"")</f>
        <v>1665</v>
      </c>
      <c r="O862">
        <f t="shared" si="30"/>
        <v>0.53361344537815125</v>
      </c>
      <c r="Q862" t="str">
        <f>Orders!D862</f>
        <v>PROD-003</v>
      </c>
    </row>
    <row r="863" spans="1:17" x14ac:dyDescent="0.3">
      <c r="A863" t="str">
        <f>Orders!A863</f>
        <v>ORD-00862</v>
      </c>
      <c r="B863">
        <f>Orders!B863</f>
        <v>45396</v>
      </c>
      <c r="C863">
        <f>Orders!I863</f>
        <v>17423.64</v>
      </c>
      <c r="D863" t="str">
        <f>Orders!E863</f>
        <v>R026</v>
      </c>
      <c r="E863" t="str">
        <f>IFERROR(VLOOKUP(Orders!D863,Products!$A$2:$C$61,3,FALSE),"Unknown")</f>
        <v>Grocery</v>
      </c>
      <c r="F863" t="str">
        <f>IFERROR(VLOOKUP(Orders!C863,Customers!$A$2:$E$301,5,FALSE),"Unknown")</f>
        <v>Retail</v>
      </c>
      <c r="G863">
        <f>IFERROR(VLOOKUP(Orders!C863,Customers!$A$2:$C$301,3,FALSE),"")</f>
        <v>56</v>
      </c>
      <c r="H863" t="str">
        <f>VLOOKUP(D863,Sales_Reps!$A$2:$C$31,3,FALSE)</f>
        <v>West</v>
      </c>
      <c r="I863" s="44">
        <f t="shared" si="29"/>
        <v>45383</v>
      </c>
      <c r="L863" t="str">
        <f>Orders!K863</f>
        <v>Mumbai</v>
      </c>
      <c r="M863">
        <f>Orders!G863</f>
        <v>2210</v>
      </c>
      <c r="N863">
        <f>IFERROR(VLOOKUP(Orders!D863,Products!$A$2:$D$61,4,FALSE),"")</f>
        <v>1010</v>
      </c>
      <c r="O863">
        <f t="shared" si="30"/>
        <v>0.54298642533936647</v>
      </c>
      <c r="Q863" t="str">
        <f>Orders!D863</f>
        <v>PROD-029</v>
      </c>
    </row>
    <row r="864" spans="1:17" x14ac:dyDescent="0.3">
      <c r="A864" t="str">
        <f>Orders!A864</f>
        <v>ORD-00863</v>
      </c>
      <c r="B864">
        <f>Orders!B864</f>
        <v>45302</v>
      </c>
      <c r="C864">
        <f>Orders!I864</f>
        <v>18162.900000000001</v>
      </c>
      <c r="D864" t="str">
        <f>Orders!E864</f>
        <v>R029</v>
      </c>
      <c r="E864" t="str">
        <f>IFERROR(VLOOKUP(Orders!D864,Products!$A$2:$C$61,3,FALSE),"Unknown")</f>
        <v>Sports</v>
      </c>
      <c r="F864" t="str">
        <f>IFERROR(VLOOKUP(Orders!C864,Customers!$A$2:$E$301,5,FALSE),"Unknown")</f>
        <v>SMB</v>
      </c>
      <c r="G864">
        <f>IFERROR(VLOOKUP(Orders!C864,Customers!$A$2:$C$301,3,FALSE),"")</f>
        <v>39</v>
      </c>
      <c r="H864" t="str">
        <f>VLOOKUP(D864,Sales_Reps!$A$2:$C$31,3,FALSE)</f>
        <v>West</v>
      </c>
      <c r="I864" s="44">
        <f t="shared" si="29"/>
        <v>45292</v>
      </c>
      <c r="L864" t="str">
        <f>Orders!K864</f>
        <v>Pune</v>
      </c>
      <c r="M864">
        <f>Orders!G864</f>
        <v>3780</v>
      </c>
      <c r="N864">
        <f>IFERROR(VLOOKUP(Orders!D864,Products!$A$2:$D$61,4,FALSE),"")</f>
        <v>1860</v>
      </c>
      <c r="O864">
        <f t="shared" si="30"/>
        <v>0.50793650793650791</v>
      </c>
      <c r="Q864" t="str">
        <f>Orders!D864</f>
        <v>PROD-059</v>
      </c>
    </row>
    <row r="865" spans="1:17" x14ac:dyDescent="0.3">
      <c r="A865" t="str">
        <f>Orders!A865</f>
        <v>ORD-00864</v>
      </c>
      <c r="B865">
        <f>Orders!B865</f>
        <v>45626</v>
      </c>
      <c r="C865">
        <f>Orders!I865</f>
        <v>21700.799999999999</v>
      </c>
      <c r="D865" t="str">
        <f>Orders!E865</f>
        <v>R008</v>
      </c>
      <c r="E865" t="str">
        <f>IFERROR(VLOOKUP(Orders!D865,Products!$A$2:$C$61,3,FALSE),"Unknown")</f>
        <v>Electronics</v>
      </c>
      <c r="F865" t="str">
        <f>IFERROR(VLOOKUP(Orders!C865,Customers!$A$2:$E$301,5,FALSE),"Unknown")</f>
        <v>Retail</v>
      </c>
      <c r="G865">
        <f>IFERROR(VLOOKUP(Orders!C865,Customers!$A$2:$C$301,3,FALSE),"")</f>
        <v>34</v>
      </c>
      <c r="H865" t="str">
        <f>VLOOKUP(D865,Sales_Reps!$A$2:$C$31,3,FALSE)</f>
        <v>North</v>
      </c>
      <c r="I865" s="44">
        <f t="shared" si="29"/>
        <v>45597</v>
      </c>
      <c r="L865" t="str">
        <f>Orders!K865</f>
        <v>Mumbai</v>
      </c>
      <c r="M865">
        <f>Orders!G865</f>
        <v>2640</v>
      </c>
      <c r="N865">
        <f>IFERROR(VLOOKUP(Orders!D865,Products!$A$2:$D$61,4,FALSE),"")</f>
        <v>1149</v>
      </c>
      <c r="O865">
        <f t="shared" si="30"/>
        <v>0.56477272727272732</v>
      </c>
      <c r="Q865" t="str">
        <f>Orders!D865</f>
        <v>PROD-010</v>
      </c>
    </row>
    <row r="866" spans="1:17" x14ac:dyDescent="0.3">
      <c r="A866" t="str">
        <f>Orders!A866</f>
        <v>ORD-00865</v>
      </c>
      <c r="B866">
        <f>Orders!B866</f>
        <v>45352</v>
      </c>
      <c r="C866">
        <f>Orders!I866</f>
        <v>1306.5</v>
      </c>
      <c r="D866" t="str">
        <f>Orders!E866</f>
        <v>R024</v>
      </c>
      <c r="E866" t="str">
        <f>IFERROR(VLOOKUP(Orders!D866,Products!$A$2:$C$61,3,FALSE),"Unknown")</f>
        <v>Electronics</v>
      </c>
      <c r="F866" t="str">
        <f>IFERROR(VLOOKUP(Orders!C866,Customers!$A$2:$E$301,5,FALSE),"Unknown")</f>
        <v>SMB</v>
      </c>
      <c r="G866">
        <f>IFERROR(VLOOKUP(Orders!C866,Customers!$A$2:$C$301,3,FALSE),"")</f>
        <v>42</v>
      </c>
      <c r="H866" t="str">
        <f>VLOOKUP(D866,Sales_Reps!$A$2:$C$31,3,FALSE)</f>
        <v>West</v>
      </c>
      <c r="I866" s="44">
        <f t="shared" si="29"/>
        <v>45352</v>
      </c>
      <c r="L866" t="str">
        <f>Orders!K866</f>
        <v>Bengaluru</v>
      </c>
      <c r="M866">
        <f>Orders!G866</f>
        <v>300</v>
      </c>
      <c r="N866">
        <f>IFERROR(VLOOKUP(Orders!D866,Products!$A$2:$D$61,4,FALSE),"")</f>
        <v>128</v>
      </c>
      <c r="O866">
        <f t="shared" si="30"/>
        <v>0.57333333333333336</v>
      </c>
      <c r="Q866" t="str">
        <f>Orders!D866</f>
        <v>PROD-005</v>
      </c>
    </row>
    <row r="867" spans="1:17" x14ac:dyDescent="0.3">
      <c r="A867" t="str">
        <f>Orders!A867</f>
        <v>ORD-00866</v>
      </c>
      <c r="B867">
        <f>Orders!B867</f>
        <v>45588</v>
      </c>
      <c r="C867">
        <f>Orders!I867</f>
        <v>3979.2</v>
      </c>
      <c r="D867" t="str">
        <f>Orders!E867</f>
        <v>R013</v>
      </c>
      <c r="E867" t="str">
        <f>IFERROR(VLOOKUP(Orders!D867,Products!$A$2:$C$61,3,FALSE),"Unknown")</f>
        <v>Sports</v>
      </c>
      <c r="F867" t="str">
        <f>IFERROR(VLOOKUP(Orders!C867,Customers!$A$2:$E$301,5,FALSE),"Unknown")</f>
        <v>SMB</v>
      </c>
      <c r="G867">
        <f>IFERROR(VLOOKUP(Orders!C867,Customers!$A$2:$C$301,3,FALSE),"")</f>
        <v>43</v>
      </c>
      <c r="H867" t="str">
        <f>VLOOKUP(D867,Sales_Reps!$A$2:$C$31,3,FALSE)</f>
        <v>South</v>
      </c>
      <c r="I867" s="44">
        <f t="shared" si="29"/>
        <v>45566</v>
      </c>
      <c r="L867" t="str">
        <f>Orders!K867</f>
        <v>Hyderabad</v>
      </c>
      <c r="M867">
        <f>Orders!G867</f>
        <v>2400</v>
      </c>
      <c r="N867">
        <f>IFERROR(VLOOKUP(Orders!D867,Products!$A$2:$D$61,4,FALSE),"")</f>
        <v>974</v>
      </c>
      <c r="O867">
        <f t="shared" si="30"/>
        <v>0.59416666666666662</v>
      </c>
      <c r="Q867" t="str">
        <f>Orders!D867</f>
        <v>PROD-058</v>
      </c>
    </row>
    <row r="868" spans="1:17" x14ac:dyDescent="0.3">
      <c r="A868" t="str">
        <f>Orders!A868</f>
        <v>ORD-00867</v>
      </c>
      <c r="B868">
        <f>Orders!B868</f>
        <v>45583</v>
      </c>
      <c r="C868">
        <f>Orders!I868</f>
        <v>4552.2</v>
      </c>
      <c r="D868" t="str">
        <f>Orders!E868</f>
        <v>R026</v>
      </c>
      <c r="E868" t="str">
        <f>IFERROR(VLOOKUP(Orders!D868,Products!$A$2:$C$61,3,FALSE),"Unknown")</f>
        <v>Home</v>
      </c>
      <c r="F868" t="str">
        <f>IFERROR(VLOOKUP(Orders!C868,Customers!$A$2:$E$301,5,FALSE),"Unknown")</f>
        <v>Retail</v>
      </c>
      <c r="G868">
        <f>IFERROR(VLOOKUP(Orders!C868,Customers!$A$2:$C$301,3,FALSE),"")</f>
        <v>29</v>
      </c>
      <c r="H868" t="str">
        <f>VLOOKUP(D868,Sales_Reps!$A$2:$C$31,3,FALSE)</f>
        <v>West</v>
      </c>
      <c r="I868" s="44">
        <f t="shared" si="29"/>
        <v>45566</v>
      </c>
      <c r="L868" t="str">
        <f>Orders!K868</f>
        <v>Hyderabad</v>
      </c>
      <c r="M868">
        <f>Orders!G868</f>
        <v>1080</v>
      </c>
      <c r="N868">
        <f>IFERROR(VLOOKUP(Orders!D868,Products!$A$2:$D$61,4,FALSE),"")</f>
        <v>519</v>
      </c>
      <c r="O868">
        <f t="shared" si="30"/>
        <v>0.51944444444444449</v>
      </c>
      <c r="Q868" t="str">
        <f>Orders!D868</f>
        <v>PROD-040</v>
      </c>
    </row>
    <row r="869" spans="1:17" x14ac:dyDescent="0.3">
      <c r="A869" t="str">
        <f>Orders!A869</f>
        <v>ORD-00868</v>
      </c>
      <c r="B869">
        <f>Orders!B869</f>
        <v>45528</v>
      </c>
      <c r="C869">
        <f>Orders!I869</f>
        <v>2772.25</v>
      </c>
      <c r="D869" t="str">
        <f>Orders!E869</f>
        <v>R003</v>
      </c>
      <c r="E869" t="str">
        <f>IFERROR(VLOOKUP(Orders!D869,Products!$A$2:$C$61,3,FALSE),"Unknown")</f>
        <v>Home</v>
      </c>
      <c r="F869" t="str">
        <f>IFERROR(VLOOKUP(Orders!C869,Customers!$A$2:$E$301,5,FALSE),"Unknown")</f>
        <v>Retail</v>
      </c>
      <c r="G869">
        <f>IFERROR(VLOOKUP(Orders!C869,Customers!$A$2:$C$301,3,FALSE),"")</f>
        <v>24</v>
      </c>
      <c r="H869" t="str">
        <f>VLOOKUP(D869,Sales_Reps!$A$2:$C$31,3,FALSE)</f>
        <v>North</v>
      </c>
      <c r="I869" s="44">
        <f t="shared" si="29"/>
        <v>45505</v>
      </c>
      <c r="L869" t="str">
        <f>Orders!K869</f>
        <v>Delhi</v>
      </c>
      <c r="M869">
        <f>Orders!G869</f>
        <v>3250</v>
      </c>
      <c r="N869">
        <f>IFERROR(VLOOKUP(Orders!D869,Products!$A$2:$D$61,4,FALSE),"")</f>
        <v>1556</v>
      </c>
      <c r="O869">
        <f t="shared" si="30"/>
        <v>0.52123076923076928</v>
      </c>
      <c r="Q869" t="str">
        <f>Orders!D869</f>
        <v>PROD-036</v>
      </c>
    </row>
    <row r="870" spans="1:17" x14ac:dyDescent="0.3">
      <c r="A870" t="str">
        <f>Orders!A870</f>
        <v>ORD-00869</v>
      </c>
      <c r="B870">
        <f>Orders!B870</f>
        <v>45400</v>
      </c>
      <c r="C870">
        <f>Orders!I870</f>
        <v>2434.6</v>
      </c>
      <c r="D870" t="str">
        <f>Orders!E870</f>
        <v>R021</v>
      </c>
      <c r="E870" t="str">
        <f>IFERROR(VLOOKUP(Orders!D870,Products!$A$2:$C$61,3,FALSE),"Unknown")</f>
        <v>Home</v>
      </c>
      <c r="F870" t="str">
        <f>IFERROR(VLOOKUP(Orders!C870,Customers!$A$2:$E$301,5,FALSE),"Unknown")</f>
        <v>Corporate</v>
      </c>
      <c r="G870">
        <f>IFERROR(VLOOKUP(Orders!C870,Customers!$A$2:$C$301,3,FALSE),"")</f>
        <v>42</v>
      </c>
      <c r="H870" t="str">
        <f>VLOOKUP(D870,Sales_Reps!$A$2:$C$31,3,FALSE)</f>
        <v>East</v>
      </c>
      <c r="I870" s="44">
        <f t="shared" si="29"/>
        <v>45383</v>
      </c>
      <c r="L870" t="str">
        <f>Orders!K870</f>
        <v>Bengaluru</v>
      </c>
      <c r="M870">
        <f>Orders!G870</f>
        <v>370</v>
      </c>
      <c r="N870">
        <f>IFERROR(VLOOKUP(Orders!D870,Products!$A$2:$D$61,4,FALSE),"")</f>
        <v>288</v>
      </c>
      <c r="O870">
        <f t="shared" si="30"/>
        <v>0.22162162162162163</v>
      </c>
      <c r="Q870" t="str">
        <f>Orders!D870</f>
        <v>PROD-032</v>
      </c>
    </row>
    <row r="871" spans="1:17" x14ac:dyDescent="0.3">
      <c r="A871" t="str">
        <f>Orders!A871</f>
        <v>ORD-00870</v>
      </c>
      <c r="B871">
        <f>Orders!B871</f>
        <v>45337</v>
      </c>
      <c r="C871">
        <f>Orders!I871</f>
        <v>34510.14</v>
      </c>
      <c r="D871" t="str">
        <f>Orders!E871</f>
        <v>R029</v>
      </c>
      <c r="E871" t="str">
        <f>IFERROR(VLOOKUP(Orders!D871,Products!$A$2:$C$61,3,FALSE),"Unknown")</f>
        <v>Home</v>
      </c>
      <c r="F871" t="str">
        <f>IFERROR(VLOOKUP(Orders!C871,Customers!$A$2:$E$301,5,FALSE),"Unknown")</f>
        <v>Unknown</v>
      </c>
      <c r="G871" t="str">
        <f>IFERROR(VLOOKUP(Orders!C871,Customers!$A$2:$C$301,3,FALSE),"")</f>
        <v/>
      </c>
      <c r="H871" t="str">
        <f>VLOOKUP(D871,Sales_Reps!$A$2:$C$31,3,FALSE)</f>
        <v>West</v>
      </c>
      <c r="I871" s="44">
        <f t="shared" si="29"/>
        <v>45323</v>
      </c>
      <c r="L871" t="str">
        <f>Orders!K871</f>
        <v>Pune</v>
      </c>
      <c r="M871">
        <f>Orders!G871</f>
        <v>5490</v>
      </c>
      <c r="N871">
        <f>IFERROR(VLOOKUP(Orders!D871,Products!$A$2:$D$61,4,FALSE),"")</f>
        <v>2549</v>
      </c>
      <c r="O871">
        <f t="shared" si="30"/>
        <v>0.53570127504553733</v>
      </c>
      <c r="Q871" t="str">
        <f>Orders!D871</f>
        <v>PROD-038</v>
      </c>
    </row>
    <row r="872" spans="1:17" x14ac:dyDescent="0.3">
      <c r="A872" t="str">
        <f>Orders!A872</f>
        <v>ORD-00871</v>
      </c>
      <c r="B872">
        <f>Orders!B872</f>
        <v>45482</v>
      </c>
      <c r="C872">
        <f>Orders!I872</f>
        <v>11624.16</v>
      </c>
      <c r="D872" t="str">
        <f>Orders!E872</f>
        <v>R028</v>
      </c>
      <c r="E872" t="str">
        <f>IFERROR(VLOOKUP(Orders!D872,Products!$A$2:$C$61,3,FALSE),"Unknown")</f>
        <v>Electronics</v>
      </c>
      <c r="F872" t="str">
        <f>IFERROR(VLOOKUP(Orders!C872,Customers!$A$2:$E$301,5,FALSE),"Unknown")</f>
        <v>Retail</v>
      </c>
      <c r="G872">
        <f>IFERROR(VLOOKUP(Orders!C872,Customers!$A$2:$C$301,3,FALSE),"")</f>
        <v>38</v>
      </c>
      <c r="H872" t="str">
        <f>VLOOKUP(D872,Sales_Reps!$A$2:$C$31,3,FALSE)</f>
        <v>West</v>
      </c>
      <c r="I872" s="44">
        <f t="shared" si="29"/>
        <v>45474</v>
      </c>
      <c r="L872" t="str">
        <f>Orders!K872</f>
        <v>Mumbai</v>
      </c>
      <c r="M872">
        <f>Orders!G872</f>
        <v>3970</v>
      </c>
      <c r="N872">
        <f>IFERROR(VLOOKUP(Orders!D872,Products!$A$2:$D$61,4,FALSE),"")</f>
        <v>2865</v>
      </c>
      <c r="O872">
        <f t="shared" si="30"/>
        <v>0.27833753148614609</v>
      </c>
      <c r="Q872" t="str">
        <f>Orders!D872</f>
        <v>PROD-006</v>
      </c>
    </row>
    <row r="873" spans="1:17" x14ac:dyDescent="0.3">
      <c r="A873" t="str">
        <f>Orders!A873</f>
        <v>ORD-00872</v>
      </c>
      <c r="B873">
        <f>Orders!B873</f>
        <v>45583</v>
      </c>
      <c r="C873">
        <f>Orders!I873</f>
        <v>3645.36</v>
      </c>
      <c r="D873" t="str">
        <f>Orders!E873</f>
        <v>R007</v>
      </c>
      <c r="E873" t="str">
        <f>IFERROR(VLOOKUP(Orders!D873,Products!$A$2:$C$61,3,FALSE),"Unknown")</f>
        <v>Electronics</v>
      </c>
      <c r="F873" t="str">
        <f>IFERROR(VLOOKUP(Orders!C873,Customers!$A$2:$E$301,5,FALSE),"Unknown")</f>
        <v>Retail</v>
      </c>
      <c r="G873">
        <f>IFERROR(VLOOKUP(Orders!C873,Customers!$A$2:$C$301,3,FALSE),"")</f>
        <v>52</v>
      </c>
      <c r="H873" t="str">
        <f>VLOOKUP(D873,Sales_Reps!$A$2:$C$31,3,FALSE)</f>
        <v>North</v>
      </c>
      <c r="I873" s="44">
        <f t="shared" si="29"/>
        <v>45566</v>
      </c>
      <c r="L873" t="str">
        <f>Orders!K873</f>
        <v>Hyderabad</v>
      </c>
      <c r="M873">
        <f>Orders!G873</f>
        <v>1220</v>
      </c>
      <c r="N873">
        <f>IFERROR(VLOOKUP(Orders!D873,Products!$A$2:$D$61,4,FALSE),"")</f>
        <v>517</v>
      </c>
      <c r="O873">
        <f t="shared" si="30"/>
        <v>0.57622950819672136</v>
      </c>
      <c r="Q873" t="str">
        <f>Orders!D873</f>
        <v>PROD-009</v>
      </c>
    </row>
    <row r="874" spans="1:17" x14ac:dyDescent="0.3">
      <c r="A874" t="str">
        <f>Orders!A874</f>
        <v>ORD-00873</v>
      </c>
      <c r="B874">
        <f>Orders!B874</f>
        <v>45409</v>
      </c>
      <c r="C874">
        <f>Orders!I874</f>
        <v>7602.96</v>
      </c>
      <c r="D874" t="str">
        <f>Orders!E874</f>
        <v>R026</v>
      </c>
      <c r="E874" t="str">
        <f>IFERROR(VLOOKUP(Orders!D874,Products!$A$2:$C$61,3,FALSE),"Unknown")</f>
        <v>Apparel</v>
      </c>
      <c r="F874" t="str">
        <f>IFERROR(VLOOKUP(Orders!C874,Customers!$A$2:$E$301,5,FALSE),"Unknown")</f>
        <v>Retail</v>
      </c>
      <c r="G874">
        <f>IFERROR(VLOOKUP(Orders!C874,Customers!$A$2:$C$301,3,FALSE),"")</f>
        <v>64</v>
      </c>
      <c r="H874" t="str">
        <f>VLOOKUP(D874,Sales_Reps!$A$2:$C$31,3,FALSE)</f>
        <v>West</v>
      </c>
      <c r="I874" s="44">
        <f t="shared" si="29"/>
        <v>45383</v>
      </c>
      <c r="L874" t="str">
        <f>Orders!K874</f>
        <v>Hyderabad</v>
      </c>
      <c r="M874">
        <f>Orders!G874</f>
        <v>3160</v>
      </c>
      <c r="N874">
        <f>IFERROR(VLOOKUP(Orders!D874,Products!$A$2:$D$61,4,FALSE),"")</f>
        <v>1886</v>
      </c>
      <c r="O874">
        <f t="shared" si="30"/>
        <v>0.4031645569620253</v>
      </c>
      <c r="Q874" t="str">
        <f>Orders!D874</f>
        <v>PROD-012</v>
      </c>
    </row>
    <row r="875" spans="1:17" x14ac:dyDescent="0.3">
      <c r="A875" t="str">
        <f>Orders!A875</f>
        <v>ORD-00874</v>
      </c>
      <c r="B875">
        <f>Orders!B875</f>
        <v>45430</v>
      </c>
      <c r="C875">
        <f>Orders!I875</f>
        <v>226.5</v>
      </c>
      <c r="D875" t="str">
        <f>Orders!E875</f>
        <v>R008</v>
      </c>
      <c r="E875" t="str">
        <f>IFERROR(VLOOKUP(Orders!D875,Products!$A$2:$C$61,3,FALSE),"Unknown")</f>
        <v>Electronics</v>
      </c>
      <c r="F875" t="str">
        <f>IFERROR(VLOOKUP(Orders!C875,Customers!$A$2:$E$301,5,FALSE),"Unknown")</f>
        <v>Retail</v>
      </c>
      <c r="G875">
        <f>IFERROR(VLOOKUP(Orders!C875,Customers!$A$2:$C$301,3,FALSE),"")</f>
        <v>44</v>
      </c>
      <c r="H875" t="str">
        <f>VLOOKUP(D875,Sales_Reps!$A$2:$C$31,3,FALSE)</f>
        <v>North</v>
      </c>
      <c r="I875" s="44">
        <f t="shared" si="29"/>
        <v>45413</v>
      </c>
      <c r="L875" t="str">
        <f>Orders!K875</f>
        <v>Mumbai</v>
      </c>
      <c r="M875">
        <f>Orders!G875</f>
        <v>300</v>
      </c>
      <c r="N875">
        <f>IFERROR(VLOOKUP(Orders!D875,Products!$A$2:$D$61,4,FALSE),"")</f>
        <v>128</v>
      </c>
      <c r="O875">
        <f t="shared" si="30"/>
        <v>0.57333333333333336</v>
      </c>
      <c r="Q875" t="str">
        <f>Orders!D875</f>
        <v>PROD-005</v>
      </c>
    </row>
    <row r="876" spans="1:17" x14ac:dyDescent="0.3">
      <c r="A876" t="str">
        <f>Orders!A876</f>
        <v>ORD-00875</v>
      </c>
      <c r="B876">
        <f>Orders!B876</f>
        <v>45654</v>
      </c>
      <c r="C876">
        <f>Orders!I876</f>
        <v>14938.5</v>
      </c>
      <c r="D876" t="str">
        <f>Orders!E876</f>
        <v>R029</v>
      </c>
      <c r="E876" t="str">
        <f>IFERROR(VLOOKUP(Orders!D876,Products!$A$2:$C$61,3,FALSE),"Unknown")</f>
        <v>Beauty</v>
      </c>
      <c r="F876" t="str">
        <f>IFERROR(VLOOKUP(Orders!C876,Customers!$A$2:$E$301,5,FALSE),"Unknown")</f>
        <v>SMB</v>
      </c>
      <c r="G876">
        <f>IFERROR(VLOOKUP(Orders!C876,Customers!$A$2:$C$301,3,FALSE),"")</f>
        <v>51</v>
      </c>
      <c r="H876" t="str">
        <f>VLOOKUP(D876,Sales_Reps!$A$2:$C$31,3,FALSE)</f>
        <v>West</v>
      </c>
      <c r="I876" s="44">
        <f t="shared" si="29"/>
        <v>45627</v>
      </c>
      <c r="L876" t="str">
        <f>Orders!K876</f>
        <v>Chennai</v>
      </c>
      <c r="M876">
        <f>Orders!G876</f>
        <v>3450</v>
      </c>
      <c r="N876">
        <f>IFERROR(VLOOKUP(Orders!D876,Products!$A$2:$D$61,4,FALSE),"")</f>
        <v>2420</v>
      </c>
      <c r="O876">
        <f t="shared" si="30"/>
        <v>0.29855072463768118</v>
      </c>
      <c r="Q876" t="str">
        <f>Orders!D876</f>
        <v>PROD-047</v>
      </c>
    </row>
    <row r="877" spans="1:17" x14ac:dyDescent="0.3">
      <c r="A877" t="str">
        <f>Orders!A877</f>
        <v>ORD-00876</v>
      </c>
      <c r="B877">
        <f>Orders!B877</f>
        <v>45397</v>
      </c>
      <c r="C877">
        <f>Orders!I877</f>
        <v>20474.72</v>
      </c>
      <c r="D877" t="str">
        <f>Orders!E877</f>
        <v>R027</v>
      </c>
      <c r="E877" t="str">
        <f>IFERROR(VLOOKUP(Orders!D877,Products!$A$2:$C$61,3,FALSE),"Unknown")</f>
        <v>Apparel</v>
      </c>
      <c r="F877" t="str">
        <f>IFERROR(VLOOKUP(Orders!C877,Customers!$A$2:$E$301,5,FALSE),"Unknown")</f>
        <v>Retail</v>
      </c>
      <c r="G877">
        <f>IFERROR(VLOOKUP(Orders!C877,Customers!$A$2:$C$301,3,FALSE),"")</f>
        <v>38</v>
      </c>
      <c r="H877" t="str">
        <f>VLOOKUP(D877,Sales_Reps!$A$2:$C$31,3,FALSE)</f>
        <v>West</v>
      </c>
      <c r="I877" s="44">
        <f t="shared" si="29"/>
        <v>45383</v>
      </c>
      <c r="L877" t="str">
        <f>Orders!K877</f>
        <v>Chennai</v>
      </c>
      <c r="M877">
        <f>Orders!G877</f>
        <v>3620</v>
      </c>
      <c r="N877">
        <f>IFERROR(VLOOKUP(Orders!D877,Products!$A$2:$D$61,4,FALSE),"")</f>
        <v>2509</v>
      </c>
      <c r="O877">
        <f t="shared" si="30"/>
        <v>0.3069060773480663</v>
      </c>
      <c r="Q877" t="str">
        <f>Orders!D877</f>
        <v>PROD-014</v>
      </c>
    </row>
    <row r="878" spans="1:17" x14ac:dyDescent="0.3">
      <c r="A878" t="str">
        <f>Orders!A878</f>
        <v>ORD-00877</v>
      </c>
      <c r="B878">
        <f>Orders!B878</f>
        <v>45505</v>
      </c>
      <c r="C878">
        <f>Orders!I878</f>
        <v>18046.5</v>
      </c>
      <c r="D878" t="str">
        <f>Orders!E878</f>
        <v>R010</v>
      </c>
      <c r="E878" t="str">
        <f>IFERROR(VLOOKUP(Orders!D878,Products!$A$2:$C$61,3,FALSE),"Unknown")</f>
        <v>Grocery</v>
      </c>
      <c r="F878" t="str">
        <f>IFERROR(VLOOKUP(Orders!C878,Customers!$A$2:$E$301,5,FALSE),"Unknown")</f>
        <v>Retail</v>
      </c>
      <c r="G878">
        <f>IFERROR(VLOOKUP(Orders!C878,Customers!$A$2:$C$301,3,FALSE),"")</f>
        <v>36</v>
      </c>
      <c r="H878" t="str">
        <f>VLOOKUP(D878,Sales_Reps!$A$2:$C$31,3,FALSE)</f>
        <v>South</v>
      </c>
      <c r="I878" s="44">
        <f t="shared" si="29"/>
        <v>45505</v>
      </c>
      <c r="L878" t="str">
        <f>Orders!K878</f>
        <v>Mumbai</v>
      </c>
      <c r="M878">
        <f>Orders!G878</f>
        <v>2270</v>
      </c>
      <c r="N878">
        <f>IFERROR(VLOOKUP(Orders!D878,Products!$A$2:$D$61,4,FALSE),"")</f>
        <v>1203</v>
      </c>
      <c r="O878">
        <f t="shared" si="30"/>
        <v>0.47004405286343615</v>
      </c>
      <c r="Q878" t="str">
        <f>Orders!D878</f>
        <v>PROD-024</v>
      </c>
    </row>
    <row r="879" spans="1:17" x14ac:dyDescent="0.3">
      <c r="A879" t="str">
        <f>Orders!A879</f>
        <v>ORD-00878</v>
      </c>
      <c r="B879">
        <f>Orders!B879</f>
        <v>45386</v>
      </c>
      <c r="C879">
        <f>Orders!I879</f>
        <v>9615.2000000000007</v>
      </c>
      <c r="D879" t="str">
        <f>Orders!E879</f>
        <v>R024</v>
      </c>
      <c r="E879" t="str">
        <f>IFERROR(VLOOKUP(Orders!D879,Products!$A$2:$C$61,3,FALSE),"Unknown")</f>
        <v>Apparel</v>
      </c>
      <c r="F879" t="str">
        <f>IFERROR(VLOOKUP(Orders!C879,Customers!$A$2:$E$301,5,FALSE),"Unknown")</f>
        <v>Corporate</v>
      </c>
      <c r="G879">
        <f>IFERROR(VLOOKUP(Orders!C879,Customers!$A$2:$C$301,3,FALSE),"")</f>
        <v>42</v>
      </c>
      <c r="H879" t="str">
        <f>VLOOKUP(D879,Sales_Reps!$A$2:$C$31,3,FALSE)</f>
        <v>West</v>
      </c>
      <c r="I879" s="44">
        <f t="shared" si="29"/>
        <v>45383</v>
      </c>
      <c r="L879" t="str">
        <f>Orders!K879</f>
        <v>Mumbai</v>
      </c>
      <c r="M879">
        <f>Orders!G879</f>
        <v>2720</v>
      </c>
      <c r="N879">
        <f>IFERROR(VLOOKUP(Orders!D879,Products!$A$2:$D$61,4,FALSE),"")</f>
        <v>1962</v>
      </c>
      <c r="O879">
        <f t="shared" si="30"/>
        <v>0.2786764705882353</v>
      </c>
      <c r="Q879" t="str">
        <f>Orders!D879</f>
        <v>PROD-015</v>
      </c>
    </row>
    <row r="880" spans="1:17" x14ac:dyDescent="0.3">
      <c r="A880" t="str">
        <f>Orders!A880</f>
        <v>ORD-00879</v>
      </c>
      <c r="B880">
        <f>Orders!B880</f>
        <v>45499</v>
      </c>
      <c r="C880">
        <f>Orders!I880</f>
        <v>33237.54</v>
      </c>
      <c r="D880" t="str">
        <f>Orders!E880</f>
        <v>R022</v>
      </c>
      <c r="E880" t="str">
        <f>IFERROR(VLOOKUP(Orders!D880,Products!$A$2:$C$61,3,FALSE),"Unknown")</f>
        <v>Grocery</v>
      </c>
      <c r="F880" t="str">
        <f>IFERROR(VLOOKUP(Orders!C880,Customers!$A$2:$E$301,5,FALSE),"Unknown")</f>
        <v>Retail</v>
      </c>
      <c r="G880">
        <f>IFERROR(VLOOKUP(Orders!C880,Customers!$A$2:$C$301,3,FALSE),"")</f>
        <v>31</v>
      </c>
      <c r="H880" t="str">
        <f>VLOOKUP(D880,Sales_Reps!$A$2:$C$31,3,FALSE)</f>
        <v>East</v>
      </c>
      <c r="I880" s="44">
        <f t="shared" si="29"/>
        <v>45474</v>
      </c>
      <c r="L880" t="str">
        <f>Orders!K880</f>
        <v>Chennai</v>
      </c>
      <c r="M880">
        <f>Orders!G880</f>
        <v>3780</v>
      </c>
      <c r="N880">
        <f>IFERROR(VLOOKUP(Orders!D880,Products!$A$2:$D$61,4,FALSE),"")</f>
        <v>2436</v>
      </c>
      <c r="O880">
        <f t="shared" si="30"/>
        <v>0.35555555555555557</v>
      </c>
      <c r="Q880" t="str">
        <f>Orders!D880</f>
        <v>PROD-027</v>
      </c>
    </row>
    <row r="881" spans="1:17" x14ac:dyDescent="0.3">
      <c r="A881" t="str">
        <f>Orders!A881</f>
        <v>ORD-00880</v>
      </c>
      <c r="B881">
        <f>Orders!B881</f>
        <v>45636</v>
      </c>
      <c r="C881">
        <f>Orders!I881</f>
        <v>32337.9</v>
      </c>
      <c r="D881" t="str">
        <f>Orders!E881</f>
        <v>R014</v>
      </c>
      <c r="E881" t="str">
        <f>IFERROR(VLOOKUP(Orders!D881,Products!$A$2:$C$61,3,FALSE),"Unknown")</f>
        <v>Grocery</v>
      </c>
      <c r="F881" t="str">
        <f>IFERROR(VLOOKUP(Orders!C881,Customers!$A$2:$E$301,5,FALSE),"Unknown")</f>
        <v>Retail</v>
      </c>
      <c r="G881">
        <f>IFERROR(VLOOKUP(Orders!C881,Customers!$A$2:$C$301,3,FALSE),"")</f>
        <v>34</v>
      </c>
      <c r="H881" t="str">
        <f>VLOOKUP(D881,Sales_Reps!$A$2:$C$31,3,FALSE)</f>
        <v>South</v>
      </c>
      <c r="I881" s="44">
        <f t="shared" si="29"/>
        <v>45627</v>
      </c>
      <c r="L881" t="str">
        <f>Orders!K881</f>
        <v>Chennai</v>
      </c>
      <c r="M881">
        <f>Orders!G881</f>
        <v>4060</v>
      </c>
      <c r="N881">
        <f>IFERROR(VLOOKUP(Orders!D881,Products!$A$2:$D$61,4,FALSE),"")</f>
        <v>2911</v>
      </c>
      <c r="O881">
        <f t="shared" si="30"/>
        <v>0.28300492610837441</v>
      </c>
      <c r="Q881" t="str">
        <f>Orders!D881</f>
        <v>PROD-025</v>
      </c>
    </row>
    <row r="882" spans="1:17" x14ac:dyDescent="0.3">
      <c r="A882" t="str">
        <f>Orders!A882</f>
        <v>ORD-00881</v>
      </c>
      <c r="B882">
        <f>Orders!B882</f>
        <v>45517</v>
      </c>
      <c r="C882">
        <f>Orders!I882</f>
        <v>26523.599999999999</v>
      </c>
      <c r="D882" t="str">
        <f>Orders!E882</f>
        <v>R012</v>
      </c>
      <c r="E882" t="str">
        <f>IFERROR(VLOOKUP(Orders!D882,Products!$A$2:$C$61,3,FALSE),"Unknown")</f>
        <v>Grocery</v>
      </c>
      <c r="F882" t="str">
        <f>IFERROR(VLOOKUP(Orders!C882,Customers!$A$2:$E$301,5,FALSE),"Unknown")</f>
        <v>Retail</v>
      </c>
      <c r="G882">
        <f>IFERROR(VLOOKUP(Orders!C882,Customers!$A$2:$C$301,3,FALSE),"")</f>
        <v>44</v>
      </c>
      <c r="H882" t="str">
        <f>VLOOKUP(D882,Sales_Reps!$A$2:$C$31,3,FALSE)</f>
        <v>South</v>
      </c>
      <c r="I882" s="44">
        <f t="shared" si="29"/>
        <v>45505</v>
      </c>
      <c r="L882" t="str">
        <f>Orders!K882</f>
        <v>Delhi</v>
      </c>
      <c r="M882">
        <f>Orders!G882</f>
        <v>2760</v>
      </c>
      <c r="N882">
        <f>IFERROR(VLOOKUP(Orders!D882,Products!$A$2:$D$61,4,FALSE),"")</f>
        <v>1435</v>
      </c>
      <c r="O882">
        <f t="shared" si="30"/>
        <v>0.48007246376811596</v>
      </c>
      <c r="Q882" t="str">
        <f>Orders!D882</f>
        <v>PROD-021</v>
      </c>
    </row>
    <row r="883" spans="1:17" x14ac:dyDescent="0.3">
      <c r="A883" t="str">
        <f>Orders!A883</f>
        <v>ORD-00882</v>
      </c>
      <c r="B883">
        <f>Orders!B883</f>
        <v>45593</v>
      </c>
      <c r="C883">
        <f>Orders!I883</f>
        <v>8488.7999999999993</v>
      </c>
      <c r="D883" t="str">
        <f>Orders!E883</f>
        <v>R021</v>
      </c>
      <c r="E883" t="str">
        <f>IFERROR(VLOOKUP(Orders!D883,Products!$A$2:$C$61,3,FALSE),"Unknown")</f>
        <v>Home</v>
      </c>
      <c r="F883" t="str">
        <f>IFERROR(VLOOKUP(Orders!C883,Customers!$A$2:$E$301,5,FALSE),"Unknown")</f>
        <v>Retail</v>
      </c>
      <c r="G883">
        <f>IFERROR(VLOOKUP(Orders!C883,Customers!$A$2:$C$301,3,FALSE),"")</f>
        <v>37</v>
      </c>
      <c r="H883" t="str">
        <f>VLOOKUP(D883,Sales_Reps!$A$2:$C$31,3,FALSE)</f>
        <v>East</v>
      </c>
      <c r="I883" s="44">
        <f t="shared" si="29"/>
        <v>45566</v>
      </c>
      <c r="L883" t="str">
        <f>Orders!K883</f>
        <v>Chennai</v>
      </c>
      <c r="M883">
        <f>Orders!G883</f>
        <v>1080</v>
      </c>
      <c r="N883">
        <f>IFERROR(VLOOKUP(Orders!D883,Products!$A$2:$D$61,4,FALSE),"")</f>
        <v>519</v>
      </c>
      <c r="O883">
        <f t="shared" si="30"/>
        <v>0.51944444444444449</v>
      </c>
      <c r="Q883" t="str">
        <f>Orders!D883</f>
        <v>PROD-040</v>
      </c>
    </row>
    <row r="884" spans="1:17" x14ac:dyDescent="0.3">
      <c r="A884" t="str">
        <f>Orders!A884</f>
        <v>ORD-00883</v>
      </c>
      <c r="B884">
        <f>Orders!B884</f>
        <v>45497</v>
      </c>
      <c r="C884">
        <f>Orders!I884</f>
        <v>21396.959999999999</v>
      </c>
      <c r="D884" t="str">
        <f>Orders!E884</f>
        <v>R023</v>
      </c>
      <c r="E884" t="str">
        <f>IFERROR(VLOOKUP(Orders!D884,Products!$A$2:$C$61,3,FALSE),"Unknown")</f>
        <v>Home</v>
      </c>
      <c r="F884" t="str">
        <f>IFERROR(VLOOKUP(Orders!C884,Customers!$A$2:$E$301,5,FALSE),"Unknown")</f>
        <v>Corporate</v>
      </c>
      <c r="G884">
        <f>IFERROR(VLOOKUP(Orders!C884,Customers!$A$2:$C$301,3,FALSE),"")</f>
        <v>42</v>
      </c>
      <c r="H884" t="str">
        <f>VLOOKUP(D884,Sales_Reps!$A$2:$C$31,3,FALSE)</f>
        <v>East</v>
      </c>
      <c r="I884" s="44">
        <f t="shared" si="29"/>
        <v>45474</v>
      </c>
      <c r="L884" t="str">
        <f>Orders!K884</f>
        <v>Mumbai</v>
      </c>
      <c r="M884">
        <f>Orders!G884</f>
        <v>5080</v>
      </c>
      <c r="N884">
        <f>IFERROR(VLOOKUP(Orders!D884,Products!$A$2:$D$61,4,FALSE),"")</f>
        <v>2459</v>
      </c>
      <c r="O884">
        <f t="shared" si="30"/>
        <v>0.51594488188976373</v>
      </c>
      <c r="Q884" t="str">
        <f>Orders!D884</f>
        <v>PROD-034</v>
      </c>
    </row>
    <row r="885" spans="1:17" x14ac:dyDescent="0.3">
      <c r="A885" t="str">
        <f>Orders!A885</f>
        <v>ORD-00884</v>
      </c>
      <c r="B885">
        <f>Orders!B885</f>
        <v>45293</v>
      </c>
      <c r="C885">
        <f>Orders!I885</f>
        <v>3503.84</v>
      </c>
      <c r="D885" t="str">
        <f>Orders!E885</f>
        <v>R030</v>
      </c>
      <c r="E885" t="str">
        <f>IFERROR(VLOOKUP(Orders!D885,Products!$A$2:$C$61,3,FALSE),"Unknown")</f>
        <v>Beauty</v>
      </c>
      <c r="F885" t="str">
        <f>IFERROR(VLOOKUP(Orders!C885,Customers!$A$2:$E$301,5,FALSE),"Unknown")</f>
        <v>Retail</v>
      </c>
      <c r="G885">
        <f>IFERROR(VLOOKUP(Orders!C885,Customers!$A$2:$C$301,3,FALSE),"")</f>
        <v>56</v>
      </c>
      <c r="H885" t="str">
        <f>VLOOKUP(D885,Sales_Reps!$A$2:$C$31,3,FALSE)</f>
        <v>West</v>
      </c>
      <c r="I885" s="44">
        <f t="shared" si="29"/>
        <v>45292</v>
      </c>
      <c r="L885" t="str">
        <f>Orders!K885</f>
        <v>Pune</v>
      </c>
      <c r="M885">
        <f>Orders!G885</f>
        <v>4880</v>
      </c>
      <c r="N885">
        <f>IFERROR(VLOOKUP(Orders!D885,Products!$A$2:$D$61,4,FALSE),"")</f>
        <v>2768</v>
      </c>
      <c r="O885">
        <f t="shared" si="30"/>
        <v>0.43278688524590164</v>
      </c>
      <c r="Q885" t="str">
        <f>Orders!D885</f>
        <v>PROD-046</v>
      </c>
    </row>
    <row r="886" spans="1:17" x14ac:dyDescent="0.3">
      <c r="A886" t="str">
        <f>Orders!A886</f>
        <v>ORD-00885</v>
      </c>
      <c r="B886">
        <f>Orders!B886</f>
        <v>45562</v>
      </c>
      <c r="C886">
        <f>Orders!I886</f>
        <v>1638.94</v>
      </c>
      <c r="D886" t="str">
        <f>Orders!E886</f>
        <v>R027</v>
      </c>
      <c r="E886" t="str">
        <f>IFERROR(VLOOKUP(Orders!D886,Products!$A$2:$C$61,3,FALSE),"Unknown")</f>
        <v>Grocery</v>
      </c>
      <c r="F886" t="str">
        <f>IFERROR(VLOOKUP(Orders!C886,Customers!$A$2:$E$301,5,FALSE),"Unknown")</f>
        <v>SMB</v>
      </c>
      <c r="G886">
        <f>IFERROR(VLOOKUP(Orders!C886,Customers!$A$2:$C$301,3,FALSE),"")</f>
        <v>36</v>
      </c>
      <c r="H886" t="str">
        <f>VLOOKUP(D886,Sales_Reps!$A$2:$C$31,3,FALSE)</f>
        <v>West</v>
      </c>
      <c r="I886" s="44">
        <f t="shared" si="29"/>
        <v>45536</v>
      </c>
      <c r="L886" t="str">
        <f>Orders!K886</f>
        <v>Mumbai</v>
      </c>
      <c r="M886">
        <f>Orders!G886</f>
        <v>2270</v>
      </c>
      <c r="N886">
        <f>IFERROR(VLOOKUP(Orders!D886,Products!$A$2:$D$61,4,FALSE),"")</f>
        <v>1412</v>
      </c>
      <c r="O886">
        <f t="shared" si="30"/>
        <v>0.37797356828193834</v>
      </c>
      <c r="Q886" t="str">
        <f>Orders!D886</f>
        <v>PROD-022</v>
      </c>
    </row>
    <row r="887" spans="1:17" x14ac:dyDescent="0.3">
      <c r="A887" t="str">
        <f>Orders!A887</f>
        <v>ORD-00886</v>
      </c>
      <c r="B887">
        <f>Orders!B887</f>
        <v>45638</v>
      </c>
      <c r="C887">
        <f>Orders!I887</f>
        <v>33228.9</v>
      </c>
      <c r="D887" t="str">
        <f>Orders!E887</f>
        <v>R019</v>
      </c>
      <c r="E887" t="str">
        <f>IFERROR(VLOOKUP(Orders!D887,Products!$A$2:$C$61,3,FALSE),"Unknown")</f>
        <v>Electronics</v>
      </c>
      <c r="F887" t="str">
        <f>IFERROR(VLOOKUP(Orders!C887,Customers!$A$2:$E$301,5,FALSE),"Unknown")</f>
        <v>SMB</v>
      </c>
      <c r="G887">
        <f>IFERROR(VLOOKUP(Orders!C887,Customers!$A$2:$C$301,3,FALSE),"")</f>
        <v>55</v>
      </c>
      <c r="H887" t="str">
        <f>VLOOKUP(D887,Sales_Reps!$A$2:$C$31,3,FALSE)</f>
        <v>East</v>
      </c>
      <c r="I887" s="44">
        <f t="shared" si="29"/>
        <v>45627</v>
      </c>
      <c r="L887" t="str">
        <f>Orders!K887</f>
        <v>Delhi</v>
      </c>
      <c r="M887">
        <f>Orders!G887</f>
        <v>3970</v>
      </c>
      <c r="N887">
        <f>IFERROR(VLOOKUP(Orders!D887,Products!$A$2:$D$61,4,FALSE),"")</f>
        <v>2865</v>
      </c>
      <c r="O887">
        <f t="shared" si="30"/>
        <v>0.27833753148614609</v>
      </c>
      <c r="Q887" t="str">
        <f>Orders!D887</f>
        <v>PROD-006</v>
      </c>
    </row>
    <row r="888" spans="1:17" x14ac:dyDescent="0.3">
      <c r="A888" t="str">
        <f>Orders!A888</f>
        <v>ORD-00887</v>
      </c>
      <c r="B888">
        <f>Orders!B888</f>
        <v>45408</v>
      </c>
      <c r="C888">
        <f>Orders!I888</f>
        <v>41447.699999999997</v>
      </c>
      <c r="D888" t="str">
        <f>Orders!E888</f>
        <v>R003</v>
      </c>
      <c r="E888" t="str">
        <f>IFERROR(VLOOKUP(Orders!D888,Products!$A$2:$C$61,3,FALSE),"Unknown")</f>
        <v>Beauty</v>
      </c>
      <c r="F888" t="str">
        <f>IFERROR(VLOOKUP(Orders!C888,Customers!$A$2:$E$301,5,FALSE),"Unknown")</f>
        <v>Retail</v>
      </c>
      <c r="G888">
        <f>IFERROR(VLOOKUP(Orders!C888,Customers!$A$2:$C$301,3,FALSE),"")</f>
        <v>52</v>
      </c>
      <c r="H888" t="str">
        <f>VLOOKUP(D888,Sales_Reps!$A$2:$C$31,3,FALSE)</f>
        <v>North</v>
      </c>
      <c r="I888" s="44">
        <f t="shared" si="29"/>
        <v>45383</v>
      </c>
      <c r="L888" t="str">
        <f>Orders!K888</f>
        <v>Mumbai</v>
      </c>
      <c r="M888">
        <f>Orders!G888</f>
        <v>5100</v>
      </c>
      <c r="N888">
        <f>IFERROR(VLOOKUP(Orders!D888,Products!$A$2:$D$61,4,FALSE),"")</f>
        <v>2237</v>
      </c>
      <c r="O888">
        <f t="shared" si="30"/>
        <v>0.56137254901960787</v>
      </c>
      <c r="Q888" t="str">
        <f>Orders!D888</f>
        <v>PROD-048</v>
      </c>
    </row>
    <row r="889" spans="1:17" x14ac:dyDescent="0.3">
      <c r="A889" t="str">
        <f>Orders!A889</f>
        <v>ORD-00888</v>
      </c>
      <c r="B889">
        <f>Orders!B889</f>
        <v>45498</v>
      </c>
      <c r="C889">
        <f>Orders!I889</f>
        <v>1364.96</v>
      </c>
      <c r="D889" t="str">
        <f>Orders!E889</f>
        <v>R005</v>
      </c>
      <c r="E889" t="str">
        <f>IFERROR(VLOOKUP(Orders!D889,Products!$A$2:$C$61,3,FALSE),"Unknown")</f>
        <v>Sports</v>
      </c>
      <c r="F889" t="str">
        <f>IFERROR(VLOOKUP(Orders!C889,Customers!$A$2:$E$301,5,FALSE),"Unknown")</f>
        <v>SMB</v>
      </c>
      <c r="G889">
        <f>IFERROR(VLOOKUP(Orders!C889,Customers!$A$2:$C$301,3,FALSE),"")</f>
        <v>29</v>
      </c>
      <c r="H889" t="str">
        <f>VLOOKUP(D889,Sales_Reps!$A$2:$C$31,3,FALSE)</f>
        <v>North</v>
      </c>
      <c r="I889" s="44">
        <f t="shared" si="29"/>
        <v>45474</v>
      </c>
      <c r="L889" t="str">
        <f>Orders!K889</f>
        <v>Delhi</v>
      </c>
      <c r="M889">
        <f>Orders!G889</f>
        <v>190</v>
      </c>
      <c r="N889">
        <f>IFERROR(VLOOKUP(Orders!D889,Products!$A$2:$D$61,4,FALSE),"")</f>
        <v>147</v>
      </c>
      <c r="O889">
        <f t="shared" si="30"/>
        <v>0.22631578947368422</v>
      </c>
      <c r="Q889" t="str">
        <f>Orders!D889</f>
        <v>PROD-060</v>
      </c>
    </row>
    <row r="890" spans="1:17" x14ac:dyDescent="0.3">
      <c r="A890" t="str">
        <f>Orders!A890</f>
        <v>ORD-00889</v>
      </c>
      <c r="B890">
        <f>Orders!B890</f>
        <v>45649</v>
      </c>
      <c r="C890">
        <f>Orders!I890</f>
        <v>5739.52</v>
      </c>
      <c r="D890" t="str">
        <f>Orders!E890</f>
        <v>R026</v>
      </c>
      <c r="E890" t="str">
        <f>IFERROR(VLOOKUP(Orders!D890,Products!$A$2:$C$61,3,FALSE),"Unknown")</f>
        <v>Beauty</v>
      </c>
      <c r="F890" t="str">
        <f>IFERROR(VLOOKUP(Orders!C890,Customers!$A$2:$E$301,5,FALSE),"Unknown")</f>
        <v>Retail</v>
      </c>
      <c r="G890">
        <f>IFERROR(VLOOKUP(Orders!C890,Customers!$A$2:$C$301,3,FALSE),"")</f>
        <v>42</v>
      </c>
      <c r="H890" t="str">
        <f>VLOOKUP(D890,Sales_Reps!$A$2:$C$31,3,FALSE)</f>
        <v>West</v>
      </c>
      <c r="I890" s="44">
        <f t="shared" si="29"/>
        <v>45627</v>
      </c>
      <c r="L890" t="str">
        <f>Orders!K890</f>
        <v>Mumbai</v>
      </c>
      <c r="M890">
        <f>Orders!G890</f>
        <v>6080</v>
      </c>
      <c r="N890">
        <f>IFERROR(VLOOKUP(Orders!D890,Products!$A$2:$D$61,4,FALSE),"")</f>
        <v>2617</v>
      </c>
      <c r="O890">
        <f t="shared" si="30"/>
        <v>0.56957236842105263</v>
      </c>
      <c r="Q890" t="str">
        <f>Orders!D890</f>
        <v>PROD-050</v>
      </c>
    </row>
    <row r="891" spans="1:17" x14ac:dyDescent="0.3">
      <c r="A891" t="str">
        <f>Orders!A891</f>
        <v>ORD-00890</v>
      </c>
      <c r="B891">
        <f>Orders!B891</f>
        <v>45484</v>
      </c>
      <c r="C891">
        <f>Orders!I891</f>
        <v>5650.56</v>
      </c>
      <c r="D891" t="str">
        <f>Orders!E891</f>
        <v>R020</v>
      </c>
      <c r="E891" t="str">
        <f>IFERROR(VLOOKUP(Orders!D891,Products!$A$2:$C$61,3,FALSE),"Unknown")</f>
        <v>Sports</v>
      </c>
      <c r="F891" t="str">
        <f>IFERROR(VLOOKUP(Orders!C891,Customers!$A$2:$E$301,5,FALSE),"Unknown")</f>
        <v>Retail</v>
      </c>
      <c r="G891">
        <f>IFERROR(VLOOKUP(Orders!C891,Customers!$A$2:$C$301,3,FALSE),"")</f>
        <v>39</v>
      </c>
      <c r="H891" t="str">
        <f>VLOOKUP(D891,Sales_Reps!$A$2:$C$31,3,FALSE)</f>
        <v>East</v>
      </c>
      <c r="I891" s="44">
        <f t="shared" si="29"/>
        <v>45474</v>
      </c>
      <c r="L891" t="str">
        <f>Orders!K891</f>
        <v>Mumbai</v>
      </c>
      <c r="M891">
        <f>Orders!G891</f>
        <v>960</v>
      </c>
      <c r="N891">
        <f>IFERROR(VLOOKUP(Orders!D891,Products!$A$2:$D$61,4,FALSE),"")</f>
        <v>705</v>
      </c>
      <c r="O891">
        <f t="shared" si="30"/>
        <v>0.265625</v>
      </c>
      <c r="Q891" t="str">
        <f>Orders!D891</f>
        <v>PROD-057</v>
      </c>
    </row>
    <row r="892" spans="1:17" x14ac:dyDescent="0.3">
      <c r="A892" t="str">
        <f>Orders!A892</f>
        <v>ORD-00891</v>
      </c>
      <c r="B892">
        <f>Orders!B892</f>
        <v>45316</v>
      </c>
      <c r="C892">
        <f>Orders!I892</f>
        <v>10014.620000000001</v>
      </c>
      <c r="D892" t="str">
        <f>Orders!E892</f>
        <v>R004</v>
      </c>
      <c r="E892" t="str">
        <f>IFERROR(VLOOKUP(Orders!D892,Products!$A$2:$C$61,3,FALSE),"Unknown")</f>
        <v>Beauty</v>
      </c>
      <c r="F892" t="str">
        <f>IFERROR(VLOOKUP(Orders!C892,Customers!$A$2:$E$301,5,FALSE),"Unknown")</f>
        <v>SMB</v>
      </c>
      <c r="G892">
        <f>IFERROR(VLOOKUP(Orders!C892,Customers!$A$2:$C$301,3,FALSE),"")</f>
        <v>48</v>
      </c>
      <c r="H892" t="str">
        <f>VLOOKUP(D892,Sales_Reps!$A$2:$C$31,3,FALSE)</f>
        <v>North</v>
      </c>
      <c r="I892" s="44">
        <f t="shared" si="29"/>
        <v>45292</v>
      </c>
      <c r="L892" t="str">
        <f>Orders!K892</f>
        <v>Delhi</v>
      </c>
      <c r="M892">
        <f>Orders!G892</f>
        <v>1540</v>
      </c>
      <c r="N892">
        <f>IFERROR(VLOOKUP(Orders!D892,Products!$A$2:$D$61,4,FALSE),"")</f>
        <v>647</v>
      </c>
      <c r="O892">
        <f t="shared" si="30"/>
        <v>0.57987012987012987</v>
      </c>
      <c r="Q892" t="str">
        <f>Orders!D892</f>
        <v>PROD-041</v>
      </c>
    </row>
    <row r="893" spans="1:17" x14ac:dyDescent="0.3">
      <c r="A893" t="str">
        <f>Orders!A893</f>
        <v>ORD-00892</v>
      </c>
      <c r="B893">
        <f>Orders!B893</f>
        <v>45328</v>
      </c>
      <c r="C893">
        <f>Orders!I893</f>
        <v>2616</v>
      </c>
      <c r="D893" t="str">
        <f>Orders!E893</f>
        <v>R011</v>
      </c>
      <c r="E893" t="str">
        <f>IFERROR(VLOOKUP(Orders!D893,Products!$A$2:$C$61,3,FALSE),"Unknown")</f>
        <v>Electronics</v>
      </c>
      <c r="F893" t="str">
        <f>IFERROR(VLOOKUP(Orders!C893,Customers!$A$2:$E$301,5,FALSE),"Unknown")</f>
        <v>Retail</v>
      </c>
      <c r="G893">
        <f>IFERROR(VLOOKUP(Orders!C893,Customers!$A$2:$C$301,3,FALSE),"")</f>
        <v>54</v>
      </c>
      <c r="H893" t="str">
        <f>VLOOKUP(D893,Sales_Reps!$A$2:$C$31,3,FALSE)</f>
        <v>South</v>
      </c>
      <c r="I893" s="44">
        <f t="shared" si="29"/>
        <v>45323</v>
      </c>
      <c r="L893" t="str">
        <f>Orders!K893</f>
        <v>Delhi</v>
      </c>
      <c r="M893">
        <f>Orders!G893</f>
        <v>300</v>
      </c>
      <c r="N893">
        <f>IFERROR(VLOOKUP(Orders!D893,Products!$A$2:$D$61,4,FALSE),"")</f>
        <v>128</v>
      </c>
      <c r="O893">
        <f t="shared" si="30"/>
        <v>0.57333333333333336</v>
      </c>
      <c r="Q893" t="str">
        <f>Orders!D893</f>
        <v>PROD-005</v>
      </c>
    </row>
    <row r="894" spans="1:17" x14ac:dyDescent="0.3">
      <c r="A894" t="str">
        <f>Orders!A894</f>
        <v>ORD-00893</v>
      </c>
      <c r="B894">
        <f>Orders!B894</f>
        <v>45456</v>
      </c>
      <c r="C894">
        <f>Orders!I894</f>
        <v>14347.2</v>
      </c>
      <c r="D894" t="str">
        <f>Orders!E894</f>
        <v>R011</v>
      </c>
      <c r="E894" t="str">
        <f>IFERROR(VLOOKUP(Orders!D894,Products!$A$2:$C$61,3,FALSE),"Unknown")</f>
        <v>Beauty</v>
      </c>
      <c r="F894" t="str">
        <f>IFERROR(VLOOKUP(Orders!C894,Customers!$A$2:$E$301,5,FALSE),"Unknown")</f>
        <v>SMB</v>
      </c>
      <c r="G894">
        <f>IFERROR(VLOOKUP(Orders!C894,Customers!$A$2:$C$301,3,FALSE),"")</f>
        <v>48</v>
      </c>
      <c r="H894" t="str">
        <f>VLOOKUP(D894,Sales_Reps!$A$2:$C$31,3,FALSE)</f>
        <v>South</v>
      </c>
      <c r="I894" s="44">
        <f t="shared" si="29"/>
        <v>45444</v>
      </c>
      <c r="L894" t="str">
        <f>Orders!K894</f>
        <v>Hyderabad</v>
      </c>
      <c r="M894">
        <f>Orders!G894</f>
        <v>4880</v>
      </c>
      <c r="N894">
        <f>IFERROR(VLOOKUP(Orders!D894,Products!$A$2:$D$61,4,FALSE),"")</f>
        <v>2768</v>
      </c>
      <c r="O894">
        <f t="shared" si="30"/>
        <v>0.43278688524590164</v>
      </c>
      <c r="Q894" t="str">
        <f>Orders!D894</f>
        <v>PROD-046</v>
      </c>
    </row>
    <row r="895" spans="1:17" x14ac:dyDescent="0.3">
      <c r="A895" t="str">
        <f>Orders!A895</f>
        <v>ORD-00894</v>
      </c>
      <c r="B895">
        <f>Orders!B895</f>
        <v>45589</v>
      </c>
      <c r="C895">
        <f>Orders!I895</f>
        <v>543.9</v>
      </c>
      <c r="D895" t="str">
        <f>Orders!E895</f>
        <v>R003</v>
      </c>
      <c r="E895" t="str">
        <f>IFERROR(VLOOKUP(Orders!D895,Products!$A$2:$C$61,3,FALSE),"Unknown")</f>
        <v>Home</v>
      </c>
      <c r="F895" t="str">
        <f>IFERROR(VLOOKUP(Orders!C895,Customers!$A$2:$E$301,5,FALSE),"Unknown")</f>
        <v>Retail</v>
      </c>
      <c r="G895">
        <f>IFERROR(VLOOKUP(Orders!C895,Customers!$A$2:$C$301,3,FALSE),"")</f>
        <v>54</v>
      </c>
      <c r="H895" t="str">
        <f>VLOOKUP(D895,Sales_Reps!$A$2:$C$31,3,FALSE)</f>
        <v>North</v>
      </c>
      <c r="I895" s="44">
        <f t="shared" si="29"/>
        <v>45566</v>
      </c>
      <c r="L895" t="str">
        <f>Orders!K895</f>
        <v>Bengaluru</v>
      </c>
      <c r="M895">
        <f>Orders!G895</f>
        <v>370</v>
      </c>
      <c r="N895">
        <f>IFERROR(VLOOKUP(Orders!D895,Products!$A$2:$D$61,4,FALSE),"")</f>
        <v>288</v>
      </c>
      <c r="O895">
        <f t="shared" si="30"/>
        <v>0.22162162162162163</v>
      </c>
      <c r="Q895" t="str">
        <f>Orders!D895</f>
        <v>PROD-032</v>
      </c>
    </row>
    <row r="896" spans="1:17" x14ac:dyDescent="0.3">
      <c r="A896" t="str">
        <f>Orders!A896</f>
        <v>ORD-00895</v>
      </c>
      <c r="B896">
        <f>Orders!B896</f>
        <v>45593</v>
      </c>
      <c r="C896">
        <f>Orders!I896</f>
        <v>9722.49</v>
      </c>
      <c r="D896" t="str">
        <f>Orders!E896</f>
        <v>R002</v>
      </c>
      <c r="E896" t="str">
        <f>IFERROR(VLOOKUP(Orders!D896,Products!$A$2:$C$61,3,FALSE),"Unknown")</f>
        <v>Home</v>
      </c>
      <c r="F896" t="str">
        <f>IFERROR(VLOOKUP(Orders!C896,Customers!$A$2:$E$301,5,FALSE),"Unknown")</f>
        <v>SMB</v>
      </c>
      <c r="G896">
        <f>IFERROR(VLOOKUP(Orders!C896,Customers!$A$2:$C$301,3,FALSE),"")</f>
        <v>44</v>
      </c>
      <c r="H896" t="str">
        <f>VLOOKUP(D896,Sales_Reps!$A$2:$C$31,3,FALSE)</f>
        <v>North</v>
      </c>
      <c r="I896" s="44">
        <f t="shared" si="29"/>
        <v>45566</v>
      </c>
      <c r="L896" t="str">
        <f>Orders!K896</f>
        <v>Bengaluru</v>
      </c>
      <c r="M896">
        <f>Orders!G896</f>
        <v>4610</v>
      </c>
      <c r="N896">
        <f>IFERROR(VLOOKUP(Orders!D896,Products!$A$2:$D$61,4,FALSE),"")</f>
        <v>1850</v>
      </c>
      <c r="O896">
        <f t="shared" si="30"/>
        <v>0.59869848156182215</v>
      </c>
      <c r="Q896" t="str">
        <f>Orders!D896</f>
        <v>PROD-039</v>
      </c>
    </row>
    <row r="897" spans="1:17" x14ac:dyDescent="0.3">
      <c r="A897" t="str">
        <f>Orders!A897</f>
        <v>ORD-00896</v>
      </c>
      <c r="B897">
        <f>Orders!B897</f>
        <v>45539</v>
      </c>
      <c r="C897">
        <f>Orders!I897</f>
        <v>10218</v>
      </c>
      <c r="D897" t="str">
        <f>Orders!E897</f>
        <v>R013</v>
      </c>
      <c r="E897" t="str">
        <f>IFERROR(VLOOKUP(Orders!D897,Products!$A$2:$C$61,3,FALSE),"Unknown")</f>
        <v>Electronics</v>
      </c>
      <c r="F897" t="str">
        <f>IFERROR(VLOOKUP(Orders!C897,Customers!$A$2:$E$301,5,FALSE),"Unknown")</f>
        <v>Retail</v>
      </c>
      <c r="G897">
        <f>IFERROR(VLOOKUP(Orders!C897,Customers!$A$2:$C$301,3,FALSE),"")</f>
        <v>35</v>
      </c>
      <c r="H897" t="str">
        <f>VLOOKUP(D897,Sales_Reps!$A$2:$C$31,3,FALSE)</f>
        <v>South</v>
      </c>
      <c r="I897" s="44">
        <f t="shared" si="29"/>
        <v>45536</v>
      </c>
      <c r="L897" t="str">
        <f>Orders!K897</f>
        <v>Mumbai</v>
      </c>
      <c r="M897">
        <f>Orders!G897</f>
        <v>2600</v>
      </c>
      <c r="N897">
        <f>IFERROR(VLOOKUP(Orders!D897,Products!$A$2:$D$61,4,FALSE),"")</f>
        <v>1052</v>
      </c>
      <c r="O897">
        <f t="shared" si="30"/>
        <v>0.5953846153846154</v>
      </c>
      <c r="Q897" t="str">
        <f>Orders!D897</f>
        <v>PROD-002</v>
      </c>
    </row>
    <row r="898" spans="1:17" x14ac:dyDescent="0.3">
      <c r="A898" t="str">
        <f>Orders!A898</f>
        <v>ORD-00600</v>
      </c>
      <c r="B898">
        <f>Orders!B898</f>
        <v>45436</v>
      </c>
      <c r="C898">
        <f>Orders!I898</f>
        <v>9235.4</v>
      </c>
      <c r="D898" t="str">
        <f>Orders!E898</f>
        <v>R025</v>
      </c>
      <c r="E898" t="str">
        <f>IFERROR(VLOOKUP(Orders!D898,Products!$A$2:$C$61,3,FALSE),"Unknown")</f>
        <v>Electronics</v>
      </c>
      <c r="F898" t="str">
        <f>IFERROR(VLOOKUP(Orders!C898,Customers!$A$2:$E$301,5,FALSE),"Unknown")</f>
        <v>Retail</v>
      </c>
      <c r="G898">
        <f>IFERROR(VLOOKUP(Orders!C898,Customers!$A$2:$C$301,3,FALSE),"")</f>
        <v>48</v>
      </c>
      <c r="H898" t="str">
        <f>VLOOKUP(D898,Sales_Reps!$A$2:$C$31,3,FALSE)</f>
        <v>West</v>
      </c>
      <c r="I898" s="44">
        <f t="shared" si="29"/>
        <v>45413</v>
      </c>
      <c r="L898" t="str">
        <f>Orders!K898</f>
        <v>Pune</v>
      </c>
      <c r="M898">
        <f>Orders!G898</f>
        <v>1220</v>
      </c>
      <c r="N898">
        <f>IFERROR(VLOOKUP(Orders!D898,Products!$A$2:$D$61,4,FALSE),"")</f>
        <v>517</v>
      </c>
      <c r="O898">
        <f t="shared" si="30"/>
        <v>0.57622950819672136</v>
      </c>
      <c r="Q898" t="str">
        <f>Orders!D898</f>
        <v>PROD-009</v>
      </c>
    </row>
    <row r="899" spans="1:17" x14ac:dyDescent="0.3">
      <c r="A899" t="str">
        <f>Orders!A899</f>
        <v>ORD-00898</v>
      </c>
      <c r="B899">
        <f>Orders!B899</f>
        <v>45646</v>
      </c>
      <c r="C899">
        <f>Orders!I899</f>
        <v>13570.7</v>
      </c>
      <c r="D899" t="str">
        <f>Orders!E899</f>
        <v>R015</v>
      </c>
      <c r="E899" t="str">
        <f>IFERROR(VLOOKUP(Orders!D899,Products!$A$2:$C$61,3,FALSE),"Unknown")</f>
        <v>Electronics</v>
      </c>
      <c r="F899" t="str">
        <f>IFERROR(VLOOKUP(Orders!C899,Customers!$A$2:$E$301,5,FALSE),"Unknown")</f>
        <v>Unknown</v>
      </c>
      <c r="G899" t="str">
        <f>IFERROR(VLOOKUP(Orders!C899,Customers!$A$2:$C$301,3,FALSE),"")</f>
        <v/>
      </c>
      <c r="H899" t="str">
        <f>VLOOKUP(D899,Sales_Reps!$A$2:$C$31,3,FALSE)</f>
        <v>South</v>
      </c>
      <c r="I899" s="44">
        <f t="shared" ref="I899:I962" si="31">DATE(YEAR(B899),MONTH(B899),1)</f>
        <v>45627</v>
      </c>
      <c r="L899" t="str">
        <f>Orders!K899</f>
        <v>Chennai</v>
      </c>
      <c r="M899">
        <f>Orders!G899</f>
        <v>1430</v>
      </c>
      <c r="N899">
        <f>IFERROR(VLOOKUP(Orders!D899,Products!$A$2:$D$61,4,FALSE),"")</f>
        <v>861</v>
      </c>
      <c r="O899">
        <f t="shared" ref="O899:O962" si="32">IF(OR(N899="",M899&lt;=0),"",(M899-N899)/M899)</f>
        <v>0.39790209790209791</v>
      </c>
      <c r="Q899" t="str">
        <f>Orders!D899</f>
        <v>PROD-007</v>
      </c>
    </row>
    <row r="900" spans="1:17" x14ac:dyDescent="0.3">
      <c r="A900" t="str">
        <f>Orders!A900</f>
        <v>ORD-00899</v>
      </c>
      <c r="B900">
        <f>Orders!B900</f>
        <v>45478</v>
      </c>
      <c r="C900">
        <f>Orders!I900</f>
        <v>36356</v>
      </c>
      <c r="D900" t="str">
        <f>Orders!E900</f>
        <v>R030</v>
      </c>
      <c r="E900" t="str">
        <f>IFERROR(VLOOKUP(Orders!D900,Products!$A$2:$C$61,3,FALSE),"Unknown")</f>
        <v>Beauty</v>
      </c>
      <c r="F900" t="str">
        <f>IFERROR(VLOOKUP(Orders!C900,Customers!$A$2:$E$301,5,FALSE),"Unknown")</f>
        <v>Retail</v>
      </c>
      <c r="G900">
        <f>IFERROR(VLOOKUP(Orders!C900,Customers!$A$2:$C$301,3,FALSE),"")</f>
        <v>41</v>
      </c>
      <c r="H900" t="str">
        <f>VLOOKUP(D900,Sales_Reps!$A$2:$C$31,3,FALSE)</f>
        <v>West</v>
      </c>
      <c r="I900" s="44">
        <f t="shared" si="31"/>
        <v>45474</v>
      </c>
      <c r="L900" t="str">
        <f>Orders!K900</f>
        <v>Chennai</v>
      </c>
      <c r="M900">
        <f>Orders!G900</f>
        <v>4880</v>
      </c>
      <c r="N900">
        <f>IFERROR(VLOOKUP(Orders!D900,Products!$A$2:$D$61,4,FALSE),"")</f>
        <v>2768</v>
      </c>
      <c r="O900">
        <f t="shared" si="32"/>
        <v>0.43278688524590164</v>
      </c>
      <c r="Q900" t="str">
        <f>Orders!D900</f>
        <v>PROD-046</v>
      </c>
    </row>
    <row r="901" spans="1:17" x14ac:dyDescent="0.3">
      <c r="A901" t="str">
        <f>Orders!A901</f>
        <v>ORD-00900</v>
      </c>
      <c r="B901">
        <f>Orders!B901</f>
        <v>45518</v>
      </c>
      <c r="C901">
        <f>Orders!I901</f>
        <v>28600.32</v>
      </c>
      <c r="D901" t="str">
        <f>Orders!E901</f>
        <v>R028</v>
      </c>
      <c r="E901" t="str">
        <f>IFERROR(VLOOKUP(Orders!D901,Products!$A$2:$C$61,3,FALSE),"Unknown")</f>
        <v>Beauty</v>
      </c>
      <c r="F901" t="str">
        <f>IFERROR(VLOOKUP(Orders!C901,Customers!$A$2:$E$301,5,FALSE),"Unknown")</f>
        <v>SMB</v>
      </c>
      <c r="G901">
        <f>IFERROR(VLOOKUP(Orders!C901,Customers!$A$2:$C$301,3,FALSE),"")</f>
        <v>31</v>
      </c>
      <c r="H901" t="str">
        <f>VLOOKUP(D901,Sales_Reps!$A$2:$C$31,3,FALSE)</f>
        <v>West</v>
      </c>
      <c r="I901" s="44">
        <f t="shared" si="31"/>
        <v>45505</v>
      </c>
      <c r="L901" t="str">
        <f>Orders!K901</f>
        <v>Hyderabad</v>
      </c>
      <c r="M901">
        <f>Orders!G901</f>
        <v>6080</v>
      </c>
      <c r="N901">
        <f>IFERROR(VLOOKUP(Orders!D901,Products!$A$2:$D$61,4,FALSE),"")</f>
        <v>2617</v>
      </c>
      <c r="O901">
        <f t="shared" si="32"/>
        <v>0.56957236842105263</v>
      </c>
      <c r="Q901" t="str">
        <f>Orders!D901</f>
        <v>PROD-050</v>
      </c>
    </row>
    <row r="902" spans="1:17" x14ac:dyDescent="0.3">
      <c r="A902" t="str">
        <f>Orders!A902</f>
        <v>ORD-00901</v>
      </c>
      <c r="B902">
        <f>Orders!B902</f>
        <v>45319</v>
      </c>
      <c r="C902">
        <f>Orders!I902</f>
        <v>7184.58</v>
      </c>
      <c r="D902" t="str">
        <f>Orders!E902</f>
        <v>R013</v>
      </c>
      <c r="E902" t="str">
        <f>IFERROR(VLOOKUP(Orders!D902,Products!$A$2:$C$61,3,FALSE),"Unknown")</f>
        <v>Beauty</v>
      </c>
      <c r="F902" t="str">
        <f>IFERROR(VLOOKUP(Orders!C902,Customers!$A$2:$E$301,5,FALSE),"Unknown")</f>
        <v>Corporate</v>
      </c>
      <c r="G902">
        <f>IFERROR(VLOOKUP(Orders!C902,Customers!$A$2:$C$301,3,FALSE),"")</f>
        <v>34</v>
      </c>
      <c r="H902" t="str">
        <f>VLOOKUP(D902,Sales_Reps!$A$2:$C$31,3,FALSE)</f>
        <v>South</v>
      </c>
      <c r="I902" s="44">
        <f t="shared" si="31"/>
        <v>45292</v>
      </c>
      <c r="L902" t="str">
        <f>Orders!K902</f>
        <v>Chennai</v>
      </c>
      <c r="M902">
        <f>Orders!G902</f>
        <v>3020</v>
      </c>
      <c r="N902">
        <f>IFERROR(VLOOKUP(Orders!D902,Products!$A$2:$D$61,4,FALSE),"")</f>
        <v>1626</v>
      </c>
      <c r="O902">
        <f t="shared" si="32"/>
        <v>0.46158940397350995</v>
      </c>
      <c r="Q902" t="str">
        <f>Orders!D902</f>
        <v>PROD-045</v>
      </c>
    </row>
    <row r="903" spans="1:17" x14ac:dyDescent="0.3">
      <c r="A903" t="str">
        <f>Orders!A903</f>
        <v>ORD-00902</v>
      </c>
      <c r="B903">
        <f>Orders!B903</f>
        <v>45445</v>
      </c>
      <c r="C903">
        <f>Orders!I903</f>
        <v>19241.28</v>
      </c>
      <c r="D903" t="str">
        <f>Orders!E903</f>
        <v>R013</v>
      </c>
      <c r="E903" t="str">
        <f>IFERROR(VLOOKUP(Orders!D903,Products!$A$2:$C$61,3,FALSE),"Unknown")</f>
        <v>Apparel</v>
      </c>
      <c r="F903" t="str">
        <f>IFERROR(VLOOKUP(Orders!C903,Customers!$A$2:$E$301,5,FALSE),"Unknown")</f>
        <v>Corporate</v>
      </c>
      <c r="G903">
        <f>IFERROR(VLOOKUP(Orders!C903,Customers!$A$2:$C$301,3,FALSE),"")</f>
        <v>59</v>
      </c>
      <c r="H903" t="str">
        <f>VLOOKUP(D903,Sales_Reps!$A$2:$C$31,3,FALSE)</f>
        <v>South</v>
      </c>
      <c r="I903" s="44">
        <f t="shared" si="31"/>
        <v>45444</v>
      </c>
      <c r="L903" t="str">
        <f>Orders!K903</f>
        <v>Bengaluru</v>
      </c>
      <c r="M903">
        <f>Orders!G903</f>
        <v>2720</v>
      </c>
      <c r="N903">
        <f>IFERROR(VLOOKUP(Orders!D903,Products!$A$2:$D$61,4,FALSE),"")</f>
        <v>1962</v>
      </c>
      <c r="O903">
        <f t="shared" si="32"/>
        <v>0.2786764705882353</v>
      </c>
      <c r="Q903" t="str">
        <f>Orders!D903</f>
        <v>PROD-015</v>
      </c>
    </row>
    <row r="904" spans="1:17" x14ac:dyDescent="0.3">
      <c r="A904" t="str">
        <f>Orders!A904</f>
        <v>ORD-00903</v>
      </c>
      <c r="B904">
        <f>Orders!B904</f>
        <v>45417</v>
      </c>
      <c r="C904">
        <f>Orders!I904</f>
        <v>34129.199999999997</v>
      </c>
      <c r="D904" t="str">
        <f>Orders!E904</f>
        <v>R025</v>
      </c>
      <c r="E904" t="str">
        <f>IFERROR(VLOOKUP(Orders!D904,Products!$A$2:$C$61,3,FALSE),"Unknown")</f>
        <v>Electronics</v>
      </c>
      <c r="F904" t="str">
        <f>IFERROR(VLOOKUP(Orders!C904,Customers!$A$2:$E$301,5,FALSE),"Unknown")</f>
        <v>SMB</v>
      </c>
      <c r="G904">
        <f>IFERROR(VLOOKUP(Orders!C904,Customers!$A$2:$C$301,3,FALSE),"")</f>
        <v>55</v>
      </c>
      <c r="H904" t="str">
        <f>VLOOKUP(D904,Sales_Reps!$A$2:$C$31,3,FALSE)</f>
        <v>West</v>
      </c>
      <c r="I904" s="44">
        <f t="shared" si="31"/>
        <v>45413</v>
      </c>
      <c r="L904" t="str">
        <f>Orders!K904</f>
        <v>Chennai</v>
      </c>
      <c r="M904">
        <f>Orders!G904</f>
        <v>3570</v>
      </c>
      <c r="N904">
        <f>IFERROR(VLOOKUP(Orders!D904,Products!$A$2:$D$61,4,FALSE),"")</f>
        <v>1665</v>
      </c>
      <c r="O904">
        <f t="shared" si="32"/>
        <v>0.53361344537815125</v>
      </c>
      <c r="Q904" t="str">
        <f>Orders!D904</f>
        <v>PROD-003</v>
      </c>
    </row>
    <row r="905" spans="1:17" x14ac:dyDescent="0.3">
      <c r="A905" t="str">
        <f>Orders!A905</f>
        <v>ORD-00904</v>
      </c>
      <c r="B905">
        <f>Orders!B905</f>
        <v>45309</v>
      </c>
      <c r="C905">
        <f>Orders!I905</f>
        <v>6583.68</v>
      </c>
      <c r="D905" t="str">
        <f>Orders!E905</f>
        <v>R014</v>
      </c>
      <c r="E905" t="str">
        <f>IFERROR(VLOOKUP(Orders!D905,Products!$A$2:$C$61,3,FALSE),"Unknown")</f>
        <v>Home</v>
      </c>
      <c r="F905" t="str">
        <f>IFERROR(VLOOKUP(Orders!C905,Customers!$A$2:$E$301,5,FALSE),"Unknown")</f>
        <v>SMB</v>
      </c>
      <c r="G905">
        <f>IFERROR(VLOOKUP(Orders!C905,Customers!$A$2:$C$301,3,FALSE),"")</f>
        <v>47</v>
      </c>
      <c r="H905" t="str">
        <f>VLOOKUP(D905,Sales_Reps!$A$2:$C$31,3,FALSE)</f>
        <v>South</v>
      </c>
      <c r="I905" s="44">
        <f t="shared" si="31"/>
        <v>45292</v>
      </c>
      <c r="L905" t="str">
        <f>Orders!K905</f>
        <v>Mumbai</v>
      </c>
      <c r="M905">
        <f>Orders!G905</f>
        <v>1080</v>
      </c>
      <c r="N905">
        <f>IFERROR(VLOOKUP(Orders!D905,Products!$A$2:$D$61,4,FALSE),"")</f>
        <v>519</v>
      </c>
      <c r="O905">
        <f t="shared" si="32"/>
        <v>0.51944444444444449</v>
      </c>
      <c r="Q905" t="str">
        <f>Orders!D905</f>
        <v>PROD-040</v>
      </c>
    </row>
    <row r="906" spans="1:17" x14ac:dyDescent="0.3">
      <c r="A906" t="str">
        <f>Orders!A906</f>
        <v>ORD-00905</v>
      </c>
      <c r="B906">
        <f>Orders!B906</f>
        <v>45367</v>
      </c>
      <c r="C906">
        <f>Orders!I906</f>
        <v>7194</v>
      </c>
      <c r="D906" t="str">
        <f>Orders!E906</f>
        <v>R011</v>
      </c>
      <c r="E906" t="str">
        <f>IFERROR(VLOOKUP(Orders!D906,Products!$A$2:$C$61,3,FALSE),"Unknown")</f>
        <v>Home</v>
      </c>
      <c r="F906" t="str">
        <f>IFERROR(VLOOKUP(Orders!C906,Customers!$A$2:$E$301,5,FALSE),"Unknown")</f>
        <v>Retail</v>
      </c>
      <c r="G906">
        <f>IFERROR(VLOOKUP(Orders!C906,Customers!$A$2:$C$301,3,FALSE),"")</f>
        <v>37</v>
      </c>
      <c r="H906" t="str">
        <f>VLOOKUP(D906,Sales_Reps!$A$2:$C$31,3,FALSE)</f>
        <v>South</v>
      </c>
      <c r="I906" s="44">
        <f t="shared" si="31"/>
        <v>45352</v>
      </c>
      <c r="L906" t="str">
        <f>Orders!K906</f>
        <v>Bengaluru</v>
      </c>
      <c r="M906">
        <f>Orders!G906</f>
        <v>1090</v>
      </c>
      <c r="N906">
        <f>IFERROR(VLOOKUP(Orders!D906,Products!$A$2:$D$61,4,FALSE),"")</f>
        <v>464</v>
      </c>
      <c r="O906">
        <f t="shared" si="32"/>
        <v>0.57431192660550456</v>
      </c>
      <c r="Q906" t="str">
        <f>Orders!D906</f>
        <v>PROD-035</v>
      </c>
    </row>
    <row r="907" spans="1:17" x14ac:dyDescent="0.3">
      <c r="A907" t="str">
        <f>Orders!A907</f>
        <v>ORD-00906</v>
      </c>
      <c r="B907">
        <f>Orders!B907</f>
        <v>45615</v>
      </c>
      <c r="C907">
        <f>Orders!I907</f>
        <v>22153.88</v>
      </c>
      <c r="D907" t="str">
        <f>Orders!E907</f>
        <v>R027</v>
      </c>
      <c r="E907" t="str">
        <f>IFERROR(VLOOKUP(Orders!D907,Products!$A$2:$C$61,3,FALSE),"Unknown")</f>
        <v>Apparel</v>
      </c>
      <c r="F907" t="str">
        <f>IFERROR(VLOOKUP(Orders!C907,Customers!$A$2:$E$301,5,FALSE),"Unknown")</f>
        <v>SMB</v>
      </c>
      <c r="G907">
        <f>IFERROR(VLOOKUP(Orders!C907,Customers!$A$2:$C$301,3,FALSE),"")</f>
        <v>51</v>
      </c>
      <c r="H907" t="str">
        <f>VLOOKUP(D907,Sales_Reps!$A$2:$C$31,3,FALSE)</f>
        <v>West</v>
      </c>
      <c r="I907" s="44">
        <f t="shared" si="31"/>
        <v>45597</v>
      </c>
      <c r="L907" t="str">
        <f>Orders!K907</f>
        <v>Chennai</v>
      </c>
      <c r="M907">
        <f>Orders!G907</f>
        <v>3560</v>
      </c>
      <c r="N907">
        <f>IFERROR(VLOOKUP(Orders!D907,Products!$A$2:$D$61,4,FALSE),"")</f>
        <v>2629</v>
      </c>
      <c r="O907">
        <f t="shared" si="32"/>
        <v>0.26151685393258428</v>
      </c>
      <c r="Q907" t="str">
        <f>Orders!D907</f>
        <v>PROD-018</v>
      </c>
    </row>
    <row r="908" spans="1:17" x14ac:dyDescent="0.3">
      <c r="A908" t="str">
        <f>Orders!A908</f>
        <v>ORD-00907</v>
      </c>
      <c r="B908">
        <f>Orders!B908</f>
        <v>45499</v>
      </c>
      <c r="C908">
        <f>Orders!I908</f>
        <v>945.06</v>
      </c>
      <c r="D908" t="str">
        <f>Orders!E908</f>
        <v>R022</v>
      </c>
      <c r="E908" t="str">
        <f>IFERROR(VLOOKUP(Orders!D908,Products!$A$2:$C$61,3,FALSE),"Unknown")</f>
        <v>Sports</v>
      </c>
      <c r="F908" t="str">
        <f>IFERROR(VLOOKUP(Orders!C908,Customers!$A$2:$E$301,5,FALSE),"Unknown")</f>
        <v>SMB</v>
      </c>
      <c r="G908">
        <f>IFERROR(VLOOKUP(Orders!C908,Customers!$A$2:$C$301,3,FALSE),"")</f>
        <v>54</v>
      </c>
      <c r="H908" t="str">
        <f>VLOOKUP(D908,Sales_Reps!$A$2:$C$31,3,FALSE)</f>
        <v>East</v>
      </c>
      <c r="I908" s="44">
        <f t="shared" si="31"/>
        <v>45474</v>
      </c>
      <c r="L908" t="str">
        <f>Orders!K908</f>
        <v>Mumbai</v>
      </c>
      <c r="M908">
        <f>Orders!G908</f>
        <v>190</v>
      </c>
      <c r="N908">
        <f>IFERROR(VLOOKUP(Orders!D908,Products!$A$2:$D$61,4,FALSE),"")</f>
        <v>147</v>
      </c>
      <c r="O908">
        <f t="shared" si="32"/>
        <v>0.22631578947368422</v>
      </c>
      <c r="Q908" t="str">
        <f>Orders!D908</f>
        <v>PROD-060</v>
      </c>
    </row>
    <row r="909" spans="1:17" x14ac:dyDescent="0.3">
      <c r="A909" t="str">
        <f>Orders!A909</f>
        <v>ORD-00908</v>
      </c>
      <c r="B909">
        <f>Orders!B909</f>
        <v>45356</v>
      </c>
      <c r="C909">
        <f>Orders!I909</f>
        <v>28249.48</v>
      </c>
      <c r="D909" t="str">
        <f>Orders!E909</f>
        <v>R025</v>
      </c>
      <c r="E909" t="str">
        <f>IFERROR(VLOOKUP(Orders!D909,Products!$A$2:$C$61,3,FALSE),"Unknown")</f>
        <v>Grocery</v>
      </c>
      <c r="F909" t="str">
        <f>IFERROR(VLOOKUP(Orders!C909,Customers!$A$2:$E$301,5,FALSE),"Unknown")</f>
        <v>Retail</v>
      </c>
      <c r="G909">
        <f>IFERROR(VLOOKUP(Orders!C909,Customers!$A$2:$C$301,3,FALSE),"")</f>
        <v>24</v>
      </c>
      <c r="H909" t="str">
        <f>VLOOKUP(D909,Sales_Reps!$A$2:$C$31,3,FALSE)</f>
        <v>West</v>
      </c>
      <c r="I909" s="44">
        <f t="shared" si="31"/>
        <v>45352</v>
      </c>
      <c r="L909" t="str">
        <f>Orders!K909</f>
        <v>Chennai</v>
      </c>
      <c r="M909">
        <f>Orders!G909</f>
        <v>4060</v>
      </c>
      <c r="N909">
        <f>IFERROR(VLOOKUP(Orders!D909,Products!$A$2:$D$61,4,FALSE),"")</f>
        <v>2911</v>
      </c>
      <c r="O909">
        <f t="shared" si="32"/>
        <v>0.28300492610837441</v>
      </c>
      <c r="Q909" t="str">
        <f>Orders!D909</f>
        <v>PROD-025</v>
      </c>
    </row>
    <row r="910" spans="1:17" x14ac:dyDescent="0.3">
      <c r="A910" t="str">
        <f>Orders!A910</f>
        <v>ORD-00909</v>
      </c>
      <c r="B910">
        <f>Orders!B910</f>
        <v>45346</v>
      </c>
      <c r="C910">
        <f>Orders!I910</f>
        <v>18089.64</v>
      </c>
      <c r="D910" t="str">
        <f>Orders!E910</f>
        <v>R021</v>
      </c>
      <c r="E910" t="str">
        <f>IFERROR(VLOOKUP(Orders!D910,Products!$A$2:$C$61,3,FALSE),"Unknown")</f>
        <v>Home</v>
      </c>
      <c r="F910" t="str">
        <f>IFERROR(VLOOKUP(Orders!C910,Customers!$A$2:$E$301,5,FALSE),"Unknown")</f>
        <v>Corporate</v>
      </c>
      <c r="G910">
        <f>IFERROR(VLOOKUP(Orders!C910,Customers!$A$2:$C$301,3,FALSE),"")</f>
        <v>40</v>
      </c>
      <c r="H910" t="str">
        <f>VLOOKUP(D910,Sales_Reps!$A$2:$C$31,3,FALSE)</f>
        <v>East</v>
      </c>
      <c r="I910" s="44">
        <f t="shared" si="31"/>
        <v>45323</v>
      </c>
      <c r="L910" t="str">
        <f>Orders!K910</f>
        <v>Pune</v>
      </c>
      <c r="M910">
        <f>Orders!G910</f>
        <v>4610</v>
      </c>
      <c r="N910">
        <f>IFERROR(VLOOKUP(Orders!D910,Products!$A$2:$D$61,4,FALSE),"")</f>
        <v>1850</v>
      </c>
      <c r="O910">
        <f t="shared" si="32"/>
        <v>0.59869848156182215</v>
      </c>
      <c r="Q910" t="str">
        <f>Orders!D910</f>
        <v>PROD-039</v>
      </c>
    </row>
    <row r="911" spans="1:17" x14ac:dyDescent="0.3">
      <c r="A911" t="str">
        <f>Orders!A911</f>
        <v>ORD-00910</v>
      </c>
      <c r="B911">
        <f>Orders!B911</f>
        <v>45640</v>
      </c>
      <c r="C911">
        <f>Orders!I911</f>
        <v>11916.96</v>
      </c>
      <c r="D911" t="str">
        <f>Orders!E911</f>
        <v>R020</v>
      </c>
      <c r="E911" t="str">
        <f>IFERROR(VLOOKUP(Orders!D911,Products!$A$2:$C$61,3,FALSE),"Unknown")</f>
        <v>Grocery</v>
      </c>
      <c r="F911" t="str">
        <f>IFERROR(VLOOKUP(Orders!C911,Customers!$A$2:$E$301,5,FALSE),"Unknown")</f>
        <v>Corporate</v>
      </c>
      <c r="G911">
        <f>IFERROR(VLOOKUP(Orders!C911,Customers!$A$2:$C$301,3,FALSE),"")</f>
        <v>22</v>
      </c>
      <c r="H911" t="str">
        <f>VLOOKUP(D911,Sales_Reps!$A$2:$C$31,3,FALSE)</f>
        <v>East</v>
      </c>
      <c r="I911" s="44">
        <f t="shared" si="31"/>
        <v>45627</v>
      </c>
      <c r="L911" t="str">
        <f>Orders!K911</f>
        <v>Chennai</v>
      </c>
      <c r="M911">
        <f>Orders!G911</f>
        <v>4070</v>
      </c>
      <c r="N911">
        <f>IFERROR(VLOOKUP(Orders!D911,Products!$A$2:$D$61,4,FALSE),"")</f>
        <v>2027</v>
      </c>
      <c r="O911">
        <f t="shared" si="32"/>
        <v>0.50196560196560192</v>
      </c>
      <c r="Q911" t="str">
        <f>Orders!D911</f>
        <v>PROD-026</v>
      </c>
    </row>
    <row r="912" spans="1:17" x14ac:dyDescent="0.3">
      <c r="A912" t="str">
        <f>Orders!A912</f>
        <v>ORD-00911</v>
      </c>
      <c r="B912">
        <f>Orders!B912</f>
        <v>45633</v>
      </c>
      <c r="C912">
        <f>Orders!I912</f>
        <v>12785.84</v>
      </c>
      <c r="D912" t="str">
        <f>Orders!E912</f>
        <v>R004</v>
      </c>
      <c r="E912" t="str">
        <f>IFERROR(VLOOKUP(Orders!D912,Products!$A$2:$C$61,3,FALSE),"Unknown")</f>
        <v>Apparel</v>
      </c>
      <c r="F912" t="str">
        <f>IFERROR(VLOOKUP(Orders!C912,Customers!$A$2:$E$301,5,FALSE),"Unknown")</f>
        <v>Retail</v>
      </c>
      <c r="G912">
        <f>IFERROR(VLOOKUP(Orders!C912,Customers!$A$2:$C$301,3,FALSE),"")</f>
        <v>27</v>
      </c>
      <c r="H912" t="str">
        <f>VLOOKUP(D912,Sales_Reps!$A$2:$C$31,3,FALSE)</f>
        <v>North</v>
      </c>
      <c r="I912" s="44">
        <f t="shared" si="31"/>
        <v>45627</v>
      </c>
      <c r="L912" t="str">
        <f>Orders!K912</f>
        <v>Hyderabad</v>
      </c>
      <c r="M912">
        <f>Orders!G912</f>
        <v>3620</v>
      </c>
      <c r="N912">
        <f>IFERROR(VLOOKUP(Orders!D912,Products!$A$2:$D$61,4,FALSE),"")</f>
        <v>2509</v>
      </c>
      <c r="O912">
        <f t="shared" si="32"/>
        <v>0.3069060773480663</v>
      </c>
      <c r="Q912" t="str">
        <f>Orders!D912</f>
        <v>PROD-014</v>
      </c>
    </row>
    <row r="913" spans="1:17" x14ac:dyDescent="0.3">
      <c r="A913" t="str">
        <f>Orders!A913</f>
        <v>ORD-00912</v>
      </c>
      <c r="B913">
        <f>Orders!B913</f>
        <v>45430</v>
      </c>
      <c r="C913">
        <f>Orders!I913</f>
        <v>8968.23</v>
      </c>
      <c r="D913" t="str">
        <f>Orders!E913</f>
        <v>R030</v>
      </c>
      <c r="E913" t="str">
        <f>IFERROR(VLOOKUP(Orders!D913,Products!$A$2:$C$61,3,FALSE),"Unknown")</f>
        <v>Electronics</v>
      </c>
      <c r="F913" t="str">
        <f>IFERROR(VLOOKUP(Orders!C913,Customers!$A$2:$E$301,5,FALSE),"Unknown")</f>
        <v>SMB</v>
      </c>
      <c r="G913">
        <f>IFERROR(VLOOKUP(Orders!C913,Customers!$A$2:$C$301,3,FALSE),"")</f>
        <v>57</v>
      </c>
      <c r="H913" t="str">
        <f>VLOOKUP(D913,Sales_Reps!$A$2:$C$31,3,FALSE)</f>
        <v>West</v>
      </c>
      <c r="I913" s="44">
        <f t="shared" si="31"/>
        <v>45413</v>
      </c>
      <c r="L913" t="str">
        <f>Orders!K913</f>
        <v>Chennai</v>
      </c>
      <c r="M913">
        <f>Orders!G913</f>
        <v>3970</v>
      </c>
      <c r="N913">
        <f>IFERROR(VLOOKUP(Orders!D913,Products!$A$2:$D$61,4,FALSE),"")</f>
        <v>2865</v>
      </c>
      <c r="O913">
        <f t="shared" si="32"/>
        <v>0.27833753148614609</v>
      </c>
      <c r="Q913" t="str">
        <f>Orders!D913</f>
        <v>PROD-006</v>
      </c>
    </row>
    <row r="914" spans="1:17" x14ac:dyDescent="0.3">
      <c r="A914" t="str">
        <f>Orders!A914</f>
        <v>ORD-00913</v>
      </c>
      <c r="B914">
        <f>Orders!B914</f>
        <v>45355</v>
      </c>
      <c r="C914">
        <f>Orders!I914</f>
        <v>3864.48</v>
      </c>
      <c r="D914" t="str">
        <f>Orders!E914</f>
        <v>R028</v>
      </c>
      <c r="E914" t="str">
        <f>IFERROR(VLOOKUP(Orders!D914,Products!$A$2:$C$61,3,FALSE),"Unknown")</f>
        <v>Grocery</v>
      </c>
      <c r="F914" t="str">
        <f>IFERROR(VLOOKUP(Orders!C914,Customers!$A$2:$E$301,5,FALSE),"Unknown")</f>
        <v>Corporate</v>
      </c>
      <c r="G914">
        <f>IFERROR(VLOOKUP(Orders!C914,Customers!$A$2:$C$301,3,FALSE),"")</f>
        <v>42</v>
      </c>
      <c r="H914" t="str">
        <f>VLOOKUP(D914,Sales_Reps!$A$2:$C$31,3,FALSE)</f>
        <v>West</v>
      </c>
      <c r="I914" s="44">
        <f t="shared" si="31"/>
        <v>45352</v>
      </c>
      <c r="L914" t="str">
        <f>Orders!K914</f>
        <v>Bengaluru</v>
      </c>
      <c r="M914">
        <f>Orders!G914</f>
        <v>970</v>
      </c>
      <c r="N914">
        <f>IFERROR(VLOOKUP(Orders!D914,Products!$A$2:$D$61,4,FALSE),"")</f>
        <v>434</v>
      </c>
      <c r="O914">
        <f t="shared" si="32"/>
        <v>0.5525773195876289</v>
      </c>
      <c r="Q914" t="str">
        <f>Orders!D914</f>
        <v>PROD-030</v>
      </c>
    </row>
    <row r="915" spans="1:17" x14ac:dyDescent="0.3">
      <c r="A915" t="str">
        <f>Orders!A915</f>
        <v>ORD-00914</v>
      </c>
      <c r="B915">
        <f>Orders!B915</f>
        <v>45379</v>
      </c>
      <c r="C915">
        <f>Orders!I915</f>
        <v>1893.12</v>
      </c>
      <c r="D915" t="str">
        <f>Orders!E915</f>
        <v>R023</v>
      </c>
      <c r="E915" t="str">
        <f>IFERROR(VLOOKUP(Orders!D915,Products!$A$2:$C$61,3,FALSE),"Unknown")</f>
        <v>Sports</v>
      </c>
      <c r="F915" t="str">
        <f>IFERROR(VLOOKUP(Orders!C915,Customers!$A$2:$E$301,5,FALSE),"Unknown")</f>
        <v>Retail</v>
      </c>
      <c r="G915">
        <f>IFERROR(VLOOKUP(Orders!C915,Customers!$A$2:$C$301,3,FALSE),"")</f>
        <v>29</v>
      </c>
      <c r="H915" t="str">
        <f>VLOOKUP(D915,Sales_Reps!$A$2:$C$31,3,FALSE)</f>
        <v>East</v>
      </c>
      <c r="I915" s="44">
        <f t="shared" si="31"/>
        <v>45352</v>
      </c>
      <c r="L915" t="str">
        <f>Orders!K915</f>
        <v>Hyderabad</v>
      </c>
      <c r="M915">
        <f>Orders!G915</f>
        <v>960</v>
      </c>
      <c r="N915">
        <f>IFERROR(VLOOKUP(Orders!D915,Products!$A$2:$D$61,4,FALSE),"")</f>
        <v>705</v>
      </c>
      <c r="O915">
        <f t="shared" si="32"/>
        <v>0.265625</v>
      </c>
      <c r="Q915" t="str">
        <f>Orders!D915</f>
        <v>PROD-057</v>
      </c>
    </row>
    <row r="916" spans="1:17" x14ac:dyDescent="0.3">
      <c r="A916" t="str">
        <f>Orders!A916</f>
        <v>ORD-00915</v>
      </c>
      <c r="B916">
        <f>Orders!B916</f>
        <v>45375</v>
      </c>
      <c r="C916">
        <f>Orders!I916</f>
        <v>1671.6</v>
      </c>
      <c r="D916" t="str">
        <f>Orders!E916</f>
        <v>R016</v>
      </c>
      <c r="E916" t="str">
        <f>IFERROR(VLOOKUP(Orders!D916,Products!$A$2:$C$61,3,FALSE),"Unknown")</f>
        <v>Electronics</v>
      </c>
      <c r="F916" t="str">
        <f>IFERROR(VLOOKUP(Orders!C916,Customers!$A$2:$E$301,5,FALSE),"Unknown")</f>
        <v>Retail</v>
      </c>
      <c r="G916">
        <f>IFERROR(VLOOKUP(Orders!C916,Customers!$A$2:$C$301,3,FALSE),"")</f>
        <v>54</v>
      </c>
      <c r="H916" t="str">
        <f>VLOOKUP(D916,Sales_Reps!$A$2:$C$31,3,FALSE)</f>
        <v>South</v>
      </c>
      <c r="I916" s="44">
        <f t="shared" si="31"/>
        <v>45352</v>
      </c>
      <c r="L916" t="str">
        <f>Orders!K916</f>
        <v>Mumbai</v>
      </c>
      <c r="M916">
        <f>Orders!G916</f>
        <v>300</v>
      </c>
      <c r="N916">
        <f>IFERROR(VLOOKUP(Orders!D916,Products!$A$2:$D$61,4,FALSE),"")</f>
        <v>128</v>
      </c>
      <c r="O916">
        <f t="shared" si="32"/>
        <v>0.57333333333333336</v>
      </c>
      <c r="Q916" t="str">
        <f>Orders!D916</f>
        <v>PROD-005</v>
      </c>
    </row>
    <row r="917" spans="1:17" x14ac:dyDescent="0.3">
      <c r="A917" t="str">
        <f>Orders!A917</f>
        <v>ORD-00916</v>
      </c>
      <c r="B917">
        <f>Orders!B917</f>
        <v>45397</v>
      </c>
      <c r="C917">
        <f>Orders!I917</f>
        <v>20342.400000000001</v>
      </c>
      <c r="D917" t="str">
        <f>Orders!E917</f>
        <v>R014</v>
      </c>
      <c r="E917" t="str">
        <f>IFERROR(VLOOKUP(Orders!D917,Products!$A$2:$C$61,3,FALSE),"Unknown")</f>
        <v>Electronics</v>
      </c>
      <c r="F917" t="str">
        <f>IFERROR(VLOOKUP(Orders!C917,Customers!$A$2:$E$301,5,FALSE),"Unknown")</f>
        <v>Retail</v>
      </c>
      <c r="G917">
        <f>IFERROR(VLOOKUP(Orders!C917,Customers!$A$2:$C$301,3,FALSE),"")</f>
        <v>46</v>
      </c>
      <c r="H917" t="str">
        <f>VLOOKUP(D917,Sales_Reps!$A$2:$C$31,3,FALSE)</f>
        <v>South</v>
      </c>
      <c r="I917" s="44">
        <f t="shared" si="31"/>
        <v>45383</v>
      </c>
      <c r="L917" t="str">
        <f>Orders!K917</f>
        <v>Hyderabad</v>
      </c>
      <c r="M917">
        <f>Orders!G917</f>
        <v>2600</v>
      </c>
      <c r="N917">
        <f>IFERROR(VLOOKUP(Orders!D917,Products!$A$2:$D$61,4,FALSE),"")</f>
        <v>1052</v>
      </c>
      <c r="O917">
        <f t="shared" si="32"/>
        <v>0.5953846153846154</v>
      </c>
      <c r="Q917" t="str">
        <f>Orders!D917</f>
        <v>PROD-002</v>
      </c>
    </row>
    <row r="918" spans="1:17" x14ac:dyDescent="0.3">
      <c r="A918" t="str">
        <f>Orders!A918</f>
        <v>ORD-00917</v>
      </c>
      <c r="B918">
        <f>Orders!B918</f>
        <v>45571</v>
      </c>
      <c r="C918">
        <f>Orders!I918</f>
        <v>609.02</v>
      </c>
      <c r="D918" t="str">
        <f>Orders!E918</f>
        <v>R008</v>
      </c>
      <c r="E918" t="str">
        <f>IFERROR(VLOOKUP(Orders!D918,Products!$A$2:$C$61,3,FALSE),"Unknown")</f>
        <v>Home</v>
      </c>
      <c r="F918" t="str">
        <f>IFERROR(VLOOKUP(Orders!C918,Customers!$A$2:$E$301,5,FALSE),"Unknown")</f>
        <v>Retail</v>
      </c>
      <c r="G918">
        <f>IFERROR(VLOOKUP(Orders!C918,Customers!$A$2:$C$301,3,FALSE),"")</f>
        <v>49</v>
      </c>
      <c r="H918" t="str">
        <f>VLOOKUP(D918,Sales_Reps!$A$2:$C$31,3,FALSE)</f>
        <v>North</v>
      </c>
      <c r="I918" s="44">
        <f t="shared" si="31"/>
        <v>45566</v>
      </c>
      <c r="L918" t="str">
        <f>Orders!K918</f>
        <v>Pune</v>
      </c>
      <c r="M918">
        <f>Orders!G918</f>
        <v>370</v>
      </c>
      <c r="N918">
        <f>IFERROR(VLOOKUP(Orders!D918,Products!$A$2:$D$61,4,FALSE),"")</f>
        <v>288</v>
      </c>
      <c r="O918">
        <f t="shared" si="32"/>
        <v>0.22162162162162163</v>
      </c>
      <c r="Q918" t="str">
        <f>Orders!D918</f>
        <v>PROD-032</v>
      </c>
    </row>
    <row r="919" spans="1:17" x14ac:dyDescent="0.3">
      <c r="A919" t="str">
        <f>Orders!A919</f>
        <v>ORD-00918</v>
      </c>
      <c r="B919">
        <f>Orders!B919</f>
        <v>45455</v>
      </c>
      <c r="C919">
        <f>Orders!I919</f>
        <v>12447.6</v>
      </c>
      <c r="D919" t="str">
        <f>Orders!E919</f>
        <v>R026</v>
      </c>
      <c r="E919" t="str">
        <f>IFERROR(VLOOKUP(Orders!D919,Products!$A$2:$C$61,3,FALSE),"Unknown")</f>
        <v>Beauty</v>
      </c>
      <c r="F919" t="str">
        <f>IFERROR(VLOOKUP(Orders!C919,Customers!$A$2:$E$301,5,FALSE),"Unknown")</f>
        <v>Corporate</v>
      </c>
      <c r="G919">
        <f>IFERROR(VLOOKUP(Orders!C919,Customers!$A$2:$C$301,3,FALSE),"")</f>
        <v>55</v>
      </c>
      <c r="H919" t="str">
        <f>VLOOKUP(D919,Sales_Reps!$A$2:$C$31,3,FALSE)</f>
        <v>West</v>
      </c>
      <c r="I919" s="44">
        <f t="shared" si="31"/>
        <v>45444</v>
      </c>
      <c r="L919" t="str">
        <f>Orders!K919</f>
        <v>Chennai</v>
      </c>
      <c r="M919">
        <f>Orders!G919</f>
        <v>3450</v>
      </c>
      <c r="N919">
        <f>IFERROR(VLOOKUP(Orders!D919,Products!$A$2:$D$61,4,FALSE),"")</f>
        <v>2420</v>
      </c>
      <c r="O919">
        <f t="shared" si="32"/>
        <v>0.29855072463768118</v>
      </c>
      <c r="Q919" t="str">
        <f>Orders!D919</f>
        <v>PROD-047</v>
      </c>
    </row>
    <row r="920" spans="1:17" x14ac:dyDescent="0.3">
      <c r="A920" t="str">
        <f>Orders!A920</f>
        <v>ORD-00919</v>
      </c>
      <c r="B920">
        <f>Orders!B920</f>
        <v>45486</v>
      </c>
      <c r="C920">
        <f>Orders!I920</f>
        <v>2336.16</v>
      </c>
      <c r="D920" t="str">
        <f>Orders!E920</f>
        <v>R020</v>
      </c>
      <c r="E920" t="str">
        <f>IFERROR(VLOOKUP(Orders!D920,Products!$A$2:$C$61,3,FALSE),"Unknown")</f>
        <v>Apparel</v>
      </c>
      <c r="F920" t="str">
        <f>IFERROR(VLOOKUP(Orders!C920,Customers!$A$2:$E$301,5,FALSE),"Unknown")</f>
        <v>SMB</v>
      </c>
      <c r="G920">
        <f>IFERROR(VLOOKUP(Orders!C920,Customers!$A$2:$C$301,3,FALSE),"")</f>
        <v>29</v>
      </c>
      <c r="H920" t="str">
        <f>VLOOKUP(D920,Sales_Reps!$A$2:$C$31,3,FALSE)</f>
        <v>East</v>
      </c>
      <c r="I920" s="44">
        <f t="shared" si="31"/>
        <v>45474</v>
      </c>
      <c r="L920" t="str">
        <f>Orders!K920</f>
        <v>Delhi</v>
      </c>
      <c r="M920">
        <f>Orders!G920</f>
        <v>2480</v>
      </c>
      <c r="N920">
        <f>IFERROR(VLOOKUP(Orders!D920,Products!$A$2:$D$61,4,FALSE),"")</f>
        <v>1173</v>
      </c>
      <c r="O920">
        <f t="shared" si="32"/>
        <v>0.52701612903225803</v>
      </c>
      <c r="Q920" t="str">
        <f>Orders!D920</f>
        <v>PROD-019</v>
      </c>
    </row>
    <row r="921" spans="1:17" x14ac:dyDescent="0.3">
      <c r="A921" t="str">
        <f>Orders!A921</f>
        <v>ORD-00920</v>
      </c>
      <c r="B921">
        <f>Orders!B921</f>
        <v>45329</v>
      </c>
      <c r="C921">
        <f>Orders!I921</f>
        <v>17439.900000000001</v>
      </c>
      <c r="D921" t="str">
        <f>Orders!E921</f>
        <v>R019</v>
      </c>
      <c r="E921" t="str">
        <f>IFERROR(VLOOKUP(Orders!D921,Products!$A$2:$C$61,3,FALSE),"Unknown")</f>
        <v>Grocery</v>
      </c>
      <c r="F921" t="str">
        <f>IFERROR(VLOOKUP(Orders!C921,Customers!$A$2:$E$301,5,FALSE),"Unknown")</f>
        <v>Corporate</v>
      </c>
      <c r="G921">
        <f>IFERROR(VLOOKUP(Orders!C921,Customers!$A$2:$C$301,3,FALSE),"")</f>
        <v>60</v>
      </c>
      <c r="H921" t="str">
        <f>VLOOKUP(D921,Sales_Reps!$A$2:$C$31,3,FALSE)</f>
        <v>East</v>
      </c>
      <c r="I921" s="44">
        <f t="shared" si="31"/>
        <v>45323</v>
      </c>
      <c r="L921" t="str">
        <f>Orders!K921</f>
        <v>Mumbai</v>
      </c>
      <c r="M921">
        <f>Orders!G921</f>
        <v>3660</v>
      </c>
      <c r="N921">
        <f>IFERROR(VLOOKUP(Orders!D921,Products!$A$2:$D$61,4,FALSE),"")</f>
        <v>2214</v>
      </c>
      <c r="O921">
        <f t="shared" si="32"/>
        <v>0.39508196721311473</v>
      </c>
      <c r="Q921" t="str">
        <f>Orders!D921</f>
        <v>PROD-028</v>
      </c>
    </row>
    <row r="922" spans="1:17" x14ac:dyDescent="0.3">
      <c r="A922" t="str">
        <f>Orders!A922</f>
        <v>ORD-00921</v>
      </c>
      <c r="B922">
        <f>Orders!B922</f>
        <v>45315</v>
      </c>
      <c r="C922">
        <f>Orders!I922</f>
        <v>10556.7</v>
      </c>
      <c r="D922" t="str">
        <f>Orders!E922</f>
        <v>R023</v>
      </c>
      <c r="E922" t="str">
        <f>IFERROR(VLOOKUP(Orders!D922,Products!$A$2:$C$61,3,FALSE),"Unknown")</f>
        <v>Beauty</v>
      </c>
      <c r="F922" t="str">
        <f>IFERROR(VLOOKUP(Orders!C922,Customers!$A$2:$E$301,5,FALSE),"Unknown")</f>
        <v>Retail</v>
      </c>
      <c r="G922">
        <f>IFERROR(VLOOKUP(Orders!C922,Customers!$A$2:$C$301,3,FALSE),"")</f>
        <v>26</v>
      </c>
      <c r="H922" t="str">
        <f>VLOOKUP(D922,Sales_Reps!$A$2:$C$31,3,FALSE)</f>
        <v>East</v>
      </c>
      <c r="I922" s="44">
        <f t="shared" si="31"/>
        <v>45292</v>
      </c>
      <c r="L922" t="str">
        <f>Orders!K922</f>
        <v>Chennai</v>
      </c>
      <c r="M922">
        <f>Orders!G922</f>
        <v>1650</v>
      </c>
      <c r="N922">
        <f>IFERROR(VLOOKUP(Orders!D922,Products!$A$2:$D$61,4,FALSE),"")</f>
        <v>1222</v>
      </c>
      <c r="O922">
        <f t="shared" si="32"/>
        <v>0.2593939393939394</v>
      </c>
      <c r="Q922" t="str">
        <f>Orders!D922</f>
        <v>PROD-044</v>
      </c>
    </row>
    <row r="923" spans="1:17" x14ac:dyDescent="0.3">
      <c r="A923" t="str">
        <f>Orders!A923</f>
        <v>ORD-00922</v>
      </c>
      <c r="B923">
        <f>Orders!B923</f>
        <v>45473</v>
      </c>
      <c r="C923">
        <f>Orders!I923</f>
        <v>973.56</v>
      </c>
      <c r="D923" t="str">
        <f>Orders!E923</f>
        <v>R025</v>
      </c>
      <c r="E923" t="str">
        <f>IFERROR(VLOOKUP(Orders!D923,Products!$A$2:$C$61,3,FALSE),"Unknown")</f>
        <v>Sports</v>
      </c>
      <c r="F923" t="str">
        <f>IFERROR(VLOOKUP(Orders!C923,Customers!$A$2:$E$301,5,FALSE),"Unknown")</f>
        <v>Corporate</v>
      </c>
      <c r="G923">
        <f>IFERROR(VLOOKUP(Orders!C923,Customers!$A$2:$C$301,3,FALSE),"")</f>
        <v>56</v>
      </c>
      <c r="H923" t="str">
        <f>VLOOKUP(D923,Sales_Reps!$A$2:$C$31,3,FALSE)</f>
        <v>West</v>
      </c>
      <c r="I923" s="44">
        <f t="shared" si="31"/>
        <v>45444</v>
      </c>
      <c r="L923" t="str">
        <f>Orders!K923</f>
        <v>Hyderabad</v>
      </c>
      <c r="M923">
        <f>Orders!G923</f>
        <v>190</v>
      </c>
      <c r="N923">
        <f>IFERROR(VLOOKUP(Orders!D923,Products!$A$2:$D$61,4,FALSE),"")</f>
        <v>147</v>
      </c>
      <c r="O923">
        <f t="shared" si="32"/>
        <v>0.22631578947368422</v>
      </c>
      <c r="Q923" t="str">
        <f>Orders!D923</f>
        <v>PROD-060</v>
      </c>
    </row>
    <row r="924" spans="1:17" x14ac:dyDescent="0.3">
      <c r="A924" t="str">
        <f>Orders!A924</f>
        <v>ORD-00923</v>
      </c>
      <c r="B924">
        <f>Orders!B924</f>
        <v>45546</v>
      </c>
      <c r="C924">
        <f>Orders!I924</f>
        <v>10680.35</v>
      </c>
      <c r="D924" t="str">
        <f>Orders!E924</f>
        <v>R001</v>
      </c>
      <c r="E924" t="str">
        <f>IFERROR(VLOOKUP(Orders!D924,Products!$A$2:$C$61,3,FALSE),"Unknown")</f>
        <v>Grocery</v>
      </c>
      <c r="F924" t="str">
        <f>IFERROR(VLOOKUP(Orders!C924,Customers!$A$2:$E$301,5,FALSE),"Unknown")</f>
        <v>Corporate</v>
      </c>
      <c r="G924">
        <f>IFERROR(VLOOKUP(Orders!C924,Customers!$A$2:$C$301,3,FALSE),"")</f>
        <v>40</v>
      </c>
      <c r="H924" t="str">
        <f>VLOOKUP(D924,Sales_Reps!$A$2:$C$31,3,FALSE)</f>
        <v>North</v>
      </c>
      <c r="I924" s="44">
        <f t="shared" si="31"/>
        <v>45536</v>
      </c>
      <c r="L924" t="str">
        <f>Orders!K924</f>
        <v>Pune</v>
      </c>
      <c r="M924">
        <f>Orders!G924</f>
        <v>2270</v>
      </c>
      <c r="N924">
        <f>IFERROR(VLOOKUP(Orders!D924,Products!$A$2:$D$61,4,FALSE),"")</f>
        <v>1412</v>
      </c>
      <c r="O924">
        <f t="shared" si="32"/>
        <v>0.37797356828193834</v>
      </c>
      <c r="Q924" t="str">
        <f>Orders!D924</f>
        <v>PROD-022</v>
      </c>
    </row>
    <row r="925" spans="1:17" x14ac:dyDescent="0.3">
      <c r="A925" t="str">
        <f>Orders!A925</f>
        <v>ORD-00924</v>
      </c>
      <c r="B925">
        <f>Orders!B925</f>
        <v>45625</v>
      </c>
      <c r="C925">
        <f>Orders!I925</f>
        <v>1931.77</v>
      </c>
      <c r="D925" t="str">
        <f>Orders!E925</f>
        <v>R011</v>
      </c>
      <c r="E925" t="str">
        <f>IFERROR(VLOOKUP(Orders!D925,Products!$A$2:$C$61,3,FALSE),"Unknown")</f>
        <v>Grocery</v>
      </c>
      <c r="F925" t="str">
        <f>IFERROR(VLOOKUP(Orders!C925,Customers!$A$2:$E$301,5,FALSE),"Unknown")</f>
        <v>Retail</v>
      </c>
      <c r="G925">
        <f>IFERROR(VLOOKUP(Orders!C925,Customers!$A$2:$C$301,3,FALSE),"")</f>
        <v>61</v>
      </c>
      <c r="H925" t="str">
        <f>VLOOKUP(D925,Sales_Reps!$A$2:$C$31,3,FALSE)</f>
        <v>South</v>
      </c>
      <c r="I925" s="44">
        <f t="shared" si="31"/>
        <v>45597</v>
      </c>
      <c r="L925" t="str">
        <f>Orders!K925</f>
        <v>Bengaluru</v>
      </c>
      <c r="M925">
        <f>Orders!G925</f>
        <v>2270</v>
      </c>
      <c r="N925">
        <f>IFERROR(VLOOKUP(Orders!D925,Products!$A$2:$D$61,4,FALSE),"")</f>
        <v>1203</v>
      </c>
      <c r="O925">
        <f t="shared" si="32"/>
        <v>0.47004405286343615</v>
      </c>
      <c r="Q925" t="str">
        <f>Orders!D925</f>
        <v>PROD-024</v>
      </c>
    </row>
    <row r="926" spans="1:17" x14ac:dyDescent="0.3">
      <c r="A926" t="str">
        <f>Orders!A926</f>
        <v>ORD-00925</v>
      </c>
      <c r="B926">
        <f>Orders!B926</f>
        <v>45579</v>
      </c>
      <c r="C926">
        <f>Orders!I926</f>
        <v>12185.4</v>
      </c>
      <c r="D926" t="str">
        <f>Orders!E926</f>
        <v>R018</v>
      </c>
      <c r="E926" t="str">
        <f>IFERROR(VLOOKUP(Orders!D926,Products!$A$2:$C$61,3,FALSE),"Unknown")</f>
        <v>Apparel</v>
      </c>
      <c r="F926" t="str">
        <f>IFERROR(VLOOKUP(Orders!C926,Customers!$A$2:$E$301,5,FALSE),"Unknown")</f>
        <v>Retail</v>
      </c>
      <c r="G926">
        <f>IFERROR(VLOOKUP(Orders!C926,Customers!$A$2:$C$301,3,FALSE),"")</f>
        <v>52</v>
      </c>
      <c r="H926" t="str">
        <f>VLOOKUP(D926,Sales_Reps!$A$2:$C$31,3,FALSE)</f>
        <v>East</v>
      </c>
      <c r="I926" s="44">
        <f t="shared" si="31"/>
        <v>45566</v>
      </c>
      <c r="L926" t="str">
        <f>Orders!K926</f>
        <v>Mumbai</v>
      </c>
      <c r="M926">
        <f>Orders!G926</f>
        <v>3450</v>
      </c>
      <c r="N926">
        <f>IFERROR(VLOOKUP(Orders!D926,Products!$A$2:$D$61,4,FALSE),"")</f>
        <v>1748</v>
      </c>
      <c r="O926">
        <f t="shared" si="32"/>
        <v>0.49333333333333335</v>
      </c>
      <c r="Q926" t="str">
        <f>Orders!D926</f>
        <v>PROD-011</v>
      </c>
    </row>
    <row r="927" spans="1:17" x14ac:dyDescent="0.3">
      <c r="A927" t="str">
        <f>Orders!A927</f>
        <v>ORD-00926</v>
      </c>
      <c r="B927">
        <f>Orders!B927</f>
        <v>45323</v>
      </c>
      <c r="C927">
        <f>Orders!I927</f>
        <v>17165.68</v>
      </c>
      <c r="D927" t="str">
        <f>Orders!E927</f>
        <v>R028</v>
      </c>
      <c r="E927" t="str">
        <f>IFERROR(VLOOKUP(Orders!D927,Products!$A$2:$C$61,3,FALSE),"Unknown")</f>
        <v>Beauty</v>
      </c>
      <c r="F927" t="str">
        <f>IFERROR(VLOOKUP(Orders!C927,Customers!$A$2:$E$301,5,FALSE),"Unknown")</f>
        <v>Retail</v>
      </c>
      <c r="G927">
        <f>IFERROR(VLOOKUP(Orders!C927,Customers!$A$2:$C$301,3,FALSE),"")</f>
        <v>44</v>
      </c>
      <c r="H927" t="str">
        <f>VLOOKUP(D927,Sales_Reps!$A$2:$C$31,3,FALSE)</f>
        <v>West</v>
      </c>
      <c r="I927" s="44">
        <f t="shared" si="31"/>
        <v>45323</v>
      </c>
      <c r="L927" t="str">
        <f>Orders!K927</f>
        <v>Mumbai</v>
      </c>
      <c r="M927">
        <f>Orders!G927</f>
        <v>3020</v>
      </c>
      <c r="N927">
        <f>IFERROR(VLOOKUP(Orders!D927,Products!$A$2:$D$61,4,FALSE),"")</f>
        <v>1626</v>
      </c>
      <c r="O927">
        <f t="shared" si="32"/>
        <v>0.46158940397350995</v>
      </c>
      <c r="Q927" t="str">
        <f>Orders!D927</f>
        <v>PROD-045</v>
      </c>
    </row>
    <row r="928" spans="1:17" x14ac:dyDescent="0.3">
      <c r="A928" t="str">
        <f>Orders!A928</f>
        <v>ORD-00927</v>
      </c>
      <c r="B928">
        <f>Orders!B928</f>
        <v>45613</v>
      </c>
      <c r="C928">
        <f>Orders!I928</f>
        <v>6033.16</v>
      </c>
      <c r="D928" t="str">
        <f>Orders!E928</f>
        <v>R016</v>
      </c>
      <c r="E928" t="str">
        <f>IFERROR(VLOOKUP(Orders!D928,Products!$A$2:$C$61,3,FALSE),"Unknown")</f>
        <v>Home</v>
      </c>
      <c r="F928" t="str">
        <f>IFERROR(VLOOKUP(Orders!C928,Customers!$A$2:$E$301,5,FALSE),"Unknown")</f>
        <v>Retail</v>
      </c>
      <c r="G928">
        <f>IFERROR(VLOOKUP(Orders!C928,Customers!$A$2:$C$301,3,FALSE),"")</f>
        <v>47</v>
      </c>
      <c r="H928" t="str">
        <f>VLOOKUP(D928,Sales_Reps!$A$2:$C$31,3,FALSE)</f>
        <v>South</v>
      </c>
      <c r="I928" s="44">
        <f t="shared" si="31"/>
        <v>45597</v>
      </c>
      <c r="L928" t="str">
        <f>Orders!K928</f>
        <v>Bengaluru</v>
      </c>
      <c r="M928">
        <f>Orders!G928</f>
        <v>2030</v>
      </c>
      <c r="N928">
        <f>IFERROR(VLOOKUP(Orders!D928,Products!$A$2:$D$61,4,FALSE),"")</f>
        <v>1143</v>
      </c>
      <c r="O928">
        <f t="shared" si="32"/>
        <v>0.43694581280788175</v>
      </c>
      <c r="Q928" t="str">
        <f>Orders!D928</f>
        <v>PROD-033</v>
      </c>
    </row>
    <row r="929" spans="1:17" x14ac:dyDescent="0.3">
      <c r="A929" t="str">
        <f>Orders!A929</f>
        <v>ORD-00928</v>
      </c>
      <c r="B929">
        <f>Orders!B929</f>
        <v>45362</v>
      </c>
      <c r="C929">
        <f>Orders!I929</f>
        <v>13261.8</v>
      </c>
      <c r="D929" t="str">
        <f>Orders!E929</f>
        <v>R014</v>
      </c>
      <c r="E929" t="str">
        <f>IFERROR(VLOOKUP(Orders!D929,Products!$A$2:$C$61,3,FALSE),"Unknown")</f>
        <v>Apparel</v>
      </c>
      <c r="F929" t="str">
        <f>IFERROR(VLOOKUP(Orders!C929,Customers!$A$2:$E$301,5,FALSE),"Unknown")</f>
        <v>Retail</v>
      </c>
      <c r="G929">
        <f>IFERROR(VLOOKUP(Orders!C929,Customers!$A$2:$C$301,3,FALSE),"")</f>
        <v>38</v>
      </c>
      <c r="H929" t="str">
        <f>VLOOKUP(D929,Sales_Reps!$A$2:$C$31,3,FALSE)</f>
        <v>South</v>
      </c>
      <c r="I929" s="44">
        <f t="shared" si="31"/>
        <v>45352</v>
      </c>
      <c r="L929" t="str">
        <f>Orders!K929</f>
        <v>Chennai</v>
      </c>
      <c r="M929">
        <f>Orders!G929</f>
        <v>3450</v>
      </c>
      <c r="N929">
        <f>IFERROR(VLOOKUP(Orders!D929,Products!$A$2:$D$61,4,FALSE),"")</f>
        <v>1748</v>
      </c>
      <c r="O929">
        <f t="shared" si="32"/>
        <v>0.49333333333333335</v>
      </c>
      <c r="Q929" t="str">
        <f>Orders!D929</f>
        <v>PROD-011</v>
      </c>
    </row>
    <row r="930" spans="1:17" x14ac:dyDescent="0.3">
      <c r="A930" t="str">
        <f>Orders!A930</f>
        <v>ORD-00929</v>
      </c>
      <c r="B930">
        <f>Orders!B930</f>
        <v>45347</v>
      </c>
      <c r="C930">
        <f>Orders!I930</f>
        <v>4416</v>
      </c>
      <c r="D930" t="str">
        <f>Orders!E930</f>
        <v>R028</v>
      </c>
      <c r="E930" t="str">
        <f>IFERROR(VLOOKUP(Orders!D930,Products!$A$2:$C$61,3,FALSE),"Unknown")</f>
        <v>Beauty</v>
      </c>
      <c r="F930" t="str">
        <f>IFERROR(VLOOKUP(Orders!C930,Customers!$A$2:$E$301,5,FALSE),"Unknown")</f>
        <v>Retail</v>
      </c>
      <c r="G930">
        <f>IFERROR(VLOOKUP(Orders!C930,Customers!$A$2:$C$301,3,FALSE),"")</f>
        <v>44</v>
      </c>
      <c r="H930" t="str">
        <f>VLOOKUP(D930,Sales_Reps!$A$2:$C$31,3,FALSE)</f>
        <v>West</v>
      </c>
      <c r="I930" s="44">
        <f t="shared" si="31"/>
        <v>45323</v>
      </c>
      <c r="L930" t="str">
        <f>Orders!K930</f>
        <v>Mumbai</v>
      </c>
      <c r="M930">
        <f>Orders!G930</f>
        <v>960</v>
      </c>
      <c r="N930">
        <f>IFERROR(VLOOKUP(Orders!D930,Products!$A$2:$D$61,4,FALSE),"")</f>
        <v>675</v>
      </c>
      <c r="O930">
        <f t="shared" si="32"/>
        <v>0.296875</v>
      </c>
      <c r="Q930" t="str">
        <f>Orders!D930</f>
        <v>PROD-049</v>
      </c>
    </row>
    <row r="931" spans="1:17" x14ac:dyDescent="0.3">
      <c r="A931" t="str">
        <f>Orders!A931</f>
        <v>ORD-00930</v>
      </c>
      <c r="B931">
        <f>Orders!B931</f>
        <v>45550</v>
      </c>
      <c r="C931">
        <f>Orders!I931</f>
        <v>24538.57</v>
      </c>
      <c r="D931" t="str">
        <f>Orders!E931</f>
        <v>R001</v>
      </c>
      <c r="E931" t="str">
        <f>IFERROR(VLOOKUP(Orders!D931,Products!$A$2:$C$61,3,FALSE),"Unknown")</f>
        <v>Electronics</v>
      </c>
      <c r="F931" t="str">
        <f>IFERROR(VLOOKUP(Orders!C931,Customers!$A$2:$E$301,5,FALSE),"Unknown")</f>
        <v>Retail</v>
      </c>
      <c r="G931">
        <f>IFERROR(VLOOKUP(Orders!C931,Customers!$A$2:$C$301,3,FALSE),"")</f>
        <v>52</v>
      </c>
      <c r="H931" t="str">
        <f>VLOOKUP(D931,Sales_Reps!$A$2:$C$31,3,FALSE)</f>
        <v>North</v>
      </c>
      <c r="I931" s="44">
        <f t="shared" si="31"/>
        <v>45536</v>
      </c>
      <c r="L931" t="str">
        <f>Orders!K931</f>
        <v>Delhi</v>
      </c>
      <c r="M931">
        <f>Orders!G931</f>
        <v>3970</v>
      </c>
      <c r="N931">
        <f>IFERROR(VLOOKUP(Orders!D931,Products!$A$2:$D$61,4,FALSE),"")</f>
        <v>2865</v>
      </c>
      <c r="O931">
        <f t="shared" si="32"/>
        <v>0.27833753148614609</v>
      </c>
      <c r="Q931" t="str">
        <f>Orders!D931</f>
        <v>PROD-006</v>
      </c>
    </row>
    <row r="932" spans="1:17" x14ac:dyDescent="0.3">
      <c r="A932" t="str">
        <f>Orders!A932</f>
        <v>ORD-00931</v>
      </c>
      <c r="B932">
        <f>Orders!B932</f>
        <v>45554</v>
      </c>
      <c r="C932">
        <f>Orders!I932</f>
        <v>14607</v>
      </c>
      <c r="D932" t="str">
        <f>Orders!E932</f>
        <v>R026</v>
      </c>
      <c r="E932" t="str">
        <f>IFERROR(VLOOKUP(Orders!D932,Products!$A$2:$C$61,3,FALSE),"Unknown")</f>
        <v>Sports</v>
      </c>
      <c r="F932" t="str">
        <f>IFERROR(VLOOKUP(Orders!C932,Customers!$A$2:$E$301,5,FALSE),"Unknown")</f>
        <v>Corporate</v>
      </c>
      <c r="G932">
        <f>IFERROR(VLOOKUP(Orders!C932,Customers!$A$2:$C$301,3,FALSE),"")</f>
        <v>46</v>
      </c>
      <c r="H932" t="str">
        <f>VLOOKUP(D932,Sales_Reps!$A$2:$C$31,3,FALSE)</f>
        <v>West</v>
      </c>
      <c r="I932" s="44">
        <f t="shared" si="31"/>
        <v>45536</v>
      </c>
      <c r="L932" t="str">
        <f>Orders!K932</f>
        <v>Hyderabad</v>
      </c>
      <c r="M932">
        <f>Orders!G932</f>
        <v>5410</v>
      </c>
      <c r="N932">
        <f>IFERROR(VLOOKUP(Orders!D932,Products!$A$2:$D$61,4,FALSE),"")</f>
        <v>2265</v>
      </c>
      <c r="O932">
        <f t="shared" si="32"/>
        <v>0.58133086876155271</v>
      </c>
      <c r="Q932" t="str">
        <f>Orders!D932</f>
        <v>PROD-052</v>
      </c>
    </row>
    <row r="933" spans="1:17" x14ac:dyDescent="0.3">
      <c r="A933" t="str">
        <f>Orders!A933</f>
        <v>ORD-00932</v>
      </c>
      <c r="B933">
        <f>Orders!B933</f>
        <v>45428</v>
      </c>
      <c r="C933">
        <f>Orders!I933</f>
        <v>26132.400000000001</v>
      </c>
      <c r="D933" t="str">
        <f>Orders!E933</f>
        <v>R007</v>
      </c>
      <c r="E933" t="str">
        <f>IFERROR(VLOOKUP(Orders!D933,Products!$A$2:$C$61,3,FALSE),"Unknown")</f>
        <v>Electronics</v>
      </c>
      <c r="F933" t="str">
        <f>IFERROR(VLOOKUP(Orders!C933,Customers!$A$2:$E$301,5,FALSE),"Unknown")</f>
        <v>Corporate</v>
      </c>
      <c r="G933">
        <f>IFERROR(VLOOKUP(Orders!C933,Customers!$A$2:$C$301,3,FALSE),"")</f>
        <v>37</v>
      </c>
      <c r="H933" t="str">
        <f>VLOOKUP(D933,Sales_Reps!$A$2:$C$31,3,FALSE)</f>
        <v>North</v>
      </c>
      <c r="I933" s="44">
        <f t="shared" si="31"/>
        <v>45413</v>
      </c>
      <c r="L933" t="str">
        <f>Orders!K933</f>
        <v>Pune</v>
      </c>
      <c r="M933">
        <f>Orders!G933</f>
        <v>3570</v>
      </c>
      <c r="N933">
        <f>IFERROR(VLOOKUP(Orders!D933,Products!$A$2:$D$61,4,FALSE),"")</f>
        <v>1665</v>
      </c>
      <c r="O933">
        <f t="shared" si="32"/>
        <v>0.53361344537815125</v>
      </c>
      <c r="Q933" t="str">
        <f>Orders!D933</f>
        <v>PROD-003</v>
      </c>
    </row>
    <row r="934" spans="1:17" x14ac:dyDescent="0.3">
      <c r="A934" t="str">
        <f>Orders!A934</f>
        <v>ORD-00933</v>
      </c>
      <c r="B934">
        <f>Orders!B934</f>
        <v>45517</v>
      </c>
      <c r="C934">
        <f>Orders!I934</f>
        <v>13267.8</v>
      </c>
      <c r="D934" t="str">
        <f>Orders!E934</f>
        <v>R014</v>
      </c>
      <c r="E934" t="str">
        <f>IFERROR(VLOOKUP(Orders!D934,Products!$A$2:$C$61,3,FALSE),"Unknown")</f>
        <v>Electronics</v>
      </c>
      <c r="F934" t="str">
        <f>IFERROR(VLOOKUP(Orders!C934,Customers!$A$2:$E$301,5,FALSE),"Unknown")</f>
        <v>SMB</v>
      </c>
      <c r="G934">
        <f>IFERROR(VLOOKUP(Orders!C934,Customers!$A$2:$C$301,3,FALSE),"")</f>
        <v>54</v>
      </c>
      <c r="H934" t="str">
        <f>VLOOKUP(D934,Sales_Reps!$A$2:$C$31,3,FALSE)</f>
        <v>South</v>
      </c>
      <c r="I934" s="44">
        <f t="shared" si="31"/>
        <v>45505</v>
      </c>
      <c r="L934" t="str">
        <f>Orders!K934</f>
        <v>Mumbai</v>
      </c>
      <c r="M934">
        <f>Orders!G934</f>
        <v>2600</v>
      </c>
      <c r="N934">
        <f>IFERROR(VLOOKUP(Orders!D934,Products!$A$2:$D$61,4,FALSE),"")</f>
        <v>1052</v>
      </c>
      <c r="O934">
        <f t="shared" si="32"/>
        <v>0.5953846153846154</v>
      </c>
      <c r="Q934" t="str">
        <f>Orders!D934</f>
        <v>PROD-002</v>
      </c>
    </row>
    <row r="935" spans="1:17" x14ac:dyDescent="0.3">
      <c r="A935" t="str">
        <f>Orders!A935</f>
        <v>ORD-00934</v>
      </c>
      <c r="B935">
        <f>Orders!B935</f>
        <v>45442</v>
      </c>
      <c r="C935">
        <f>Orders!I935</f>
        <v>2752.32</v>
      </c>
      <c r="D935" t="str">
        <f>Orders!E935</f>
        <v>R026</v>
      </c>
      <c r="E935" t="str">
        <f>IFERROR(VLOOKUP(Orders!D935,Products!$A$2:$C$61,3,FALSE),"Unknown")</f>
        <v>Sports</v>
      </c>
      <c r="F935" t="str">
        <f>IFERROR(VLOOKUP(Orders!C935,Customers!$A$2:$E$301,5,FALSE),"Unknown")</f>
        <v>Corporate</v>
      </c>
      <c r="G935">
        <f>IFERROR(VLOOKUP(Orders!C935,Customers!$A$2:$C$301,3,FALSE),"")</f>
        <v>55</v>
      </c>
      <c r="H935" t="str">
        <f>VLOOKUP(D935,Sales_Reps!$A$2:$C$31,3,FALSE)</f>
        <v>West</v>
      </c>
      <c r="I935" s="44">
        <f t="shared" si="31"/>
        <v>45413</v>
      </c>
      <c r="L935" t="str">
        <f>Orders!K935</f>
        <v>Delhi</v>
      </c>
      <c r="M935">
        <f>Orders!G935</f>
        <v>470</v>
      </c>
      <c r="N935">
        <f>IFERROR(VLOOKUP(Orders!D935,Products!$A$2:$D$61,4,FALSE),"")</f>
        <v>302</v>
      </c>
      <c r="O935">
        <f t="shared" si="32"/>
        <v>0.35744680851063831</v>
      </c>
      <c r="Q935" t="str">
        <f>Orders!D935</f>
        <v>PROD-053</v>
      </c>
    </row>
    <row r="936" spans="1:17" x14ac:dyDescent="0.3">
      <c r="A936" t="str">
        <f>Orders!A936</f>
        <v>ORD-00935</v>
      </c>
      <c r="B936">
        <f>Orders!B936</f>
        <v>45371</v>
      </c>
      <c r="C936">
        <f>Orders!I936</f>
        <v>1321.17</v>
      </c>
      <c r="D936" t="str">
        <f>Orders!E936</f>
        <v>R025</v>
      </c>
      <c r="E936" t="str">
        <f>IFERROR(VLOOKUP(Orders!D936,Products!$A$2:$C$61,3,FALSE),"Unknown")</f>
        <v>Sports</v>
      </c>
      <c r="F936" t="str">
        <f>IFERROR(VLOOKUP(Orders!C936,Customers!$A$2:$E$301,5,FALSE),"Unknown")</f>
        <v>Retail</v>
      </c>
      <c r="G936">
        <f>IFERROR(VLOOKUP(Orders!C936,Customers!$A$2:$C$301,3,FALSE),"")</f>
        <v>29</v>
      </c>
      <c r="H936" t="str">
        <f>VLOOKUP(D936,Sales_Reps!$A$2:$C$31,3,FALSE)</f>
        <v>West</v>
      </c>
      <c r="I936" s="44">
        <f t="shared" si="31"/>
        <v>45352</v>
      </c>
      <c r="L936" t="str">
        <f>Orders!K936</f>
        <v>Bengaluru</v>
      </c>
      <c r="M936">
        <f>Orders!G936</f>
        <v>470</v>
      </c>
      <c r="N936">
        <f>IFERROR(VLOOKUP(Orders!D936,Products!$A$2:$D$61,4,FALSE),"")</f>
        <v>302</v>
      </c>
      <c r="O936">
        <f t="shared" si="32"/>
        <v>0.35744680851063831</v>
      </c>
      <c r="Q936" t="str">
        <f>Orders!D936</f>
        <v>PROD-053</v>
      </c>
    </row>
    <row r="937" spans="1:17" x14ac:dyDescent="0.3">
      <c r="A937" t="str">
        <f>Orders!A937</f>
        <v>ORD-00936</v>
      </c>
      <c r="B937">
        <f>Orders!B937</f>
        <v>45540</v>
      </c>
      <c r="C937">
        <f>Orders!I937</f>
        <v>9140.0400000000009</v>
      </c>
      <c r="D937" t="str">
        <f>Orders!E937</f>
        <v>R004</v>
      </c>
      <c r="E937" t="str">
        <f>IFERROR(VLOOKUP(Orders!D937,Products!$A$2:$C$61,3,FALSE),"Unknown")</f>
        <v>Sports</v>
      </c>
      <c r="F937" t="str">
        <f>IFERROR(VLOOKUP(Orders!C937,Customers!$A$2:$E$301,5,FALSE),"Unknown")</f>
        <v>SMB</v>
      </c>
      <c r="G937">
        <f>IFERROR(VLOOKUP(Orders!C937,Customers!$A$2:$C$301,3,FALSE),"")</f>
        <v>51</v>
      </c>
      <c r="H937" t="str">
        <f>VLOOKUP(D937,Sales_Reps!$A$2:$C$31,3,FALSE)</f>
        <v>North</v>
      </c>
      <c r="I937" s="44">
        <f t="shared" si="31"/>
        <v>45536</v>
      </c>
      <c r="L937" t="str">
        <f>Orders!K937</f>
        <v>Chennai</v>
      </c>
      <c r="M937">
        <f>Orders!G937</f>
        <v>3780</v>
      </c>
      <c r="N937">
        <f>IFERROR(VLOOKUP(Orders!D937,Products!$A$2:$D$61,4,FALSE),"")</f>
        <v>1860</v>
      </c>
      <c r="O937">
        <f t="shared" si="32"/>
        <v>0.50793650793650791</v>
      </c>
      <c r="Q937" t="str">
        <f>Orders!D937</f>
        <v>PROD-059</v>
      </c>
    </row>
    <row r="938" spans="1:17" x14ac:dyDescent="0.3">
      <c r="A938" t="str">
        <f>Orders!A938</f>
        <v>ORD-00937</v>
      </c>
      <c r="B938">
        <f>Orders!B938</f>
        <v>45392</v>
      </c>
      <c r="C938">
        <f>Orders!I938</f>
        <v>30327.8</v>
      </c>
      <c r="D938" t="str">
        <f>Orders!E938</f>
        <v>R019</v>
      </c>
      <c r="E938" t="str">
        <f>IFERROR(VLOOKUP(Orders!D938,Products!$A$2:$C$61,3,FALSE),"Unknown")</f>
        <v>Sports</v>
      </c>
      <c r="F938" t="str">
        <f>IFERROR(VLOOKUP(Orders!C938,Customers!$A$2:$E$301,5,FALSE),"Unknown")</f>
        <v>Retail</v>
      </c>
      <c r="G938">
        <f>IFERROR(VLOOKUP(Orders!C938,Customers!$A$2:$C$301,3,FALSE),"")</f>
        <v>56</v>
      </c>
      <c r="H938" t="str">
        <f>VLOOKUP(D938,Sales_Reps!$A$2:$C$31,3,FALSE)</f>
        <v>East</v>
      </c>
      <c r="I938" s="44">
        <f t="shared" si="31"/>
        <v>45383</v>
      </c>
      <c r="L938" t="str">
        <f>Orders!K938</f>
        <v>Pune</v>
      </c>
      <c r="M938">
        <f>Orders!G938</f>
        <v>6940</v>
      </c>
      <c r="N938">
        <f>IFERROR(VLOOKUP(Orders!D938,Products!$A$2:$D$61,4,FALSE),"")</f>
        <v>2827</v>
      </c>
      <c r="O938">
        <f t="shared" si="32"/>
        <v>0.5926512968299712</v>
      </c>
      <c r="Q938" t="str">
        <f>Orders!D938</f>
        <v>PROD-056</v>
      </c>
    </row>
    <row r="939" spans="1:17" x14ac:dyDescent="0.3">
      <c r="A939" t="str">
        <f>Orders!A939</f>
        <v>ORD-00938</v>
      </c>
      <c r="B939">
        <f>Orders!B939</f>
        <v>45386</v>
      </c>
      <c r="C939">
        <f>Orders!I939</f>
        <v>6927.3</v>
      </c>
      <c r="D939" t="str">
        <f>Orders!E939</f>
        <v>R030</v>
      </c>
      <c r="E939" t="str">
        <f>IFERROR(VLOOKUP(Orders!D939,Products!$A$2:$C$61,3,FALSE),"Unknown")</f>
        <v>Electronics</v>
      </c>
      <c r="F939" t="str">
        <f>IFERROR(VLOOKUP(Orders!C939,Customers!$A$2:$E$301,5,FALSE),"Unknown")</f>
        <v>Retail</v>
      </c>
      <c r="G939">
        <f>IFERROR(VLOOKUP(Orders!C939,Customers!$A$2:$C$301,3,FALSE),"")</f>
        <v>22</v>
      </c>
      <c r="H939" t="str">
        <f>VLOOKUP(D939,Sales_Reps!$A$2:$C$31,3,FALSE)</f>
        <v>West</v>
      </c>
      <c r="I939" s="44">
        <f t="shared" si="31"/>
        <v>45383</v>
      </c>
      <c r="L939" t="str">
        <f>Orders!K939</f>
        <v>Pune</v>
      </c>
      <c r="M939">
        <f>Orders!G939</f>
        <v>3870</v>
      </c>
      <c r="N939">
        <f>IFERROR(VLOOKUP(Orders!D939,Products!$A$2:$D$61,4,FALSE),"")</f>
        <v>1559</v>
      </c>
      <c r="O939">
        <f t="shared" si="32"/>
        <v>0.59715762273901807</v>
      </c>
      <c r="Q939" t="str">
        <f>Orders!D939</f>
        <v>PROD-004</v>
      </c>
    </row>
    <row r="940" spans="1:17" x14ac:dyDescent="0.3">
      <c r="A940" t="str">
        <f>Orders!A940</f>
        <v>ORD-00939</v>
      </c>
      <c r="B940">
        <f>Orders!B940</f>
        <v>45516</v>
      </c>
      <c r="C940">
        <f>Orders!I940</f>
        <v>30988.48</v>
      </c>
      <c r="D940" t="str">
        <f>Orders!E940</f>
        <v>R014</v>
      </c>
      <c r="E940" t="str">
        <f>IFERROR(VLOOKUP(Orders!D940,Products!$A$2:$C$61,3,FALSE),"Unknown")</f>
        <v>Sports</v>
      </c>
      <c r="F940" t="str">
        <f>IFERROR(VLOOKUP(Orders!C940,Customers!$A$2:$E$301,5,FALSE),"Unknown")</f>
        <v>Corporate</v>
      </c>
      <c r="G940">
        <f>IFERROR(VLOOKUP(Orders!C940,Customers!$A$2:$C$301,3,FALSE),"")</f>
        <v>41</v>
      </c>
      <c r="H940" t="str">
        <f>VLOOKUP(D940,Sales_Reps!$A$2:$C$31,3,FALSE)</f>
        <v>South</v>
      </c>
      <c r="I940" s="44">
        <f t="shared" si="31"/>
        <v>45505</v>
      </c>
      <c r="L940" t="str">
        <f>Orders!K940</f>
        <v>Bengaluru</v>
      </c>
      <c r="M940">
        <f>Orders!G940</f>
        <v>5410</v>
      </c>
      <c r="N940">
        <f>IFERROR(VLOOKUP(Orders!D940,Products!$A$2:$D$61,4,FALSE),"")</f>
        <v>2265</v>
      </c>
      <c r="O940">
        <f t="shared" si="32"/>
        <v>0.58133086876155271</v>
      </c>
      <c r="Q940" t="str">
        <f>Orders!D940</f>
        <v>PROD-052</v>
      </c>
    </row>
    <row r="941" spans="1:17" x14ac:dyDescent="0.3">
      <c r="A941" t="str">
        <f>Orders!A941</f>
        <v>ORD-00940</v>
      </c>
      <c r="B941">
        <f>Orders!B941</f>
        <v>45618</v>
      </c>
      <c r="C941">
        <f>Orders!I941</f>
        <v>24371.83</v>
      </c>
      <c r="D941" t="str">
        <f>Orders!E941</f>
        <v>R030</v>
      </c>
      <c r="E941" t="str">
        <f>IFERROR(VLOOKUP(Orders!D941,Products!$A$2:$C$61,3,FALSE),"Unknown")</f>
        <v>Electronics</v>
      </c>
      <c r="F941" t="str">
        <f>IFERROR(VLOOKUP(Orders!C941,Customers!$A$2:$E$301,5,FALSE),"Unknown")</f>
        <v>Corporate</v>
      </c>
      <c r="G941">
        <f>IFERROR(VLOOKUP(Orders!C941,Customers!$A$2:$C$301,3,FALSE),"")</f>
        <v>47</v>
      </c>
      <c r="H941" t="str">
        <f>VLOOKUP(D941,Sales_Reps!$A$2:$C$31,3,FALSE)</f>
        <v>West</v>
      </c>
      <c r="I941" s="44">
        <f t="shared" si="31"/>
        <v>45597</v>
      </c>
      <c r="L941" t="str">
        <f>Orders!K941</f>
        <v>Pune</v>
      </c>
      <c r="M941">
        <f>Orders!G941</f>
        <v>3970</v>
      </c>
      <c r="N941">
        <f>IFERROR(VLOOKUP(Orders!D941,Products!$A$2:$D$61,4,FALSE),"")</f>
        <v>2865</v>
      </c>
      <c r="O941">
        <f t="shared" si="32"/>
        <v>0.27833753148614609</v>
      </c>
      <c r="Q941" t="str">
        <f>Orders!D941</f>
        <v>PROD-006</v>
      </c>
    </row>
    <row r="942" spans="1:17" x14ac:dyDescent="0.3">
      <c r="A942" t="str">
        <f>Orders!A942</f>
        <v>ORD-00941</v>
      </c>
      <c r="B942">
        <f>Orders!B942</f>
        <v>45610</v>
      </c>
      <c r="C942">
        <f>Orders!I942</f>
        <v>34179.5</v>
      </c>
      <c r="D942" t="str">
        <f>Orders!E942</f>
        <v>R001</v>
      </c>
      <c r="E942" t="str">
        <f>IFERROR(VLOOKUP(Orders!D942,Products!$A$2:$C$61,3,FALSE),"Unknown")</f>
        <v>Sports</v>
      </c>
      <c r="F942" t="str">
        <f>IFERROR(VLOOKUP(Orders!C942,Customers!$A$2:$E$301,5,FALSE),"Unknown")</f>
        <v>Retail</v>
      </c>
      <c r="G942">
        <f>IFERROR(VLOOKUP(Orders!C942,Customers!$A$2:$C$301,3,FALSE),"")</f>
        <v>53</v>
      </c>
      <c r="H942" t="str">
        <f>VLOOKUP(D942,Sales_Reps!$A$2:$C$31,3,FALSE)</f>
        <v>North</v>
      </c>
      <c r="I942" s="44">
        <f t="shared" si="31"/>
        <v>45597</v>
      </c>
      <c r="L942" t="str">
        <f>Orders!K942</f>
        <v>Mumbai</v>
      </c>
      <c r="M942">
        <f>Orders!G942</f>
        <v>6940</v>
      </c>
      <c r="N942">
        <f>IFERROR(VLOOKUP(Orders!D942,Products!$A$2:$D$61,4,FALSE),"")</f>
        <v>2827</v>
      </c>
      <c r="O942">
        <f t="shared" si="32"/>
        <v>0.5926512968299712</v>
      </c>
      <c r="Q942" t="str">
        <f>Orders!D942</f>
        <v>PROD-056</v>
      </c>
    </row>
    <row r="943" spans="1:17" x14ac:dyDescent="0.3">
      <c r="A943" t="str">
        <f>Orders!A943</f>
        <v>ORD-00942</v>
      </c>
      <c r="B943">
        <f>Orders!B943</f>
        <v>45541</v>
      </c>
      <c r="C943">
        <f>Orders!I943</f>
        <v>21589.119999999999</v>
      </c>
      <c r="D943" t="str">
        <f>Orders!E943</f>
        <v>R006</v>
      </c>
      <c r="E943" t="str">
        <f>IFERROR(VLOOKUP(Orders!D943,Products!$A$2:$C$61,3,FALSE),"Unknown")</f>
        <v>Apparel</v>
      </c>
      <c r="F943" t="str">
        <f>IFERROR(VLOOKUP(Orders!C943,Customers!$A$2:$E$301,5,FALSE),"Unknown")</f>
        <v>Corporate</v>
      </c>
      <c r="G943">
        <f>IFERROR(VLOOKUP(Orders!C943,Customers!$A$2:$C$301,3,FALSE),"")</f>
        <v>55</v>
      </c>
      <c r="H943" t="str">
        <f>VLOOKUP(D943,Sales_Reps!$A$2:$C$31,3,FALSE)</f>
        <v>North</v>
      </c>
      <c r="I943" s="44">
        <f t="shared" si="31"/>
        <v>45536</v>
      </c>
      <c r="L943" t="str">
        <f>Orders!K943</f>
        <v>Bengaluru</v>
      </c>
      <c r="M943">
        <f>Orders!G943</f>
        <v>3160</v>
      </c>
      <c r="N943">
        <f>IFERROR(VLOOKUP(Orders!D943,Products!$A$2:$D$61,4,FALSE),"")</f>
        <v>1886</v>
      </c>
      <c r="O943">
        <f t="shared" si="32"/>
        <v>0.4031645569620253</v>
      </c>
      <c r="Q943" t="str">
        <f>Orders!D943</f>
        <v>PROD-012</v>
      </c>
    </row>
    <row r="944" spans="1:17" x14ac:dyDescent="0.3">
      <c r="A944" t="str">
        <f>Orders!A944</f>
        <v>ORD-00943</v>
      </c>
      <c r="B944">
        <f>Orders!B944</f>
        <v>45497</v>
      </c>
      <c r="C944">
        <f>Orders!I944</f>
        <v>1507.16</v>
      </c>
      <c r="D944" t="str">
        <f>Orders!E944</f>
        <v>R024</v>
      </c>
      <c r="E944" t="str">
        <f>IFERROR(VLOOKUP(Orders!D944,Products!$A$2:$C$61,3,FALSE),"Unknown")</f>
        <v>Apparel</v>
      </c>
      <c r="F944" t="str">
        <f>IFERROR(VLOOKUP(Orders!C944,Customers!$A$2:$E$301,5,FALSE),"Unknown")</f>
        <v>Corporate</v>
      </c>
      <c r="G944">
        <f>IFERROR(VLOOKUP(Orders!C944,Customers!$A$2:$C$301,3,FALSE),"")</f>
        <v>43</v>
      </c>
      <c r="H944" t="str">
        <f>VLOOKUP(D944,Sales_Reps!$A$2:$C$31,3,FALSE)</f>
        <v>West</v>
      </c>
      <c r="I944" s="44">
        <f t="shared" si="31"/>
        <v>45474</v>
      </c>
      <c r="L944" t="str">
        <f>Orders!K944</f>
        <v>Bengaluru</v>
      </c>
      <c r="M944">
        <f>Orders!G944</f>
        <v>820</v>
      </c>
      <c r="N944">
        <f>IFERROR(VLOOKUP(Orders!D944,Products!$A$2:$D$61,4,FALSE),"")</f>
        <v>391</v>
      </c>
      <c r="O944">
        <f t="shared" si="32"/>
        <v>0.52317073170731709</v>
      </c>
      <c r="Q944" t="str">
        <f>Orders!D944</f>
        <v>PROD-020</v>
      </c>
    </row>
    <row r="945" spans="1:17" x14ac:dyDescent="0.3">
      <c r="A945" t="str">
        <f>Orders!A945</f>
        <v>ORD-00944</v>
      </c>
      <c r="B945">
        <f>Orders!B945</f>
        <v>45567</v>
      </c>
      <c r="C945">
        <f>Orders!I945</f>
        <v>2534.84</v>
      </c>
      <c r="D945" t="str">
        <f>Orders!E945</f>
        <v>R030</v>
      </c>
      <c r="E945" t="str">
        <f>IFERROR(VLOOKUP(Orders!D945,Products!$A$2:$C$61,3,FALSE),"Unknown")</f>
        <v>Beauty</v>
      </c>
      <c r="F945" t="str">
        <f>IFERROR(VLOOKUP(Orders!C945,Customers!$A$2:$E$301,5,FALSE),"Unknown")</f>
        <v>SMB</v>
      </c>
      <c r="G945">
        <f>IFERROR(VLOOKUP(Orders!C945,Customers!$A$2:$C$301,3,FALSE),"")</f>
        <v>34</v>
      </c>
      <c r="H945" t="str">
        <f>VLOOKUP(D945,Sales_Reps!$A$2:$C$31,3,FALSE)</f>
        <v>West</v>
      </c>
      <c r="I945" s="44">
        <f t="shared" si="31"/>
        <v>45566</v>
      </c>
      <c r="L945" t="str">
        <f>Orders!K945</f>
        <v>Bengaluru</v>
      </c>
      <c r="M945">
        <f>Orders!G945</f>
        <v>1540</v>
      </c>
      <c r="N945">
        <f>IFERROR(VLOOKUP(Orders!D945,Products!$A$2:$D$61,4,FALSE),"")</f>
        <v>647</v>
      </c>
      <c r="O945">
        <f t="shared" si="32"/>
        <v>0.57987012987012987</v>
      </c>
      <c r="Q945" t="str">
        <f>Orders!D945</f>
        <v>PROD-041</v>
      </c>
    </row>
    <row r="946" spans="1:17" x14ac:dyDescent="0.3">
      <c r="A946" t="str">
        <f>Orders!A946</f>
        <v>ORD-00945</v>
      </c>
      <c r="B946">
        <f>Orders!B946</f>
        <v>45451</v>
      </c>
      <c r="C946">
        <f>Orders!I946</f>
        <v>33978.6</v>
      </c>
      <c r="D946" t="str">
        <f>Orders!E946</f>
        <v>R001</v>
      </c>
      <c r="E946" t="str">
        <f>IFERROR(VLOOKUP(Orders!D946,Products!$A$2:$C$61,3,FALSE),"Unknown")</f>
        <v>Electronics</v>
      </c>
      <c r="F946" t="str">
        <f>IFERROR(VLOOKUP(Orders!C946,Customers!$A$2:$E$301,5,FALSE),"Unknown")</f>
        <v>Retail</v>
      </c>
      <c r="G946">
        <f>IFERROR(VLOOKUP(Orders!C946,Customers!$A$2:$C$301,3,FALSE),"")</f>
        <v>29</v>
      </c>
      <c r="H946" t="str">
        <f>VLOOKUP(D946,Sales_Reps!$A$2:$C$31,3,FALSE)</f>
        <v>North</v>
      </c>
      <c r="I946" s="44">
        <f t="shared" si="31"/>
        <v>45444</v>
      </c>
      <c r="L946" t="str">
        <f>Orders!K946</f>
        <v>Bengaluru</v>
      </c>
      <c r="M946">
        <f>Orders!G946</f>
        <v>3870</v>
      </c>
      <c r="N946">
        <f>IFERROR(VLOOKUP(Orders!D946,Products!$A$2:$D$61,4,FALSE),"")</f>
        <v>1559</v>
      </c>
      <c r="O946">
        <f t="shared" si="32"/>
        <v>0.59715762273901807</v>
      </c>
      <c r="Q946" t="str">
        <f>Orders!D946</f>
        <v>PROD-004</v>
      </c>
    </row>
    <row r="947" spans="1:17" x14ac:dyDescent="0.3">
      <c r="A947" t="str">
        <f>Orders!A947</f>
        <v>ORD-00946</v>
      </c>
      <c r="B947">
        <f>Orders!B947</f>
        <v>45488</v>
      </c>
      <c r="C947">
        <f>Orders!I947</f>
        <v>17744.86</v>
      </c>
      <c r="D947" t="str">
        <f>Orders!E947</f>
        <v>R002</v>
      </c>
      <c r="E947" t="str">
        <f>IFERROR(VLOOKUP(Orders!D947,Products!$A$2:$C$61,3,FALSE),"Unknown")</f>
        <v>Electronics</v>
      </c>
      <c r="F947" t="str">
        <f>IFERROR(VLOOKUP(Orders!C947,Customers!$A$2:$E$301,5,FALSE),"Unknown")</f>
        <v>Retail</v>
      </c>
      <c r="G947">
        <f>IFERROR(VLOOKUP(Orders!C947,Customers!$A$2:$C$301,3,FALSE),"")</f>
        <v>50</v>
      </c>
      <c r="H947" t="str">
        <f>VLOOKUP(D947,Sales_Reps!$A$2:$C$31,3,FALSE)</f>
        <v>North</v>
      </c>
      <c r="I947" s="44">
        <f t="shared" si="31"/>
        <v>45474</v>
      </c>
      <c r="L947" t="str">
        <f>Orders!K947</f>
        <v>Mumbai</v>
      </c>
      <c r="M947">
        <f>Orders!G947</f>
        <v>2660</v>
      </c>
      <c r="N947">
        <f>IFERROR(VLOOKUP(Orders!D947,Products!$A$2:$D$61,4,FALSE),"")</f>
        <v>1259</v>
      </c>
      <c r="O947">
        <f t="shared" si="32"/>
        <v>0.52669172932330832</v>
      </c>
      <c r="Q947" t="str">
        <f>Orders!D947</f>
        <v>PROD-008</v>
      </c>
    </row>
    <row r="948" spans="1:17" x14ac:dyDescent="0.3">
      <c r="A948" t="str">
        <f>Orders!A948</f>
        <v>ORD-00947</v>
      </c>
      <c r="B948">
        <f>Orders!B948</f>
        <v>45431</v>
      </c>
      <c r="C948">
        <f>Orders!I948</f>
        <v>11523.96</v>
      </c>
      <c r="D948" t="str">
        <f>Orders!E948</f>
        <v>R009</v>
      </c>
      <c r="E948" t="str">
        <f>IFERROR(VLOOKUP(Orders!D948,Products!$A$2:$C$61,3,FALSE),"Unknown")</f>
        <v>Electronics</v>
      </c>
      <c r="F948" t="str">
        <f>IFERROR(VLOOKUP(Orders!C948,Customers!$A$2:$E$301,5,FALSE),"Unknown")</f>
        <v>SMB</v>
      </c>
      <c r="G948">
        <f>IFERROR(VLOOKUP(Orders!C948,Customers!$A$2:$C$301,3,FALSE),"")</f>
        <v>51</v>
      </c>
      <c r="H948" t="str">
        <f>VLOOKUP(D948,Sales_Reps!$A$2:$C$31,3,FALSE)</f>
        <v>South</v>
      </c>
      <c r="I948" s="44">
        <f t="shared" si="31"/>
        <v>45413</v>
      </c>
      <c r="L948" t="str">
        <f>Orders!K948</f>
        <v>Chennai</v>
      </c>
      <c r="M948">
        <f>Orders!G948</f>
        <v>3570</v>
      </c>
      <c r="N948">
        <f>IFERROR(VLOOKUP(Orders!D948,Products!$A$2:$D$61,4,FALSE),"")</f>
        <v>1665</v>
      </c>
      <c r="O948">
        <f t="shared" si="32"/>
        <v>0.53361344537815125</v>
      </c>
      <c r="Q948" t="str">
        <f>Orders!D948</f>
        <v>PROD-003</v>
      </c>
    </row>
    <row r="949" spans="1:17" x14ac:dyDescent="0.3">
      <c r="A949" t="str">
        <f>Orders!A949</f>
        <v>ORD-00948</v>
      </c>
      <c r="B949">
        <f>Orders!B949</f>
        <v>45393</v>
      </c>
      <c r="C949">
        <f>Orders!I949</f>
        <v>3954.44</v>
      </c>
      <c r="D949" t="str">
        <f>Orders!E949</f>
        <v>R002</v>
      </c>
      <c r="E949" t="str">
        <f>IFERROR(VLOOKUP(Orders!D949,Products!$A$2:$C$61,3,FALSE),"Unknown")</f>
        <v>Home</v>
      </c>
      <c r="F949" t="str">
        <f>IFERROR(VLOOKUP(Orders!C949,Customers!$A$2:$E$301,5,FALSE),"Unknown")</f>
        <v>SMB</v>
      </c>
      <c r="G949">
        <f>IFERROR(VLOOKUP(Orders!C949,Customers!$A$2:$C$301,3,FALSE),"")</f>
        <v>52</v>
      </c>
      <c r="H949" t="str">
        <f>VLOOKUP(D949,Sales_Reps!$A$2:$C$31,3,FALSE)</f>
        <v>North</v>
      </c>
      <c r="I949" s="44">
        <f t="shared" si="31"/>
        <v>45383</v>
      </c>
      <c r="L949" t="str">
        <f>Orders!K949</f>
        <v>Chennai</v>
      </c>
      <c r="M949">
        <f>Orders!G949</f>
        <v>2030</v>
      </c>
      <c r="N949">
        <f>IFERROR(VLOOKUP(Orders!D949,Products!$A$2:$D$61,4,FALSE),"")</f>
        <v>1143</v>
      </c>
      <c r="O949">
        <f t="shared" si="32"/>
        <v>0.43694581280788175</v>
      </c>
      <c r="Q949" t="str">
        <f>Orders!D949</f>
        <v>PROD-033</v>
      </c>
    </row>
    <row r="950" spans="1:17" x14ac:dyDescent="0.3">
      <c r="A950" t="str">
        <f>Orders!A950</f>
        <v>ORD-00949</v>
      </c>
      <c r="B950">
        <f>Orders!B950</f>
        <v>45427</v>
      </c>
      <c r="C950">
        <f>Orders!I950</f>
        <v>14068.32</v>
      </c>
      <c r="D950" t="str">
        <f>Orders!E950</f>
        <v>R013</v>
      </c>
      <c r="E950" t="str">
        <f>IFERROR(VLOOKUP(Orders!D950,Products!$A$2:$C$61,3,FALSE),"Unknown")</f>
        <v>Apparel</v>
      </c>
      <c r="F950" t="str">
        <f>IFERROR(VLOOKUP(Orders!C950,Customers!$A$2:$E$301,5,FALSE),"Unknown")</f>
        <v>Corporate</v>
      </c>
      <c r="G950">
        <f>IFERROR(VLOOKUP(Orders!C950,Customers!$A$2:$C$301,3,FALSE),"")</f>
        <v>43</v>
      </c>
      <c r="H950" t="str">
        <f>VLOOKUP(D950,Sales_Reps!$A$2:$C$31,3,FALSE)</f>
        <v>South</v>
      </c>
      <c r="I950" s="44">
        <f t="shared" si="31"/>
        <v>45413</v>
      </c>
      <c r="L950" t="str">
        <f>Orders!K950</f>
        <v>Hyderabad</v>
      </c>
      <c r="M950">
        <f>Orders!G950</f>
        <v>3160</v>
      </c>
      <c r="N950">
        <f>IFERROR(VLOOKUP(Orders!D950,Products!$A$2:$D$61,4,FALSE),"")</f>
        <v>1886</v>
      </c>
      <c r="O950">
        <f t="shared" si="32"/>
        <v>0.4031645569620253</v>
      </c>
      <c r="Q950" t="str">
        <f>Orders!D950</f>
        <v>PROD-012</v>
      </c>
    </row>
    <row r="951" spans="1:17" x14ac:dyDescent="0.3">
      <c r="A951" t="str">
        <f>Orders!A951</f>
        <v>ORD-00950</v>
      </c>
      <c r="B951">
        <f>Orders!B951</f>
        <v>45591</v>
      </c>
      <c r="C951">
        <f>Orders!I951</f>
        <v>19913.599999999999</v>
      </c>
      <c r="D951" t="str">
        <f>Orders!E951</f>
        <v>R014</v>
      </c>
      <c r="E951" t="str">
        <f>IFERROR(VLOOKUP(Orders!D951,Products!$A$2:$C$61,3,FALSE),"Unknown")</f>
        <v>Home</v>
      </c>
      <c r="F951" t="str">
        <f>IFERROR(VLOOKUP(Orders!C951,Customers!$A$2:$E$301,5,FALSE),"Unknown")</f>
        <v>SMB</v>
      </c>
      <c r="G951">
        <f>IFERROR(VLOOKUP(Orders!C951,Customers!$A$2:$C$301,3,FALSE),"")</f>
        <v>55</v>
      </c>
      <c r="H951" t="str">
        <f>VLOOKUP(D951,Sales_Reps!$A$2:$C$31,3,FALSE)</f>
        <v>South</v>
      </c>
      <c r="I951" s="44">
        <f t="shared" si="31"/>
        <v>45566</v>
      </c>
      <c r="L951" t="str">
        <f>Orders!K951</f>
        <v xml:space="preserve"> Delhi </v>
      </c>
      <c r="M951">
        <f>Orders!G951</f>
        <v>5080</v>
      </c>
      <c r="N951">
        <f>IFERROR(VLOOKUP(Orders!D951,Products!$A$2:$D$61,4,FALSE),"")</f>
        <v>2459</v>
      </c>
      <c r="O951">
        <f t="shared" si="32"/>
        <v>0.51594488188976373</v>
      </c>
      <c r="Q951" t="str">
        <f>Orders!D951</f>
        <v>PROD-034</v>
      </c>
    </row>
    <row r="952" spans="1:17" x14ac:dyDescent="0.3">
      <c r="A952" t="str">
        <f>Orders!A952</f>
        <v>ORD-00951</v>
      </c>
      <c r="B952">
        <f>Orders!B952</f>
        <v>45327</v>
      </c>
      <c r="C952">
        <f>Orders!I952</f>
        <v>20327.400000000001</v>
      </c>
      <c r="D952" t="str">
        <f>Orders!E952</f>
        <v>R010</v>
      </c>
      <c r="E952" t="str">
        <f>IFERROR(VLOOKUP(Orders!D952,Products!$A$2:$C$61,3,FALSE),"Unknown")</f>
        <v>Beauty</v>
      </c>
      <c r="F952" t="str">
        <f>IFERROR(VLOOKUP(Orders!C952,Customers!$A$2:$E$301,5,FALSE),"Unknown")</f>
        <v>Corporate</v>
      </c>
      <c r="G952">
        <f>IFERROR(VLOOKUP(Orders!C952,Customers!$A$2:$C$301,3,FALSE),"")</f>
        <v>37</v>
      </c>
      <c r="H952" t="str">
        <f>VLOOKUP(D952,Sales_Reps!$A$2:$C$31,3,FALSE)</f>
        <v>South</v>
      </c>
      <c r="I952" s="44">
        <f t="shared" si="31"/>
        <v>45323</v>
      </c>
      <c r="L952" t="str">
        <f>Orders!K952</f>
        <v>Pune</v>
      </c>
      <c r="M952">
        <f>Orders!G952</f>
        <v>3450</v>
      </c>
      <c r="N952">
        <f>IFERROR(VLOOKUP(Orders!D952,Products!$A$2:$D$61,4,FALSE),"")</f>
        <v>2420</v>
      </c>
      <c r="O952">
        <f t="shared" si="32"/>
        <v>0.29855072463768118</v>
      </c>
      <c r="Q952" t="str">
        <f>Orders!D952</f>
        <v>PROD-047</v>
      </c>
    </row>
    <row r="953" spans="1:17" x14ac:dyDescent="0.3">
      <c r="A953" t="str">
        <f>Orders!A953</f>
        <v>ORD-00952</v>
      </c>
      <c r="B953">
        <f>Orders!B953</f>
        <v>45575</v>
      </c>
      <c r="C953">
        <f>Orders!I953</f>
        <v>9863.5499999999993</v>
      </c>
      <c r="D953" t="str">
        <f>Orders!E953</f>
        <v>R016</v>
      </c>
      <c r="E953" t="str">
        <f>IFERROR(VLOOKUP(Orders!D953,Products!$A$2:$C$61,3,FALSE),"Unknown")</f>
        <v>Sports</v>
      </c>
      <c r="F953" t="str">
        <f>IFERROR(VLOOKUP(Orders!C953,Customers!$A$2:$E$301,5,FALSE),"Unknown")</f>
        <v>Retail</v>
      </c>
      <c r="G953">
        <f>IFERROR(VLOOKUP(Orders!C953,Customers!$A$2:$C$301,3,FALSE),"")</f>
        <v>39</v>
      </c>
      <c r="H953" t="str">
        <f>VLOOKUP(D953,Sales_Reps!$A$2:$C$31,3,FALSE)</f>
        <v>South</v>
      </c>
      <c r="I953" s="44">
        <f t="shared" si="31"/>
        <v>45566</v>
      </c>
      <c r="L953" t="str">
        <f>Orders!K953</f>
        <v>Mumbai</v>
      </c>
      <c r="M953">
        <f>Orders!G953</f>
        <v>3450</v>
      </c>
      <c r="N953">
        <f>IFERROR(VLOOKUP(Orders!D953,Products!$A$2:$D$61,4,FALSE),"")</f>
        <v>2467</v>
      </c>
      <c r="O953">
        <f t="shared" si="32"/>
        <v>0.28492753623188405</v>
      </c>
      <c r="Q953" t="str">
        <f>Orders!D953</f>
        <v>PROD-051</v>
      </c>
    </row>
    <row r="954" spans="1:17" x14ac:dyDescent="0.3">
      <c r="A954" t="str">
        <f>Orders!A954</f>
        <v>ORD-00953</v>
      </c>
      <c r="B954">
        <f>Orders!B954</f>
        <v>45367</v>
      </c>
      <c r="C954">
        <f>Orders!I954</f>
        <v>31191.16</v>
      </c>
      <c r="D954" t="str">
        <f>Orders!E954</f>
        <v>R027</v>
      </c>
      <c r="E954" t="str">
        <f>IFERROR(VLOOKUP(Orders!D954,Products!$A$2:$C$61,3,FALSE),"Unknown")</f>
        <v>Electronics</v>
      </c>
      <c r="F954" t="str">
        <f>IFERROR(VLOOKUP(Orders!C954,Customers!$A$2:$E$301,5,FALSE),"Unknown")</f>
        <v>Retail</v>
      </c>
      <c r="G954">
        <f>IFERROR(VLOOKUP(Orders!C954,Customers!$A$2:$C$301,3,FALSE),"")</f>
        <v>26</v>
      </c>
      <c r="H954" t="str">
        <f>VLOOKUP(D954,Sales_Reps!$A$2:$C$31,3,FALSE)</f>
        <v>West</v>
      </c>
      <c r="I954" s="44">
        <f t="shared" si="31"/>
        <v>45352</v>
      </c>
      <c r="L954" t="str">
        <f>Orders!K954</f>
        <v>Hyderabad</v>
      </c>
      <c r="M954">
        <f>Orders!G954</f>
        <v>5330</v>
      </c>
      <c r="N954">
        <f>IFERROR(VLOOKUP(Orders!D954,Products!$A$2:$D$61,4,FALSE),"")</f>
        <v>2405</v>
      </c>
      <c r="O954">
        <f t="shared" si="32"/>
        <v>0.54878048780487809</v>
      </c>
      <c r="Q954" t="str">
        <f>Orders!D954</f>
        <v>PROD-001</v>
      </c>
    </row>
    <row r="955" spans="1:17" x14ac:dyDescent="0.3">
      <c r="A955" t="str">
        <f>Orders!A955</f>
        <v>ORD-00954</v>
      </c>
      <c r="B955">
        <f>Orders!B955</f>
        <v>45522</v>
      </c>
      <c r="C955">
        <f>Orders!I955</f>
        <v>11522.94</v>
      </c>
      <c r="D955" t="str">
        <f>Orders!E955</f>
        <v>R003</v>
      </c>
      <c r="E955" t="str">
        <f>IFERROR(VLOOKUP(Orders!D955,Products!$A$2:$C$61,3,FALSE),"Unknown")</f>
        <v>Grocery</v>
      </c>
      <c r="F955" t="str">
        <f>IFERROR(VLOOKUP(Orders!C955,Customers!$A$2:$E$301,5,FALSE),"Unknown")</f>
        <v>Retail</v>
      </c>
      <c r="G955">
        <f>IFERROR(VLOOKUP(Orders!C955,Customers!$A$2:$C$301,3,FALSE),"")</f>
        <v>52</v>
      </c>
      <c r="H955" t="str">
        <f>VLOOKUP(D955,Sales_Reps!$A$2:$C$31,3,FALSE)</f>
        <v>North</v>
      </c>
      <c r="I955" s="44">
        <f t="shared" si="31"/>
        <v>45505</v>
      </c>
      <c r="L955" t="str">
        <f>Orders!K955</f>
        <v>Mumbai</v>
      </c>
      <c r="M955">
        <f>Orders!G955</f>
        <v>2210</v>
      </c>
      <c r="N955">
        <f>IFERROR(VLOOKUP(Orders!D955,Products!$A$2:$D$61,4,FALSE),"")</f>
        <v>1010</v>
      </c>
      <c r="O955">
        <f t="shared" si="32"/>
        <v>0.54298642533936647</v>
      </c>
      <c r="Q955" t="str">
        <f>Orders!D955</f>
        <v>PROD-029</v>
      </c>
    </row>
    <row r="956" spans="1:17" x14ac:dyDescent="0.3">
      <c r="A956" t="str">
        <f>Orders!A956</f>
        <v>ORD-00955</v>
      </c>
      <c r="B956">
        <f>Orders!B956</f>
        <v>45579</v>
      </c>
      <c r="C956">
        <f>Orders!I956</f>
        <v>7888.32</v>
      </c>
      <c r="D956" t="str">
        <f>Orders!E956</f>
        <v>R026</v>
      </c>
      <c r="E956" t="str">
        <f>IFERROR(VLOOKUP(Orders!D956,Products!$A$2:$C$61,3,FALSE),"Unknown")</f>
        <v>Home</v>
      </c>
      <c r="F956" t="str">
        <f>IFERROR(VLOOKUP(Orders!C956,Customers!$A$2:$E$301,5,FALSE),"Unknown")</f>
        <v>Retail</v>
      </c>
      <c r="G956">
        <f>IFERROR(VLOOKUP(Orders!C956,Customers!$A$2:$C$301,3,FALSE),"")</f>
        <v>41</v>
      </c>
      <c r="H956" t="str">
        <f>VLOOKUP(D956,Sales_Reps!$A$2:$C$31,3,FALSE)</f>
        <v>West</v>
      </c>
      <c r="I956" s="44">
        <f t="shared" si="31"/>
        <v>45566</v>
      </c>
      <c r="L956" t="str">
        <f>Orders!K956</f>
        <v>Mumbai</v>
      </c>
      <c r="M956">
        <f>Orders!G956</f>
        <v>1080</v>
      </c>
      <c r="N956">
        <f>IFERROR(VLOOKUP(Orders!D956,Products!$A$2:$D$61,4,FALSE),"")</f>
        <v>519</v>
      </c>
      <c r="O956">
        <f t="shared" si="32"/>
        <v>0.51944444444444449</v>
      </c>
      <c r="Q956" t="str">
        <f>Orders!D956</f>
        <v>PROD-040</v>
      </c>
    </row>
    <row r="957" spans="1:17" x14ac:dyDescent="0.3">
      <c r="A957" t="str">
        <f>Orders!A957</f>
        <v>ORD-00956</v>
      </c>
      <c r="B957">
        <f>Orders!B957</f>
        <v>45495</v>
      </c>
      <c r="C957">
        <f>Orders!I957</f>
        <v>15185.9</v>
      </c>
      <c r="D957" t="str">
        <f>Orders!E957</f>
        <v>R015</v>
      </c>
      <c r="E957" t="str">
        <f>IFERROR(VLOOKUP(Orders!D957,Products!$A$2:$C$61,3,FALSE),"Unknown")</f>
        <v>Apparel</v>
      </c>
      <c r="F957" t="str">
        <f>IFERROR(VLOOKUP(Orders!C957,Customers!$A$2:$E$301,5,FALSE),"Unknown")</f>
        <v>SMB</v>
      </c>
      <c r="G957">
        <f>IFERROR(VLOOKUP(Orders!C957,Customers!$A$2:$C$301,3,FALSE),"")</f>
        <v>44</v>
      </c>
      <c r="H957" t="str">
        <f>VLOOKUP(D957,Sales_Reps!$A$2:$C$31,3,FALSE)</f>
        <v>South</v>
      </c>
      <c r="I957" s="44">
        <f t="shared" si="31"/>
        <v>45474</v>
      </c>
      <c r="L957" t="str">
        <f>Orders!K957</f>
        <v>Bengaluru</v>
      </c>
      <c r="M957">
        <f>Orders!G957</f>
        <v>3620</v>
      </c>
      <c r="N957">
        <f>IFERROR(VLOOKUP(Orders!D957,Products!$A$2:$D$61,4,FALSE),"")</f>
        <v>2509</v>
      </c>
      <c r="O957">
        <f t="shared" si="32"/>
        <v>0.3069060773480663</v>
      </c>
      <c r="Q957" t="str">
        <f>Orders!D957</f>
        <v>PROD-014</v>
      </c>
    </row>
    <row r="958" spans="1:17" x14ac:dyDescent="0.3">
      <c r="A958" t="str">
        <f>Orders!A958</f>
        <v>ORD-00957</v>
      </c>
      <c r="B958">
        <f>Orders!B958</f>
        <v>45483</v>
      </c>
      <c r="C958">
        <f>Orders!I958</f>
        <v>22801.8</v>
      </c>
      <c r="D958" t="str">
        <f>Orders!E958</f>
        <v>R011</v>
      </c>
      <c r="E958" t="str">
        <f>IFERROR(VLOOKUP(Orders!D958,Products!$A$2:$C$61,3,FALSE),"Unknown")</f>
        <v>Apparel</v>
      </c>
      <c r="F958" t="str">
        <f>IFERROR(VLOOKUP(Orders!C958,Customers!$A$2:$E$301,5,FALSE),"Unknown")</f>
        <v>Retail</v>
      </c>
      <c r="G958">
        <f>IFERROR(VLOOKUP(Orders!C958,Customers!$A$2:$C$301,3,FALSE),"")</f>
        <v>36</v>
      </c>
      <c r="H958" t="str">
        <f>VLOOKUP(D958,Sales_Reps!$A$2:$C$31,3,FALSE)</f>
        <v>South</v>
      </c>
      <c r="I958" s="44">
        <f t="shared" si="31"/>
        <v>45474</v>
      </c>
      <c r="L958" t="str">
        <f>Orders!K958</f>
        <v>Mumbai</v>
      </c>
      <c r="M958">
        <f>Orders!G958</f>
        <v>3560</v>
      </c>
      <c r="N958">
        <f>IFERROR(VLOOKUP(Orders!D958,Products!$A$2:$D$61,4,FALSE),"")</f>
        <v>2629</v>
      </c>
      <c r="O958">
        <f t="shared" si="32"/>
        <v>0.26151685393258428</v>
      </c>
      <c r="Q958" t="str">
        <f>Orders!D958</f>
        <v>PROD-018</v>
      </c>
    </row>
    <row r="959" spans="1:17" x14ac:dyDescent="0.3">
      <c r="A959" t="str">
        <f>Orders!A959</f>
        <v>ORD-00958</v>
      </c>
      <c r="B959">
        <f>Orders!B959</f>
        <v>45496</v>
      </c>
      <c r="C959">
        <f>Orders!I959</f>
        <v>13300.56</v>
      </c>
      <c r="D959" t="str">
        <f>Orders!E959</f>
        <v>R025</v>
      </c>
      <c r="E959" t="str">
        <f>IFERROR(VLOOKUP(Orders!D959,Products!$A$2:$C$61,3,FALSE),"Unknown")</f>
        <v>Home</v>
      </c>
      <c r="F959" t="str">
        <f>IFERROR(VLOOKUP(Orders!C959,Customers!$A$2:$E$301,5,FALSE),"Unknown")</f>
        <v>Retail</v>
      </c>
      <c r="G959">
        <f>IFERROR(VLOOKUP(Orders!C959,Customers!$A$2:$C$301,3,FALSE),"")</f>
        <v>41</v>
      </c>
      <c r="H959" t="str">
        <f>VLOOKUP(D959,Sales_Reps!$A$2:$C$31,3,FALSE)</f>
        <v>West</v>
      </c>
      <c r="I959" s="44">
        <f t="shared" si="31"/>
        <v>45474</v>
      </c>
      <c r="L959" t="str">
        <f>Orders!K959</f>
        <v>Chennai</v>
      </c>
      <c r="M959">
        <f>Orders!G959</f>
        <v>2030</v>
      </c>
      <c r="N959">
        <f>IFERROR(VLOOKUP(Orders!D959,Products!$A$2:$D$61,4,FALSE),"")</f>
        <v>1143</v>
      </c>
      <c r="O959">
        <f t="shared" si="32"/>
        <v>0.43694581280788175</v>
      </c>
      <c r="Q959" t="str">
        <f>Orders!D959</f>
        <v>PROD-033</v>
      </c>
    </row>
    <row r="960" spans="1:17" x14ac:dyDescent="0.3">
      <c r="A960" t="str">
        <f>Orders!A960</f>
        <v>ORD-00959</v>
      </c>
      <c r="B960">
        <f>Orders!B960</f>
        <v>45350</v>
      </c>
      <c r="C960">
        <f>Orders!I960</f>
        <v>15328.5</v>
      </c>
      <c r="D960" t="str">
        <f>Orders!E960</f>
        <v>R011</v>
      </c>
      <c r="E960" t="str">
        <f>IFERROR(VLOOKUP(Orders!D960,Products!$A$2:$C$61,3,FALSE),"Unknown")</f>
        <v>Beauty</v>
      </c>
      <c r="F960" t="str">
        <f>IFERROR(VLOOKUP(Orders!C960,Customers!$A$2:$E$301,5,FALSE),"Unknown")</f>
        <v>SMB</v>
      </c>
      <c r="G960">
        <f>IFERROR(VLOOKUP(Orders!C960,Customers!$A$2:$C$301,3,FALSE),"")</f>
        <v>51</v>
      </c>
      <c r="H960" t="str">
        <f>VLOOKUP(D960,Sales_Reps!$A$2:$C$31,3,FALSE)</f>
        <v>South</v>
      </c>
      <c r="I960" s="44">
        <f t="shared" si="31"/>
        <v>45323</v>
      </c>
      <c r="L960" t="str">
        <f>Orders!K960</f>
        <v>Chennai</v>
      </c>
      <c r="M960">
        <f>Orders!G960</f>
        <v>1650</v>
      </c>
      <c r="N960">
        <f>IFERROR(VLOOKUP(Orders!D960,Products!$A$2:$D$61,4,FALSE),"")</f>
        <v>1222</v>
      </c>
      <c r="O960">
        <f t="shared" si="32"/>
        <v>0.2593939393939394</v>
      </c>
      <c r="Q960" t="str">
        <f>Orders!D960</f>
        <v>PROD-044</v>
      </c>
    </row>
    <row r="961" spans="1:17" x14ac:dyDescent="0.3">
      <c r="A961" t="str">
        <f>Orders!A961</f>
        <v>ORD-00960</v>
      </c>
      <c r="B961">
        <f>Orders!B961</f>
        <v>45517</v>
      </c>
      <c r="C961">
        <f>Orders!I961</f>
        <v>9096.9599999999991</v>
      </c>
      <c r="D961" t="str">
        <f>Orders!E961</f>
        <v>R017</v>
      </c>
      <c r="E961" t="str">
        <f>IFERROR(VLOOKUP(Orders!D961,Products!$A$2:$C$61,3,FALSE),"Unknown")</f>
        <v>Grocery</v>
      </c>
      <c r="F961" t="str">
        <f>IFERROR(VLOOKUP(Orders!C961,Customers!$A$2:$E$301,5,FALSE),"Unknown")</f>
        <v>SMB</v>
      </c>
      <c r="G961">
        <f>IFERROR(VLOOKUP(Orders!C961,Customers!$A$2:$C$301,3,FALSE),"")</f>
        <v>65</v>
      </c>
      <c r="H961" t="str">
        <f>VLOOKUP(D961,Sales_Reps!$A$2:$C$31,3,FALSE)</f>
        <v>East</v>
      </c>
      <c r="I961" s="44">
        <f t="shared" si="31"/>
        <v>45505</v>
      </c>
      <c r="L961" t="str">
        <f>Orders!K961</f>
        <v>Hyderabad</v>
      </c>
      <c r="M961">
        <f>Orders!G961</f>
        <v>2760</v>
      </c>
      <c r="N961">
        <f>IFERROR(VLOOKUP(Orders!D961,Products!$A$2:$D$61,4,FALSE),"")</f>
        <v>1435</v>
      </c>
      <c r="O961">
        <f t="shared" si="32"/>
        <v>0.48007246376811596</v>
      </c>
      <c r="Q961" t="str">
        <f>Orders!D961</f>
        <v>PROD-021</v>
      </c>
    </row>
    <row r="962" spans="1:17" x14ac:dyDescent="0.3">
      <c r="A962" t="str">
        <f>Orders!A962</f>
        <v>ORD-00961</v>
      </c>
      <c r="B962">
        <f>Orders!B962</f>
        <v>45460</v>
      </c>
      <c r="C962">
        <f>Orders!I962</f>
        <v>15197.16</v>
      </c>
      <c r="D962" t="str">
        <f>Orders!E962</f>
        <v>R009</v>
      </c>
      <c r="E962" t="str">
        <f>IFERROR(VLOOKUP(Orders!D962,Products!$A$2:$C$61,3,FALSE),"Unknown")</f>
        <v>Electronics</v>
      </c>
      <c r="F962" t="str">
        <f>IFERROR(VLOOKUP(Orders!C962,Customers!$A$2:$E$301,5,FALSE),"Unknown")</f>
        <v>Corporate</v>
      </c>
      <c r="G962">
        <f>IFERROR(VLOOKUP(Orders!C962,Customers!$A$2:$C$301,3,FALSE),"")</f>
        <v>47</v>
      </c>
      <c r="H962" t="str">
        <f>VLOOKUP(D962,Sales_Reps!$A$2:$C$31,3,FALSE)</f>
        <v>South</v>
      </c>
      <c r="I962" s="44">
        <f t="shared" si="31"/>
        <v>45444</v>
      </c>
      <c r="L962" t="str">
        <f>Orders!K962</f>
        <v>Delhi</v>
      </c>
      <c r="M962">
        <f>Orders!G962</f>
        <v>3970</v>
      </c>
      <c r="N962">
        <f>IFERROR(VLOOKUP(Orders!D962,Products!$A$2:$D$61,4,FALSE),"")</f>
        <v>2865</v>
      </c>
      <c r="O962">
        <f t="shared" si="32"/>
        <v>0.27833753148614609</v>
      </c>
      <c r="Q962" t="str">
        <f>Orders!D962</f>
        <v>PROD-006</v>
      </c>
    </row>
    <row r="963" spans="1:17" x14ac:dyDescent="0.3">
      <c r="A963" t="str">
        <f>Orders!A963</f>
        <v>ORD-00962</v>
      </c>
      <c r="B963">
        <f>Orders!B963</f>
        <v>45509</v>
      </c>
      <c r="C963">
        <f>Orders!I963</f>
        <v>9265.92</v>
      </c>
      <c r="D963" t="str">
        <f>Orders!E963</f>
        <v>R010</v>
      </c>
      <c r="E963" t="str">
        <f>IFERROR(VLOOKUP(Orders!D963,Products!$A$2:$C$61,3,FALSE),"Unknown")</f>
        <v>Beauty</v>
      </c>
      <c r="F963" t="str">
        <f>IFERROR(VLOOKUP(Orders!C963,Customers!$A$2:$E$301,5,FALSE),"Unknown")</f>
        <v>SMB</v>
      </c>
      <c r="G963">
        <f>IFERROR(VLOOKUP(Orders!C963,Customers!$A$2:$C$301,3,FALSE),"")</f>
        <v>49</v>
      </c>
      <c r="H963" t="str">
        <f>VLOOKUP(D963,Sales_Reps!$A$2:$C$31,3,FALSE)</f>
        <v>South</v>
      </c>
      <c r="I963" s="44">
        <f t="shared" ref="I963:I1026" si="33">DATE(YEAR(B963),MONTH(B963),1)</f>
        <v>45505</v>
      </c>
      <c r="L963" t="str">
        <f>Orders!K963</f>
        <v>Pune</v>
      </c>
      <c r="M963">
        <f>Orders!G963</f>
        <v>6080</v>
      </c>
      <c r="N963">
        <f>IFERROR(VLOOKUP(Orders!D963,Products!$A$2:$D$61,4,FALSE),"")</f>
        <v>2617</v>
      </c>
      <c r="O963">
        <f t="shared" ref="O963:O1026" si="34">IF(OR(N963="",M963&lt;=0),"",(M963-N963)/M963)</f>
        <v>0.56957236842105263</v>
      </c>
      <c r="Q963" t="str">
        <f>Orders!D963</f>
        <v>PROD-050</v>
      </c>
    </row>
    <row r="964" spans="1:17" x14ac:dyDescent="0.3">
      <c r="A964" t="str">
        <f>Orders!A964</f>
        <v>ORD-00963</v>
      </c>
      <c r="B964">
        <f>Orders!B964</f>
        <v>45602</v>
      </c>
      <c r="C964">
        <f>Orders!I964</f>
        <v>6455.88</v>
      </c>
      <c r="D964" t="str">
        <f>Orders!E964</f>
        <v>R004</v>
      </c>
      <c r="E964" t="str">
        <f>IFERROR(VLOOKUP(Orders!D964,Products!$A$2:$C$61,3,FALSE),"Unknown")</f>
        <v>Grocery</v>
      </c>
      <c r="F964" t="str">
        <f>IFERROR(VLOOKUP(Orders!C964,Customers!$A$2:$E$301,5,FALSE),"Unknown")</f>
        <v>Retail</v>
      </c>
      <c r="G964">
        <f>IFERROR(VLOOKUP(Orders!C964,Customers!$A$2:$C$301,3,FALSE),"")</f>
        <v>43</v>
      </c>
      <c r="H964" t="str">
        <f>VLOOKUP(D964,Sales_Reps!$A$2:$C$31,3,FALSE)</f>
        <v>North</v>
      </c>
      <c r="I964" s="44">
        <f t="shared" si="33"/>
        <v>45597</v>
      </c>
      <c r="L964" t="str">
        <f>Orders!K964</f>
        <v>Pune</v>
      </c>
      <c r="M964">
        <f>Orders!G964</f>
        <v>2270</v>
      </c>
      <c r="N964">
        <f>IFERROR(VLOOKUP(Orders!D964,Products!$A$2:$D$61,4,FALSE),"")</f>
        <v>1203</v>
      </c>
      <c r="O964">
        <f t="shared" si="34"/>
        <v>0.47004405286343615</v>
      </c>
      <c r="Q964" t="str">
        <f>Orders!D964</f>
        <v>PROD-024</v>
      </c>
    </row>
    <row r="965" spans="1:17" x14ac:dyDescent="0.3">
      <c r="A965" t="str">
        <f>Orders!A965</f>
        <v>ORD-00964</v>
      </c>
      <c r="B965">
        <f>Orders!B965</f>
        <v>45441</v>
      </c>
      <c r="C965">
        <f>Orders!I965</f>
        <v>29298.6</v>
      </c>
      <c r="D965" t="str">
        <f>Orders!E965</f>
        <v>R004</v>
      </c>
      <c r="E965" t="str">
        <f>IFERROR(VLOOKUP(Orders!D965,Products!$A$2:$C$61,3,FALSE),"Unknown")</f>
        <v>Electronics</v>
      </c>
      <c r="F965" t="str">
        <f>IFERROR(VLOOKUP(Orders!C965,Customers!$A$2:$E$301,5,FALSE),"Unknown")</f>
        <v>Corporate</v>
      </c>
      <c r="G965">
        <f>IFERROR(VLOOKUP(Orders!C965,Customers!$A$2:$C$301,3,FALSE),"")</f>
        <v>47</v>
      </c>
      <c r="H965" t="str">
        <f>VLOOKUP(D965,Sales_Reps!$A$2:$C$31,3,FALSE)</f>
        <v>North</v>
      </c>
      <c r="I965" s="44">
        <f t="shared" si="33"/>
        <v>45413</v>
      </c>
      <c r="L965" t="str">
        <f>Orders!K965</f>
        <v>Pune</v>
      </c>
      <c r="M965">
        <f>Orders!G965</f>
        <v>3970</v>
      </c>
      <c r="N965">
        <f>IFERROR(VLOOKUP(Orders!D965,Products!$A$2:$D$61,4,FALSE),"")</f>
        <v>2865</v>
      </c>
      <c r="O965">
        <f t="shared" si="34"/>
        <v>0.27833753148614609</v>
      </c>
      <c r="Q965" t="str">
        <f>Orders!D965</f>
        <v>PROD-006</v>
      </c>
    </row>
    <row r="966" spans="1:17" x14ac:dyDescent="0.3">
      <c r="A966" t="str">
        <f>Orders!A966</f>
        <v>ORD-00965</v>
      </c>
      <c r="B966">
        <f>Orders!B966</f>
        <v>45378</v>
      </c>
      <c r="C966">
        <f>Orders!I966</f>
        <v>19971.599999999999</v>
      </c>
      <c r="D966" t="str">
        <f>Orders!E966</f>
        <v>R013</v>
      </c>
      <c r="E966" t="str">
        <f>IFERROR(VLOOKUP(Orders!D966,Products!$A$2:$C$61,3,FALSE),"Unknown")</f>
        <v>Beauty</v>
      </c>
      <c r="F966" t="str">
        <f>IFERROR(VLOOKUP(Orders!C966,Customers!$A$2:$E$301,5,FALSE),"Unknown")</f>
        <v>Retail</v>
      </c>
      <c r="G966">
        <f>IFERROR(VLOOKUP(Orders!C966,Customers!$A$2:$C$301,3,FALSE),"")</f>
        <v>26</v>
      </c>
      <c r="H966" t="str">
        <f>VLOOKUP(D966,Sales_Reps!$A$2:$C$31,3,FALSE)</f>
        <v>South</v>
      </c>
      <c r="I966" s="44">
        <f t="shared" si="33"/>
        <v>45352</v>
      </c>
      <c r="L966" t="str">
        <f>Orders!K966</f>
        <v>Chennai</v>
      </c>
      <c r="M966">
        <f>Orders!G966</f>
        <v>5100</v>
      </c>
      <c r="N966">
        <f>IFERROR(VLOOKUP(Orders!D966,Products!$A$2:$D$61,4,FALSE),"")</f>
        <v>2237</v>
      </c>
      <c r="O966">
        <f t="shared" si="34"/>
        <v>0.56137254901960787</v>
      </c>
      <c r="Q966" t="str">
        <f>Orders!D966</f>
        <v>PROD-048</v>
      </c>
    </row>
    <row r="967" spans="1:17" x14ac:dyDescent="0.3">
      <c r="A967" t="str">
        <f>Orders!A967</f>
        <v>ORD-00966</v>
      </c>
      <c r="B967">
        <f>Orders!B967</f>
        <v>45428</v>
      </c>
      <c r="C967">
        <f>Orders!I967</f>
        <v>12487.7</v>
      </c>
      <c r="D967" t="str">
        <f>Orders!E967</f>
        <v>R024</v>
      </c>
      <c r="E967" t="str">
        <f>IFERROR(VLOOKUP(Orders!D967,Products!$A$2:$C$61,3,FALSE),"Unknown")</f>
        <v>Beauty</v>
      </c>
      <c r="F967" t="str">
        <f>IFERROR(VLOOKUP(Orders!C967,Customers!$A$2:$E$301,5,FALSE),"Unknown")</f>
        <v>Corporate</v>
      </c>
      <c r="G967">
        <f>IFERROR(VLOOKUP(Orders!C967,Customers!$A$2:$C$301,3,FALSE),"")</f>
        <v>33</v>
      </c>
      <c r="H967" t="str">
        <f>VLOOKUP(D967,Sales_Reps!$A$2:$C$31,3,FALSE)</f>
        <v>West</v>
      </c>
      <c r="I967" s="44">
        <f t="shared" si="33"/>
        <v>45413</v>
      </c>
      <c r="L967" t="str">
        <f>Orders!K967</f>
        <v>Pune</v>
      </c>
      <c r="M967">
        <f>Orders!G967</f>
        <v>3020</v>
      </c>
      <c r="N967">
        <f>IFERROR(VLOOKUP(Orders!D967,Products!$A$2:$D$61,4,FALSE),"")</f>
        <v>1626</v>
      </c>
      <c r="O967">
        <f t="shared" si="34"/>
        <v>0.46158940397350995</v>
      </c>
      <c r="Q967" t="str">
        <f>Orders!D967</f>
        <v>PROD-045</v>
      </c>
    </row>
    <row r="968" spans="1:17" x14ac:dyDescent="0.3">
      <c r="A968" t="str">
        <f>Orders!A968</f>
        <v>ORD-00967</v>
      </c>
      <c r="B968">
        <f>Orders!B968</f>
        <v>45521</v>
      </c>
      <c r="C968">
        <f>Orders!I968</f>
        <v>7580.16</v>
      </c>
      <c r="D968" t="str">
        <f>Orders!E968</f>
        <v>R016</v>
      </c>
      <c r="E968" t="str">
        <f>IFERROR(VLOOKUP(Orders!D968,Products!$A$2:$C$61,3,FALSE),"Unknown")</f>
        <v>Sports</v>
      </c>
      <c r="F968" t="str">
        <f>IFERROR(VLOOKUP(Orders!C968,Customers!$A$2:$E$301,5,FALSE),"Unknown")</f>
        <v>Retail</v>
      </c>
      <c r="G968">
        <f>IFERROR(VLOOKUP(Orders!C968,Customers!$A$2:$C$301,3,FALSE),"")</f>
        <v>37</v>
      </c>
      <c r="H968" t="str">
        <f>VLOOKUP(D968,Sales_Reps!$A$2:$C$31,3,FALSE)</f>
        <v>South</v>
      </c>
      <c r="I968" s="44">
        <f t="shared" si="33"/>
        <v>45505</v>
      </c>
      <c r="L968" t="str">
        <f>Orders!K968</f>
        <v>Mumbai</v>
      </c>
      <c r="M968">
        <f>Orders!G968</f>
        <v>960</v>
      </c>
      <c r="N968">
        <f>IFERROR(VLOOKUP(Orders!D968,Products!$A$2:$D$61,4,FALSE),"")</f>
        <v>705</v>
      </c>
      <c r="O968">
        <f t="shared" si="34"/>
        <v>0.265625</v>
      </c>
      <c r="Q968" t="str">
        <f>Orders!D968</f>
        <v>PROD-057</v>
      </c>
    </row>
    <row r="969" spans="1:17" x14ac:dyDescent="0.3">
      <c r="A969" t="str">
        <f>Orders!A969</f>
        <v>ORD-00968</v>
      </c>
      <c r="B969">
        <f>Orders!B969</f>
        <v>45612</v>
      </c>
      <c r="C969">
        <f>Orders!I969</f>
        <v>18838.080000000002</v>
      </c>
      <c r="D969" t="str">
        <f>Orders!E969</f>
        <v>R008</v>
      </c>
      <c r="E969" t="str">
        <f>IFERROR(VLOOKUP(Orders!D969,Products!$A$2:$C$61,3,FALSE),"Unknown")</f>
        <v>Apparel</v>
      </c>
      <c r="F969" t="str">
        <f>IFERROR(VLOOKUP(Orders!C969,Customers!$A$2:$E$301,5,FALSE),"Unknown")</f>
        <v>SMB</v>
      </c>
      <c r="G969">
        <f>IFERROR(VLOOKUP(Orders!C969,Customers!$A$2:$C$301,3,FALSE),"")</f>
        <v>65</v>
      </c>
      <c r="H969" t="str">
        <f>VLOOKUP(D969,Sales_Reps!$A$2:$C$31,3,FALSE)</f>
        <v>North</v>
      </c>
      <c r="I969" s="44">
        <f t="shared" si="33"/>
        <v>45597</v>
      </c>
      <c r="L969" t="str">
        <f>Orders!K969</f>
        <v>Mumbai</v>
      </c>
      <c r="M969">
        <f>Orders!G969</f>
        <v>2480</v>
      </c>
      <c r="N969">
        <f>IFERROR(VLOOKUP(Orders!D969,Products!$A$2:$D$61,4,FALSE),"")</f>
        <v>1173</v>
      </c>
      <c r="O969">
        <f t="shared" si="34"/>
        <v>0.52701612903225803</v>
      </c>
      <c r="Q969" t="str">
        <f>Orders!D969</f>
        <v>PROD-019</v>
      </c>
    </row>
    <row r="970" spans="1:17" x14ac:dyDescent="0.3">
      <c r="A970" t="str">
        <f>Orders!A970</f>
        <v>ORD-00969</v>
      </c>
      <c r="B970">
        <f>Orders!B970</f>
        <v>45566</v>
      </c>
      <c r="C970">
        <f>Orders!I970</f>
        <v>728.47</v>
      </c>
      <c r="D970" t="str">
        <f>Orders!E970</f>
        <v>R012</v>
      </c>
      <c r="E970" t="str">
        <f>IFERROR(VLOOKUP(Orders!D970,Products!$A$2:$C$61,3,FALSE),"Unknown")</f>
        <v>Grocery</v>
      </c>
      <c r="F970" t="str">
        <f>IFERROR(VLOOKUP(Orders!C970,Customers!$A$2:$E$301,5,FALSE),"Unknown")</f>
        <v>Unknown</v>
      </c>
      <c r="G970" t="str">
        <f>IFERROR(VLOOKUP(Orders!C970,Customers!$A$2:$C$301,3,FALSE),"")</f>
        <v/>
      </c>
      <c r="H970" t="str">
        <f>VLOOKUP(D970,Sales_Reps!$A$2:$C$31,3,FALSE)</f>
        <v>South</v>
      </c>
      <c r="I970" s="44">
        <f t="shared" si="33"/>
        <v>45566</v>
      </c>
      <c r="L970" t="str">
        <f>Orders!K970</f>
        <v>Bengaluru</v>
      </c>
      <c r="M970">
        <f>Orders!G970</f>
        <v>970</v>
      </c>
      <c r="N970">
        <f>IFERROR(VLOOKUP(Orders!D970,Products!$A$2:$D$61,4,FALSE),"")</f>
        <v>434</v>
      </c>
      <c r="O970">
        <f t="shared" si="34"/>
        <v>0.5525773195876289</v>
      </c>
      <c r="Q970" t="str">
        <f>Orders!D970</f>
        <v>PROD-030</v>
      </c>
    </row>
    <row r="971" spans="1:17" x14ac:dyDescent="0.3">
      <c r="A971" t="str">
        <f>Orders!A971</f>
        <v>ORD-00970</v>
      </c>
      <c r="B971">
        <f>Orders!B971</f>
        <v>45606</v>
      </c>
      <c r="C971">
        <f>Orders!I971</f>
        <v>8615.6</v>
      </c>
      <c r="D971" t="str">
        <f>Orders!E971</f>
        <v>R022</v>
      </c>
      <c r="E971" t="str">
        <f>IFERROR(VLOOKUP(Orders!D971,Products!$A$2:$C$61,3,FALSE),"Unknown")</f>
        <v>Grocery</v>
      </c>
      <c r="F971" t="str">
        <f>IFERROR(VLOOKUP(Orders!C971,Customers!$A$2:$E$301,5,FALSE),"Unknown")</f>
        <v>SMB</v>
      </c>
      <c r="G971">
        <f>IFERROR(VLOOKUP(Orders!C971,Customers!$A$2:$C$301,3,FALSE),"")</f>
        <v>53</v>
      </c>
      <c r="H971" t="str">
        <f>VLOOKUP(D971,Sales_Reps!$A$2:$C$31,3,FALSE)</f>
        <v>East</v>
      </c>
      <c r="I971" s="44">
        <f t="shared" si="33"/>
        <v>45597</v>
      </c>
      <c r="L971" t="str">
        <f>Orders!K971</f>
        <v>Pune</v>
      </c>
      <c r="M971">
        <f>Orders!G971</f>
        <v>2380</v>
      </c>
      <c r="N971">
        <f>IFERROR(VLOOKUP(Orders!D971,Products!$A$2:$D$61,4,FALSE),"")</f>
        <v>1182</v>
      </c>
      <c r="O971">
        <f t="shared" si="34"/>
        <v>0.50336134453781511</v>
      </c>
      <c r="Q971" t="str">
        <f>Orders!D971</f>
        <v>PROD-023</v>
      </c>
    </row>
    <row r="972" spans="1:17" x14ac:dyDescent="0.3">
      <c r="A972" t="str">
        <f>Orders!A972</f>
        <v>ORD-00971</v>
      </c>
      <c r="B972">
        <f>Orders!B972</f>
        <v>45423</v>
      </c>
      <c r="C972">
        <f>Orders!I972</f>
        <v>17593.32</v>
      </c>
      <c r="D972" t="str">
        <f>Orders!E972</f>
        <v>R005</v>
      </c>
      <c r="E972" t="str">
        <f>IFERROR(VLOOKUP(Orders!D972,Products!$A$2:$C$61,3,FALSE),"Unknown")</f>
        <v>Sports</v>
      </c>
      <c r="F972" t="str">
        <f>IFERROR(VLOOKUP(Orders!C972,Customers!$A$2:$E$301,5,FALSE),"Unknown")</f>
        <v>Retail</v>
      </c>
      <c r="G972">
        <f>IFERROR(VLOOKUP(Orders!C972,Customers!$A$2:$C$301,3,FALSE),"")</f>
        <v>60</v>
      </c>
      <c r="H972" t="str">
        <f>VLOOKUP(D972,Sales_Reps!$A$2:$C$31,3,FALSE)</f>
        <v>North</v>
      </c>
      <c r="I972" s="44">
        <f t="shared" si="33"/>
        <v>45413</v>
      </c>
      <c r="L972" t="str">
        <f>Orders!K972</f>
        <v>Hyderabad</v>
      </c>
      <c r="M972">
        <f>Orders!G972</f>
        <v>5410</v>
      </c>
      <c r="N972">
        <f>IFERROR(VLOOKUP(Orders!D972,Products!$A$2:$D$61,4,FALSE),"")</f>
        <v>2265</v>
      </c>
      <c r="O972">
        <f t="shared" si="34"/>
        <v>0.58133086876155271</v>
      </c>
      <c r="Q972" t="str">
        <f>Orders!D972</f>
        <v>PROD-052</v>
      </c>
    </row>
    <row r="973" spans="1:17" x14ac:dyDescent="0.3">
      <c r="A973" t="str">
        <f>Orders!A973</f>
        <v>ORD-00972</v>
      </c>
      <c r="B973">
        <f>Orders!B973</f>
        <v>45573</v>
      </c>
      <c r="C973">
        <f>Orders!I973</f>
        <v>33248.6</v>
      </c>
      <c r="D973" t="str">
        <f>Orders!E973</f>
        <v>R022</v>
      </c>
      <c r="E973" t="str">
        <f>IFERROR(VLOOKUP(Orders!D973,Products!$A$2:$C$61,3,FALSE),"Unknown")</f>
        <v>Home</v>
      </c>
      <c r="F973" t="str">
        <f>IFERROR(VLOOKUP(Orders!C973,Customers!$A$2:$E$301,5,FALSE),"Unknown")</f>
        <v>Retail</v>
      </c>
      <c r="G973">
        <f>IFERROR(VLOOKUP(Orders!C973,Customers!$A$2:$C$301,3,FALSE),"")</f>
        <v>28</v>
      </c>
      <c r="H973" t="str">
        <f>VLOOKUP(D973,Sales_Reps!$A$2:$C$31,3,FALSE)</f>
        <v>East</v>
      </c>
      <c r="I973" s="44">
        <f t="shared" si="33"/>
        <v>45566</v>
      </c>
      <c r="L973" t="str">
        <f>Orders!K973</f>
        <v>Chennai</v>
      </c>
      <c r="M973">
        <f>Orders!G973</f>
        <v>5080</v>
      </c>
      <c r="N973">
        <f>IFERROR(VLOOKUP(Orders!D973,Products!$A$2:$D$61,4,FALSE),"")</f>
        <v>2459</v>
      </c>
      <c r="O973">
        <f t="shared" si="34"/>
        <v>0.51594488188976373</v>
      </c>
      <c r="Q973" t="str">
        <f>Orders!D973</f>
        <v>PROD-034</v>
      </c>
    </row>
    <row r="974" spans="1:17" x14ac:dyDescent="0.3">
      <c r="A974" t="str">
        <f>Orders!A974</f>
        <v>ORD-00973</v>
      </c>
      <c r="B974">
        <f>Orders!B974</f>
        <v>45339</v>
      </c>
      <c r="C974">
        <f>Orders!I974</f>
        <v>5734.3</v>
      </c>
      <c r="D974" t="str">
        <f>Orders!E974</f>
        <v>R025</v>
      </c>
      <c r="E974" t="str">
        <f>IFERROR(VLOOKUP(Orders!D974,Products!$A$2:$C$61,3,FALSE),"Unknown")</f>
        <v>Electronics</v>
      </c>
      <c r="F974" t="str">
        <f>IFERROR(VLOOKUP(Orders!C974,Customers!$A$2:$E$301,5,FALSE),"Unknown")</f>
        <v>Retail</v>
      </c>
      <c r="G974">
        <f>IFERROR(VLOOKUP(Orders!C974,Customers!$A$2:$C$301,3,FALSE),"")</f>
        <v>39</v>
      </c>
      <c r="H974" t="str">
        <f>VLOOKUP(D974,Sales_Reps!$A$2:$C$31,3,FALSE)</f>
        <v>West</v>
      </c>
      <c r="I974" s="44">
        <f t="shared" si="33"/>
        <v>45323</v>
      </c>
      <c r="L974" t="str">
        <f>Orders!K974</f>
        <v>Pune</v>
      </c>
      <c r="M974">
        <f>Orders!G974</f>
        <v>1430</v>
      </c>
      <c r="N974">
        <f>IFERROR(VLOOKUP(Orders!D974,Products!$A$2:$D$61,4,FALSE),"")</f>
        <v>861</v>
      </c>
      <c r="O974">
        <f t="shared" si="34"/>
        <v>0.39790209790209791</v>
      </c>
      <c r="Q974" t="str">
        <f>Orders!D974</f>
        <v>PROD-007</v>
      </c>
    </row>
    <row r="975" spans="1:17" x14ac:dyDescent="0.3">
      <c r="A975" t="str">
        <f>Orders!A975</f>
        <v>ORD-00974</v>
      </c>
      <c r="B975">
        <f>Orders!B975</f>
        <v>45611</v>
      </c>
      <c r="C975">
        <f>Orders!I975</f>
        <v>3820.74</v>
      </c>
      <c r="D975" t="str">
        <f>Orders!E975</f>
        <v>R011</v>
      </c>
      <c r="E975" t="str">
        <f>IFERROR(VLOOKUP(Orders!D975,Products!$A$2:$C$61,3,FALSE),"Unknown")</f>
        <v>Home</v>
      </c>
      <c r="F975" t="str">
        <f>IFERROR(VLOOKUP(Orders!C975,Customers!$A$2:$E$301,5,FALSE),"Unknown")</f>
        <v>SMB</v>
      </c>
      <c r="G975">
        <f>IFERROR(VLOOKUP(Orders!C975,Customers!$A$2:$C$301,3,FALSE),"")</f>
        <v>38</v>
      </c>
      <c r="H975" t="str">
        <f>VLOOKUP(D975,Sales_Reps!$A$2:$C$31,3,FALSE)</f>
        <v>South</v>
      </c>
      <c r="I975" s="44">
        <f t="shared" si="33"/>
        <v>45597</v>
      </c>
      <c r="L975" t="str">
        <f>Orders!K975</f>
        <v>Delhi</v>
      </c>
      <c r="M975">
        <f>Orders!G975</f>
        <v>660</v>
      </c>
      <c r="N975">
        <f>IFERROR(VLOOKUP(Orders!D975,Products!$A$2:$D$61,4,FALSE),"")</f>
        <v>329</v>
      </c>
      <c r="O975">
        <f t="shared" si="34"/>
        <v>0.50151515151515147</v>
      </c>
      <c r="Q975" t="str">
        <f>Orders!D975</f>
        <v>PROD-037</v>
      </c>
    </row>
    <row r="976" spans="1:17" x14ac:dyDescent="0.3">
      <c r="A976" t="str">
        <f>Orders!A976</f>
        <v>ORD-00975</v>
      </c>
      <c r="B976">
        <f>Orders!B976</f>
        <v>45505</v>
      </c>
      <c r="C976">
        <f>Orders!I976</f>
        <v>12705</v>
      </c>
      <c r="D976" t="str">
        <f>Orders!E976</f>
        <v>R004</v>
      </c>
      <c r="E976" t="str">
        <f>IFERROR(VLOOKUP(Orders!D976,Products!$A$2:$C$61,3,FALSE),"Unknown")</f>
        <v>Beauty</v>
      </c>
      <c r="F976" t="str">
        <f>IFERROR(VLOOKUP(Orders!C976,Customers!$A$2:$E$301,5,FALSE),"Unknown")</f>
        <v>Retail</v>
      </c>
      <c r="G976">
        <f>IFERROR(VLOOKUP(Orders!C976,Customers!$A$2:$C$301,3,FALSE),"")</f>
        <v>36</v>
      </c>
      <c r="H976" t="str">
        <f>VLOOKUP(D976,Sales_Reps!$A$2:$C$31,3,FALSE)</f>
        <v>North</v>
      </c>
      <c r="I976" s="44">
        <f t="shared" si="33"/>
        <v>45505</v>
      </c>
      <c r="L976" t="str">
        <f>Orders!K976</f>
        <v>Pune</v>
      </c>
      <c r="M976">
        <f>Orders!G976</f>
        <v>1540</v>
      </c>
      <c r="N976">
        <f>IFERROR(VLOOKUP(Orders!D976,Products!$A$2:$D$61,4,FALSE),"")</f>
        <v>647</v>
      </c>
      <c r="O976">
        <f t="shared" si="34"/>
        <v>0.57987012987012987</v>
      </c>
      <c r="Q976" t="str">
        <f>Orders!D976</f>
        <v>PROD-041</v>
      </c>
    </row>
    <row r="977" spans="1:17" x14ac:dyDescent="0.3">
      <c r="A977" t="str">
        <f>Orders!A977</f>
        <v>ORD-01662</v>
      </c>
      <c r="B977">
        <f>Orders!B977</f>
        <v>45358</v>
      </c>
      <c r="C977">
        <f>Orders!I977</f>
        <v>16773.900000000001</v>
      </c>
      <c r="D977" t="str">
        <f>Orders!E977</f>
        <v>R003</v>
      </c>
      <c r="E977" t="str">
        <f>IFERROR(VLOOKUP(Orders!D977,Products!$A$2:$C$61,3,FALSE),"Unknown")</f>
        <v>Grocery</v>
      </c>
      <c r="F977" t="str">
        <f>IFERROR(VLOOKUP(Orders!C977,Customers!$A$2:$E$301,5,FALSE),"Unknown")</f>
        <v>SMB</v>
      </c>
      <c r="G977">
        <f>IFERROR(VLOOKUP(Orders!C977,Customers!$A$2:$C$301,3,FALSE),"")</f>
        <v>48</v>
      </c>
      <c r="H977" t="str">
        <f>VLOOKUP(D977,Sales_Reps!$A$2:$C$31,3,FALSE)</f>
        <v>North</v>
      </c>
      <c r="I977" s="44">
        <f t="shared" si="33"/>
        <v>45352</v>
      </c>
      <c r="L977" t="str">
        <f>Orders!K977</f>
        <v>Delhi</v>
      </c>
      <c r="M977">
        <f>Orders!G977</f>
        <v>2210</v>
      </c>
      <c r="N977">
        <f>IFERROR(VLOOKUP(Orders!D977,Products!$A$2:$D$61,4,FALSE),"")</f>
        <v>1010</v>
      </c>
      <c r="O977">
        <f t="shared" si="34"/>
        <v>0.54298642533936647</v>
      </c>
      <c r="Q977" t="str">
        <f>Orders!D977</f>
        <v>PROD-029</v>
      </c>
    </row>
    <row r="978" spans="1:17" x14ac:dyDescent="0.3">
      <c r="A978" t="str">
        <f>Orders!A978</f>
        <v>ORD-00977</v>
      </c>
      <c r="B978">
        <f>Orders!B978</f>
        <v>45519</v>
      </c>
      <c r="C978">
        <f>Orders!I978</f>
        <v>3325.44</v>
      </c>
      <c r="D978" t="str">
        <f>Orders!E978</f>
        <v>R022</v>
      </c>
      <c r="E978" t="str">
        <f>IFERROR(VLOOKUP(Orders!D978,Products!$A$2:$C$61,3,FALSE),"Unknown")</f>
        <v>Sports</v>
      </c>
      <c r="F978" t="str">
        <f>IFERROR(VLOOKUP(Orders!C978,Customers!$A$2:$E$301,5,FALSE),"Unknown")</f>
        <v>Retail</v>
      </c>
      <c r="G978">
        <f>IFERROR(VLOOKUP(Orders!C978,Customers!$A$2:$C$301,3,FALSE),"")</f>
        <v>44</v>
      </c>
      <c r="H978" t="str">
        <f>VLOOKUP(D978,Sales_Reps!$A$2:$C$31,3,FALSE)</f>
        <v>East</v>
      </c>
      <c r="I978" s="44">
        <f t="shared" si="33"/>
        <v>45505</v>
      </c>
      <c r="L978" t="str">
        <f>Orders!K978</f>
        <v>Mumbai</v>
      </c>
      <c r="M978">
        <f>Orders!G978</f>
        <v>960</v>
      </c>
      <c r="N978">
        <f>IFERROR(VLOOKUP(Orders!D978,Products!$A$2:$D$61,4,FALSE),"")</f>
        <v>705</v>
      </c>
      <c r="O978">
        <f t="shared" si="34"/>
        <v>0.265625</v>
      </c>
      <c r="Q978" t="str">
        <f>Orders!D978</f>
        <v>PROD-057</v>
      </c>
    </row>
    <row r="979" spans="1:17" x14ac:dyDescent="0.3">
      <c r="A979" t="str">
        <f>Orders!A979</f>
        <v>ORD-00978</v>
      </c>
      <c r="B979">
        <f>Orders!B979</f>
        <v>45628</v>
      </c>
      <c r="C979">
        <f>Orders!I979</f>
        <v>26578.799999999999</v>
      </c>
      <c r="D979" t="str">
        <f>Orders!E979</f>
        <v>R022</v>
      </c>
      <c r="E979" t="str">
        <f>IFERROR(VLOOKUP(Orders!D979,Products!$A$2:$C$61,3,FALSE),"Unknown")</f>
        <v>Beauty</v>
      </c>
      <c r="F979" t="str">
        <f>IFERROR(VLOOKUP(Orders!C979,Customers!$A$2:$E$301,5,FALSE),"Unknown")</f>
        <v>Retail</v>
      </c>
      <c r="G979">
        <f>IFERROR(VLOOKUP(Orders!C979,Customers!$A$2:$C$301,3,FALSE),"")</f>
        <v>38</v>
      </c>
      <c r="H979" t="str">
        <f>VLOOKUP(D979,Sales_Reps!$A$2:$C$31,3,FALSE)</f>
        <v>East</v>
      </c>
      <c r="I979" s="44">
        <f t="shared" si="33"/>
        <v>45627</v>
      </c>
      <c r="L979" t="str">
        <f>Orders!K979</f>
        <v>Mumbai</v>
      </c>
      <c r="M979">
        <f>Orders!G979</f>
        <v>3450</v>
      </c>
      <c r="N979">
        <f>IFERROR(VLOOKUP(Orders!D979,Products!$A$2:$D$61,4,FALSE),"")</f>
        <v>2420</v>
      </c>
      <c r="O979">
        <f t="shared" si="34"/>
        <v>0.29855072463768118</v>
      </c>
      <c r="Q979" t="str">
        <f>Orders!D979</f>
        <v>PROD-047</v>
      </c>
    </row>
    <row r="980" spans="1:17" x14ac:dyDescent="0.3">
      <c r="A980" t="str">
        <f>Orders!A980</f>
        <v>ORD-00979</v>
      </c>
      <c r="B980">
        <f>Orders!B980</f>
        <v>45481</v>
      </c>
      <c r="C980">
        <f>Orders!I980</f>
        <v>11022.9</v>
      </c>
      <c r="D980" t="str">
        <f>Orders!E980</f>
        <v>R005</v>
      </c>
      <c r="E980" t="str">
        <f>IFERROR(VLOOKUP(Orders!D980,Products!$A$2:$C$61,3,FALSE),"Unknown")</f>
        <v>Home</v>
      </c>
      <c r="F980" t="str">
        <f>IFERROR(VLOOKUP(Orders!C980,Customers!$A$2:$E$301,5,FALSE),"Unknown")</f>
        <v>Unknown</v>
      </c>
      <c r="G980" t="str">
        <f>IFERROR(VLOOKUP(Orders!C980,Customers!$A$2:$C$301,3,FALSE),"")</f>
        <v/>
      </c>
      <c r="H980" t="str">
        <f>VLOOKUP(D980,Sales_Reps!$A$2:$C$31,3,FALSE)</f>
        <v>North</v>
      </c>
      <c r="I980" s="44">
        <f t="shared" si="33"/>
        <v>45474</v>
      </c>
      <c r="L980" t="str">
        <f>Orders!K980</f>
        <v>Mumbai</v>
      </c>
      <c r="M980">
        <f>Orders!G980</f>
        <v>2030</v>
      </c>
      <c r="N980">
        <f>IFERROR(VLOOKUP(Orders!D980,Products!$A$2:$D$61,4,FALSE),"")</f>
        <v>1143</v>
      </c>
      <c r="O980">
        <f t="shared" si="34"/>
        <v>0.43694581280788175</v>
      </c>
      <c r="Q980" t="str">
        <f>Orders!D980</f>
        <v>PROD-033</v>
      </c>
    </row>
    <row r="981" spans="1:17" x14ac:dyDescent="0.3">
      <c r="A981" t="str">
        <f>Orders!A981</f>
        <v>ORD-00980</v>
      </c>
      <c r="B981">
        <f>Orders!B981</f>
        <v>45399</v>
      </c>
      <c r="C981">
        <f>Orders!I981</f>
        <v>17339.7</v>
      </c>
      <c r="D981" t="str">
        <f>Orders!E981</f>
        <v>R009</v>
      </c>
      <c r="E981" t="str">
        <f>IFERROR(VLOOKUP(Orders!D981,Products!$A$2:$C$61,3,FALSE),"Unknown")</f>
        <v>Apparel</v>
      </c>
      <c r="F981" t="str">
        <f>IFERROR(VLOOKUP(Orders!C981,Customers!$A$2:$E$301,5,FALSE),"Unknown")</f>
        <v>SMB</v>
      </c>
      <c r="G981">
        <f>IFERROR(VLOOKUP(Orders!C981,Customers!$A$2:$C$301,3,FALSE),"")</f>
        <v>24</v>
      </c>
      <c r="H981" t="str">
        <f>VLOOKUP(D981,Sales_Reps!$A$2:$C$31,3,FALSE)</f>
        <v>South</v>
      </c>
      <c r="I981" s="44">
        <f t="shared" si="33"/>
        <v>45383</v>
      </c>
      <c r="L981" t="str">
        <f>Orders!K981</f>
        <v>Pune</v>
      </c>
      <c r="M981">
        <f>Orders!G981</f>
        <v>3450</v>
      </c>
      <c r="N981">
        <f>IFERROR(VLOOKUP(Orders!D981,Products!$A$2:$D$61,4,FALSE),"")</f>
        <v>1748</v>
      </c>
      <c r="O981">
        <f t="shared" si="34"/>
        <v>0.49333333333333335</v>
      </c>
      <c r="Q981" t="str">
        <f>Orders!D981</f>
        <v>PROD-011</v>
      </c>
    </row>
    <row r="982" spans="1:17" x14ac:dyDescent="0.3">
      <c r="A982" t="str">
        <f>Orders!A982</f>
        <v>ORD-00981</v>
      </c>
      <c r="B982">
        <f>Orders!B982</f>
        <v>45531</v>
      </c>
      <c r="C982">
        <f>Orders!I982</f>
        <v>22464.54</v>
      </c>
      <c r="D982" t="str">
        <f>Orders!E982</f>
        <v>R011</v>
      </c>
      <c r="E982" t="str">
        <f>IFERROR(VLOOKUP(Orders!D982,Products!$A$2:$C$61,3,FALSE),"Unknown")</f>
        <v>Grocery</v>
      </c>
      <c r="F982" t="str">
        <f>IFERROR(VLOOKUP(Orders!C982,Customers!$A$2:$E$301,5,FALSE),"Unknown")</f>
        <v>Retail</v>
      </c>
      <c r="G982">
        <f>IFERROR(VLOOKUP(Orders!C982,Customers!$A$2:$C$301,3,FALSE),"")</f>
        <v>49</v>
      </c>
      <c r="H982" t="str">
        <f>VLOOKUP(D982,Sales_Reps!$A$2:$C$31,3,FALSE)</f>
        <v>South</v>
      </c>
      <c r="I982" s="44">
        <f t="shared" si="33"/>
        <v>45505</v>
      </c>
      <c r="L982" t="str">
        <f>Orders!K982</f>
        <v>Pune</v>
      </c>
      <c r="M982">
        <f>Orders!G982</f>
        <v>3780</v>
      </c>
      <c r="N982">
        <f>IFERROR(VLOOKUP(Orders!D982,Products!$A$2:$D$61,4,FALSE),"")</f>
        <v>2436</v>
      </c>
      <c r="O982">
        <f t="shared" si="34"/>
        <v>0.35555555555555557</v>
      </c>
      <c r="Q982" t="str">
        <f>Orders!D982</f>
        <v>PROD-027</v>
      </c>
    </row>
    <row r="983" spans="1:17" x14ac:dyDescent="0.3">
      <c r="A983" t="str">
        <f>Orders!A983</f>
        <v>ORD-00947</v>
      </c>
      <c r="B983">
        <f>Orders!B983</f>
        <v>45417</v>
      </c>
      <c r="C983">
        <f>Orders!I983</f>
        <v>9406.08</v>
      </c>
      <c r="D983" t="str">
        <f>Orders!E983</f>
        <v>R002</v>
      </c>
      <c r="E983" t="str">
        <f>IFERROR(VLOOKUP(Orders!D983,Products!$A$2:$C$61,3,FALSE),"Unknown")</f>
        <v>Grocery</v>
      </c>
      <c r="F983" t="str">
        <f>IFERROR(VLOOKUP(Orders!C983,Customers!$A$2:$E$301,5,FALSE),"Unknown")</f>
        <v>Retail</v>
      </c>
      <c r="G983">
        <f>IFERROR(VLOOKUP(Orders!C983,Customers!$A$2:$C$301,3,FALSE),"")</f>
        <v>50</v>
      </c>
      <c r="H983" t="str">
        <f>VLOOKUP(D983,Sales_Reps!$A$2:$C$31,3,FALSE)</f>
        <v>North</v>
      </c>
      <c r="I983" s="44">
        <f t="shared" si="33"/>
        <v>45413</v>
      </c>
      <c r="L983" t="str">
        <f>Orders!K983</f>
        <v>Pune</v>
      </c>
      <c r="M983">
        <f>Orders!G983</f>
        <v>2760</v>
      </c>
      <c r="N983">
        <f>IFERROR(VLOOKUP(Orders!D983,Products!$A$2:$D$61,4,FALSE),"")</f>
        <v>1435</v>
      </c>
      <c r="O983">
        <f t="shared" si="34"/>
        <v>0.48007246376811596</v>
      </c>
      <c r="Q983" t="str">
        <f>Orders!D983</f>
        <v>PROD-021</v>
      </c>
    </row>
    <row r="984" spans="1:17" x14ac:dyDescent="0.3">
      <c r="A984" t="str">
        <f>Orders!A984</f>
        <v>ORD-00983</v>
      </c>
      <c r="B984">
        <f>Orders!B984</f>
        <v>45327</v>
      </c>
      <c r="C984">
        <f>Orders!I984</f>
        <v>5303.76</v>
      </c>
      <c r="D984" t="str">
        <f>Orders!E984</f>
        <v>R029</v>
      </c>
      <c r="E984" t="str">
        <f>IFERROR(VLOOKUP(Orders!D984,Products!$A$2:$C$61,3,FALSE),"Unknown")</f>
        <v>Beauty</v>
      </c>
      <c r="F984" t="str">
        <f>IFERROR(VLOOKUP(Orders!C984,Customers!$A$2:$E$301,5,FALSE),"Unknown")</f>
        <v>Retail</v>
      </c>
      <c r="G984">
        <f>IFERROR(VLOOKUP(Orders!C984,Customers!$A$2:$C$301,3,FALSE),"")</f>
        <v>31</v>
      </c>
      <c r="H984" t="str">
        <f>VLOOKUP(D984,Sales_Reps!$A$2:$C$31,3,FALSE)</f>
        <v>West</v>
      </c>
      <c r="I984" s="44">
        <f t="shared" si="33"/>
        <v>45323</v>
      </c>
      <c r="L984" t="str">
        <f>Orders!K984</f>
        <v>Pune</v>
      </c>
      <c r="M984">
        <f>Orders!G984</f>
        <v>1540</v>
      </c>
      <c r="N984">
        <f>IFERROR(VLOOKUP(Orders!D984,Products!$A$2:$D$61,4,FALSE),"")</f>
        <v>647</v>
      </c>
      <c r="O984">
        <f t="shared" si="34"/>
        <v>0.57987012987012987</v>
      </c>
      <c r="Q984" t="str">
        <f>Orders!D984</f>
        <v>PROD-041</v>
      </c>
    </row>
    <row r="985" spans="1:17" x14ac:dyDescent="0.3">
      <c r="A985" t="str">
        <f>Orders!A985</f>
        <v>ORD-00984</v>
      </c>
      <c r="B985">
        <f>Orders!B985</f>
        <v>45438</v>
      </c>
      <c r="C985">
        <f>Orders!I985</f>
        <v>6288.78</v>
      </c>
      <c r="D985" t="str">
        <f>Orders!E985</f>
        <v>R007</v>
      </c>
      <c r="E985" t="str">
        <f>IFERROR(VLOOKUP(Orders!D985,Products!$A$2:$C$61,3,FALSE),"Unknown")</f>
        <v>Home</v>
      </c>
      <c r="F985" t="str">
        <f>IFERROR(VLOOKUP(Orders!C985,Customers!$A$2:$E$301,5,FALSE),"Unknown")</f>
        <v>Retail</v>
      </c>
      <c r="G985">
        <f>IFERROR(VLOOKUP(Orders!C985,Customers!$A$2:$C$301,3,FALSE),"")</f>
        <v>27</v>
      </c>
      <c r="H985" t="str">
        <f>VLOOKUP(D985,Sales_Reps!$A$2:$C$31,3,FALSE)</f>
        <v>North</v>
      </c>
      <c r="I985" s="44">
        <f t="shared" si="33"/>
        <v>45413</v>
      </c>
      <c r="L985" t="str">
        <f>Orders!K985</f>
        <v>Bengaluru</v>
      </c>
      <c r="M985">
        <f>Orders!G985</f>
        <v>3730</v>
      </c>
      <c r="N985">
        <f>IFERROR(VLOOKUP(Orders!D985,Products!$A$2:$D$61,4,FALSE),"")</f>
        <v>2135</v>
      </c>
      <c r="O985">
        <f t="shared" si="34"/>
        <v>0.42761394101876676</v>
      </c>
      <c r="Q985" t="str">
        <f>Orders!D985</f>
        <v>PROD-031</v>
      </c>
    </row>
    <row r="986" spans="1:17" x14ac:dyDescent="0.3">
      <c r="A986" t="str">
        <f>Orders!A986</f>
        <v>ORD-00985</v>
      </c>
      <c r="B986">
        <f>Orders!B986</f>
        <v>45577</v>
      </c>
      <c r="C986">
        <f>Orders!I986</f>
        <v>14606.68</v>
      </c>
      <c r="D986" t="str">
        <f>Orders!E986</f>
        <v>R027</v>
      </c>
      <c r="E986" t="str">
        <f>IFERROR(VLOOKUP(Orders!D986,Products!$A$2:$C$61,3,FALSE),"Unknown")</f>
        <v>Home</v>
      </c>
      <c r="F986" t="str">
        <f>IFERROR(VLOOKUP(Orders!C986,Customers!$A$2:$E$301,5,FALSE),"Unknown")</f>
        <v>Retail</v>
      </c>
      <c r="G986">
        <f>IFERROR(VLOOKUP(Orders!C986,Customers!$A$2:$C$301,3,FALSE),"")</f>
        <v>52</v>
      </c>
      <c r="H986" t="str">
        <f>VLOOKUP(D986,Sales_Reps!$A$2:$C$31,3,FALSE)</f>
        <v>West</v>
      </c>
      <c r="I986" s="44">
        <f t="shared" si="33"/>
        <v>45566</v>
      </c>
      <c r="L986" t="str">
        <f>Orders!K986</f>
        <v>Bengaluru</v>
      </c>
      <c r="M986">
        <f>Orders!G986</f>
        <v>3730</v>
      </c>
      <c r="N986">
        <f>IFERROR(VLOOKUP(Orders!D986,Products!$A$2:$D$61,4,FALSE),"")</f>
        <v>2135</v>
      </c>
      <c r="O986">
        <f t="shared" si="34"/>
        <v>0.42761394101876676</v>
      </c>
      <c r="Q986" t="str">
        <f>Orders!D986</f>
        <v>PROD-031</v>
      </c>
    </row>
    <row r="987" spans="1:17" x14ac:dyDescent="0.3">
      <c r="A987" t="str">
        <f>Orders!A987</f>
        <v>ORD-00986</v>
      </c>
      <c r="B987">
        <f>Orders!B987</f>
        <v>45457</v>
      </c>
      <c r="C987">
        <f>Orders!I987</f>
        <v>2218.3200000000002</v>
      </c>
      <c r="D987" t="str">
        <f>Orders!E987</f>
        <v>R013</v>
      </c>
      <c r="E987" t="str">
        <f>IFERROR(VLOOKUP(Orders!D987,Products!$A$2:$C$61,3,FALSE),"Unknown")</f>
        <v>Apparel</v>
      </c>
      <c r="F987" t="str">
        <f>IFERROR(VLOOKUP(Orders!C987,Customers!$A$2:$E$301,5,FALSE),"Unknown")</f>
        <v>Retail</v>
      </c>
      <c r="G987">
        <f>IFERROR(VLOOKUP(Orders!C987,Customers!$A$2:$C$301,3,FALSE),"")</f>
        <v>62</v>
      </c>
      <c r="H987" t="str">
        <f>VLOOKUP(D987,Sales_Reps!$A$2:$C$31,3,FALSE)</f>
        <v>South</v>
      </c>
      <c r="I987" s="44">
        <f t="shared" si="33"/>
        <v>45444</v>
      </c>
      <c r="L987" t="str">
        <f>Orders!K987</f>
        <v>Pune</v>
      </c>
      <c r="M987">
        <f>Orders!G987</f>
        <v>3160</v>
      </c>
      <c r="N987">
        <f>IFERROR(VLOOKUP(Orders!D987,Products!$A$2:$D$61,4,FALSE),"")</f>
        <v>1886</v>
      </c>
      <c r="O987">
        <f t="shared" si="34"/>
        <v>0.4031645569620253</v>
      </c>
      <c r="Q987" t="str">
        <f>Orders!D987</f>
        <v>PROD-012</v>
      </c>
    </row>
    <row r="988" spans="1:17" x14ac:dyDescent="0.3">
      <c r="A988" t="str">
        <f>Orders!A988</f>
        <v>ORD-00987</v>
      </c>
      <c r="B988">
        <f>Orders!B988</f>
        <v>45544</v>
      </c>
      <c r="C988">
        <f>Orders!I988</f>
        <v>18899.37</v>
      </c>
      <c r="D988" t="str">
        <f>Orders!E988</f>
        <v>R022</v>
      </c>
      <c r="E988" t="str">
        <f>IFERROR(VLOOKUP(Orders!D988,Products!$A$2:$C$61,3,FALSE),"Unknown")</f>
        <v>Beauty</v>
      </c>
      <c r="F988" t="str">
        <f>IFERROR(VLOOKUP(Orders!C988,Customers!$A$2:$E$301,5,FALSE),"Unknown")</f>
        <v>Retail</v>
      </c>
      <c r="G988">
        <f>IFERROR(VLOOKUP(Orders!C988,Customers!$A$2:$C$301,3,FALSE),"")</f>
        <v>53</v>
      </c>
      <c r="H988" t="str">
        <f>VLOOKUP(D988,Sales_Reps!$A$2:$C$31,3,FALSE)</f>
        <v>East</v>
      </c>
      <c r="I988" s="44">
        <f t="shared" si="33"/>
        <v>45536</v>
      </c>
      <c r="L988" t="str">
        <f>Orders!K988</f>
        <v>Mumbai</v>
      </c>
      <c r="M988">
        <f>Orders!G988</f>
        <v>2290</v>
      </c>
      <c r="N988">
        <f>IFERROR(VLOOKUP(Orders!D988,Products!$A$2:$D$61,4,FALSE),"")</f>
        <v>1219</v>
      </c>
      <c r="O988">
        <f t="shared" si="34"/>
        <v>0.46768558951965067</v>
      </c>
      <c r="Q988" t="str">
        <f>Orders!D988</f>
        <v>PROD-042</v>
      </c>
    </row>
    <row r="989" spans="1:17" x14ac:dyDescent="0.3">
      <c r="A989" t="str">
        <f>Orders!A989</f>
        <v>ORD-00988</v>
      </c>
      <c r="B989">
        <f>Orders!B989</f>
        <v>45632</v>
      </c>
      <c r="C989">
        <f>Orders!I989</f>
        <v>7337.52</v>
      </c>
      <c r="D989" t="str">
        <f>Orders!E989</f>
        <v>R013</v>
      </c>
      <c r="E989" t="str">
        <f>IFERROR(VLOOKUP(Orders!D989,Products!$A$2:$C$61,3,FALSE),"Unknown")</f>
        <v>Electronics</v>
      </c>
      <c r="F989" t="str">
        <f>IFERROR(VLOOKUP(Orders!C989,Customers!$A$2:$E$301,5,FALSE),"Unknown")</f>
        <v>Corporate</v>
      </c>
      <c r="G989">
        <f>IFERROR(VLOOKUP(Orders!C989,Customers!$A$2:$C$301,3,FALSE),"")</f>
        <v>48</v>
      </c>
      <c r="H989" t="str">
        <f>VLOOKUP(D989,Sales_Reps!$A$2:$C$31,3,FALSE)</f>
        <v>South</v>
      </c>
      <c r="I989" s="44">
        <f t="shared" si="33"/>
        <v>45627</v>
      </c>
      <c r="L989" t="str">
        <f>Orders!K989</f>
        <v>Pune</v>
      </c>
      <c r="M989">
        <f>Orders!G989</f>
        <v>3870</v>
      </c>
      <c r="N989">
        <f>IFERROR(VLOOKUP(Orders!D989,Products!$A$2:$D$61,4,FALSE),"")</f>
        <v>1559</v>
      </c>
      <c r="O989">
        <f t="shared" si="34"/>
        <v>0.59715762273901807</v>
      </c>
      <c r="Q989" t="str">
        <f>Orders!D989</f>
        <v>PROD-004</v>
      </c>
    </row>
    <row r="990" spans="1:17" x14ac:dyDescent="0.3">
      <c r="A990" t="str">
        <f>Orders!A990</f>
        <v>ORD-00989</v>
      </c>
      <c r="B990">
        <f>Orders!B990</f>
        <v>45465</v>
      </c>
      <c r="C990">
        <f>Orders!I990</f>
        <v>14297.85</v>
      </c>
      <c r="D990" t="str">
        <f>Orders!E990</f>
        <v>R007</v>
      </c>
      <c r="E990" t="str">
        <f>IFERROR(VLOOKUP(Orders!D990,Products!$A$2:$C$61,3,FALSE),"Unknown")</f>
        <v>Electronics</v>
      </c>
      <c r="F990" t="str">
        <f>IFERROR(VLOOKUP(Orders!C990,Customers!$A$2:$E$301,5,FALSE),"Unknown")</f>
        <v>Retail</v>
      </c>
      <c r="G990">
        <f>IFERROR(VLOOKUP(Orders!C990,Customers!$A$2:$C$301,3,FALSE),"")</f>
        <v>55</v>
      </c>
      <c r="H990" t="str">
        <f>VLOOKUP(D990,Sales_Reps!$A$2:$C$31,3,FALSE)</f>
        <v>North</v>
      </c>
      <c r="I990" s="44">
        <f t="shared" si="33"/>
        <v>45444</v>
      </c>
      <c r="L990" t="str">
        <f>Orders!K990</f>
        <v>Bengaluru</v>
      </c>
      <c r="M990">
        <f>Orders!G990</f>
        <v>3570</v>
      </c>
      <c r="N990">
        <f>IFERROR(VLOOKUP(Orders!D990,Products!$A$2:$D$61,4,FALSE),"")</f>
        <v>1665</v>
      </c>
      <c r="O990">
        <f t="shared" si="34"/>
        <v>0.53361344537815125</v>
      </c>
      <c r="Q990" t="str">
        <f>Orders!D990</f>
        <v>PROD-003</v>
      </c>
    </row>
    <row r="991" spans="1:17" x14ac:dyDescent="0.3">
      <c r="A991" t="str">
        <f>Orders!A991</f>
        <v>ORD-00990</v>
      </c>
      <c r="B991">
        <f>Orders!B991</f>
        <v>45342</v>
      </c>
      <c r="C991">
        <f>Orders!I991</f>
        <v>4938.8999999999996</v>
      </c>
      <c r="D991" t="str">
        <f>Orders!E991</f>
        <v>R001</v>
      </c>
      <c r="E991" t="str">
        <f>IFERROR(VLOOKUP(Orders!D991,Products!$A$2:$C$61,3,FALSE),"Unknown")</f>
        <v>Sports</v>
      </c>
      <c r="F991" t="str">
        <f>IFERROR(VLOOKUP(Orders!C991,Customers!$A$2:$E$301,5,FALSE),"Unknown")</f>
        <v>Retail</v>
      </c>
      <c r="G991">
        <f>IFERROR(VLOOKUP(Orders!C991,Customers!$A$2:$C$301,3,FALSE),"")</f>
        <v>38</v>
      </c>
      <c r="H991" t="str">
        <f>VLOOKUP(D991,Sales_Reps!$A$2:$C$31,3,FALSE)</f>
        <v>North</v>
      </c>
      <c r="I991" s="44">
        <f t="shared" si="33"/>
        <v>45323</v>
      </c>
      <c r="L991" t="str">
        <f>Orders!K991</f>
        <v>Chennai</v>
      </c>
      <c r="M991">
        <f>Orders!G991</f>
        <v>1010</v>
      </c>
      <c r="N991">
        <f>IFERROR(VLOOKUP(Orders!D991,Products!$A$2:$D$61,4,FALSE),"")</f>
        <v>516</v>
      </c>
      <c r="O991">
        <f t="shared" si="34"/>
        <v>0.4891089108910891</v>
      </c>
      <c r="Q991" t="str">
        <f>Orders!D991</f>
        <v>PROD-054</v>
      </c>
    </row>
    <row r="992" spans="1:17" x14ac:dyDescent="0.3">
      <c r="A992" t="str">
        <f>Orders!A992</f>
        <v>ORD-00991</v>
      </c>
      <c r="B992">
        <f>Orders!B992</f>
        <v>45309</v>
      </c>
      <c r="C992">
        <f>Orders!I992</f>
        <v>19052.8</v>
      </c>
      <c r="D992" t="str">
        <f>Orders!E992</f>
        <v>R004</v>
      </c>
      <c r="E992" t="str">
        <f>IFERROR(VLOOKUP(Orders!D992,Products!$A$2:$C$61,3,FALSE),"Unknown")</f>
        <v>Beauty</v>
      </c>
      <c r="F992" t="str">
        <f>IFERROR(VLOOKUP(Orders!C992,Customers!$A$2:$E$301,5,FALSE),"Unknown")</f>
        <v>Corporate</v>
      </c>
      <c r="G992">
        <f>IFERROR(VLOOKUP(Orders!C992,Customers!$A$2:$C$301,3,FALSE),"")</f>
        <v>51</v>
      </c>
      <c r="H992" t="str">
        <f>VLOOKUP(D992,Sales_Reps!$A$2:$C$31,3,FALSE)</f>
        <v>North</v>
      </c>
      <c r="I992" s="44">
        <f t="shared" si="33"/>
        <v>45292</v>
      </c>
      <c r="L992" t="str">
        <f>Orders!K992</f>
        <v>Chennai</v>
      </c>
      <c r="M992">
        <f>Orders!G992</f>
        <v>2290</v>
      </c>
      <c r="N992">
        <f>IFERROR(VLOOKUP(Orders!D992,Products!$A$2:$D$61,4,FALSE),"")</f>
        <v>1219</v>
      </c>
      <c r="O992">
        <f t="shared" si="34"/>
        <v>0.46768558951965067</v>
      </c>
      <c r="Q992" t="str">
        <f>Orders!D992</f>
        <v>PROD-042</v>
      </c>
    </row>
    <row r="993" spans="1:17" x14ac:dyDescent="0.3">
      <c r="A993" t="str">
        <f>Orders!A993</f>
        <v>ORD-00992</v>
      </c>
      <c r="B993">
        <f>Orders!B993</f>
        <v>45493</v>
      </c>
      <c r="C993">
        <f>Orders!I993</f>
        <v>12004.44</v>
      </c>
      <c r="D993" t="str">
        <f>Orders!E993</f>
        <v>R019</v>
      </c>
      <c r="E993" t="str">
        <f>IFERROR(VLOOKUP(Orders!D993,Products!$A$2:$C$61,3,FALSE),"Unknown")</f>
        <v>Home</v>
      </c>
      <c r="F993" t="str">
        <f>IFERROR(VLOOKUP(Orders!C993,Customers!$A$2:$E$301,5,FALSE),"Unknown")</f>
        <v>Corporate</v>
      </c>
      <c r="G993">
        <f>IFERROR(VLOOKUP(Orders!C993,Customers!$A$2:$C$301,3,FALSE),"")</f>
        <v>52</v>
      </c>
      <c r="H993" t="str">
        <f>VLOOKUP(D993,Sales_Reps!$A$2:$C$31,3,FALSE)</f>
        <v>East</v>
      </c>
      <c r="I993" s="44">
        <f t="shared" si="33"/>
        <v>45474</v>
      </c>
      <c r="L993" t="str">
        <f>Orders!K993</f>
        <v>Hyderabad</v>
      </c>
      <c r="M993">
        <f>Orders!G993</f>
        <v>4610</v>
      </c>
      <c r="N993">
        <f>IFERROR(VLOOKUP(Orders!D993,Products!$A$2:$D$61,4,FALSE),"")</f>
        <v>1850</v>
      </c>
      <c r="O993">
        <f t="shared" si="34"/>
        <v>0.59869848156182215</v>
      </c>
      <c r="Q993" t="str">
        <f>Orders!D993</f>
        <v>PROD-039</v>
      </c>
    </row>
    <row r="994" spans="1:17" x14ac:dyDescent="0.3">
      <c r="A994" t="str">
        <f>Orders!A994</f>
        <v>ORD-00993</v>
      </c>
      <c r="B994">
        <f>Orders!B994</f>
        <v>45356</v>
      </c>
      <c r="C994">
        <f>Orders!I994</f>
        <v>2085.81</v>
      </c>
      <c r="D994" t="str">
        <f>Orders!E994</f>
        <v>R003</v>
      </c>
      <c r="E994" t="str">
        <f>IFERROR(VLOOKUP(Orders!D994,Products!$A$2:$C$61,3,FALSE),"Unknown")</f>
        <v>Apparel</v>
      </c>
      <c r="F994" t="str">
        <f>IFERROR(VLOOKUP(Orders!C994,Customers!$A$2:$E$301,5,FALSE),"Unknown")</f>
        <v>Corporate</v>
      </c>
      <c r="G994">
        <f>IFERROR(VLOOKUP(Orders!C994,Customers!$A$2:$C$301,3,FALSE),"")</f>
        <v>37</v>
      </c>
      <c r="H994" t="str">
        <f>VLOOKUP(D994,Sales_Reps!$A$2:$C$31,3,FALSE)</f>
        <v>North</v>
      </c>
      <c r="I994" s="44">
        <f t="shared" si="33"/>
        <v>45352</v>
      </c>
      <c r="L994" t="str">
        <f>Orders!K994</f>
        <v>Pune</v>
      </c>
      <c r="M994">
        <f>Orders!G994</f>
        <v>2510</v>
      </c>
      <c r="N994">
        <f>IFERROR(VLOOKUP(Orders!D994,Products!$A$2:$D$61,4,FALSE),"")</f>
        <v>1075</v>
      </c>
      <c r="O994">
        <f t="shared" si="34"/>
        <v>0.57171314741035861</v>
      </c>
      <c r="Q994" t="str">
        <f>Orders!D994</f>
        <v>PROD-017</v>
      </c>
    </row>
    <row r="995" spans="1:17" x14ac:dyDescent="0.3">
      <c r="A995" t="str">
        <f>Orders!A995</f>
        <v>ORD-00994</v>
      </c>
      <c r="B995">
        <f>Orders!B995</f>
        <v>45367</v>
      </c>
      <c r="C995">
        <f>Orders!I995</f>
        <v>2213.66</v>
      </c>
      <c r="D995" t="str">
        <f>Orders!E995</f>
        <v>R009</v>
      </c>
      <c r="E995" t="str">
        <f>IFERROR(VLOOKUP(Orders!D995,Products!$A$2:$C$61,3,FALSE),"Unknown")</f>
        <v>Beauty</v>
      </c>
      <c r="F995" t="str">
        <f>IFERROR(VLOOKUP(Orders!C995,Customers!$A$2:$E$301,5,FALSE),"Unknown")</f>
        <v>SMB</v>
      </c>
      <c r="G995">
        <f>IFERROR(VLOOKUP(Orders!C995,Customers!$A$2:$C$301,3,FALSE),"")</f>
        <v>27</v>
      </c>
      <c r="H995" t="str">
        <f>VLOOKUP(D995,Sales_Reps!$A$2:$C$31,3,FALSE)</f>
        <v>South</v>
      </c>
      <c r="I995" s="44">
        <f t="shared" si="33"/>
        <v>45352</v>
      </c>
      <c r="L995" t="str">
        <f>Orders!K995</f>
        <v>Mumbai</v>
      </c>
      <c r="M995">
        <f>Orders!G995</f>
        <v>3020</v>
      </c>
      <c r="N995">
        <f>IFERROR(VLOOKUP(Orders!D995,Products!$A$2:$D$61,4,FALSE),"")</f>
        <v>1626</v>
      </c>
      <c r="O995">
        <f t="shared" si="34"/>
        <v>0.46158940397350995</v>
      </c>
      <c r="Q995" t="str">
        <f>Orders!D995</f>
        <v>PROD-045</v>
      </c>
    </row>
    <row r="996" spans="1:17" x14ac:dyDescent="0.3">
      <c r="A996" t="str">
        <f>Orders!A996</f>
        <v>ORD-00995</v>
      </c>
      <c r="B996">
        <f>Orders!B996</f>
        <v>45313</v>
      </c>
      <c r="C996">
        <f>Orders!I996</f>
        <v>1059.06</v>
      </c>
      <c r="D996" t="str">
        <f>Orders!E996</f>
        <v>R012</v>
      </c>
      <c r="E996" t="str">
        <f>IFERROR(VLOOKUP(Orders!D996,Products!$A$2:$C$61,3,FALSE),"Unknown")</f>
        <v>Sports</v>
      </c>
      <c r="F996" t="str">
        <f>IFERROR(VLOOKUP(Orders!C996,Customers!$A$2:$E$301,5,FALSE),"Unknown")</f>
        <v>Retail</v>
      </c>
      <c r="G996">
        <f>IFERROR(VLOOKUP(Orders!C996,Customers!$A$2:$C$301,3,FALSE),"")</f>
        <v>62</v>
      </c>
      <c r="H996" t="str">
        <f>VLOOKUP(D996,Sales_Reps!$A$2:$C$31,3,FALSE)</f>
        <v>South</v>
      </c>
      <c r="I996" s="44">
        <f t="shared" si="33"/>
        <v>45292</v>
      </c>
      <c r="L996" t="str">
        <f>Orders!K996</f>
        <v>Pune</v>
      </c>
      <c r="M996">
        <f>Orders!G996</f>
        <v>190</v>
      </c>
      <c r="N996">
        <f>IFERROR(VLOOKUP(Orders!D996,Products!$A$2:$D$61,4,FALSE),"")</f>
        <v>147</v>
      </c>
      <c r="O996">
        <f t="shared" si="34"/>
        <v>0.22631578947368422</v>
      </c>
      <c r="Q996" t="str">
        <f>Orders!D996</f>
        <v>PROD-060</v>
      </c>
    </row>
    <row r="997" spans="1:17" x14ac:dyDescent="0.3">
      <c r="A997" t="str">
        <f>Orders!A997</f>
        <v>ORD-00996</v>
      </c>
      <c r="B997">
        <f>Orders!B997</f>
        <v>45529</v>
      </c>
      <c r="C997">
        <f>Orders!I997</f>
        <v>10535.7</v>
      </c>
      <c r="D997" t="str">
        <f>Orders!E997</f>
        <v>R002</v>
      </c>
      <c r="E997" t="str">
        <f>IFERROR(VLOOKUP(Orders!D997,Products!$A$2:$C$61,3,FALSE),"Unknown")</f>
        <v>Home</v>
      </c>
      <c r="F997" t="str">
        <f>IFERROR(VLOOKUP(Orders!C997,Customers!$A$2:$E$301,5,FALSE),"Unknown")</f>
        <v>Retail</v>
      </c>
      <c r="G997">
        <f>IFERROR(VLOOKUP(Orders!C997,Customers!$A$2:$C$301,3,FALSE),"")</f>
        <v>36</v>
      </c>
      <c r="H997" t="str">
        <f>VLOOKUP(D997,Sales_Reps!$A$2:$C$31,3,FALSE)</f>
        <v>North</v>
      </c>
      <c r="I997" s="44">
        <f t="shared" si="33"/>
        <v>45505</v>
      </c>
      <c r="L997" t="str">
        <f>Orders!K997</f>
        <v>Bengaluru</v>
      </c>
      <c r="M997">
        <f>Orders!G997</f>
        <v>2030</v>
      </c>
      <c r="N997">
        <f>IFERROR(VLOOKUP(Orders!D997,Products!$A$2:$D$61,4,FALSE),"")</f>
        <v>1143</v>
      </c>
      <c r="O997">
        <f t="shared" si="34"/>
        <v>0.43694581280788175</v>
      </c>
      <c r="Q997" t="str">
        <f>Orders!D997</f>
        <v>PROD-033</v>
      </c>
    </row>
    <row r="998" spans="1:17" x14ac:dyDescent="0.3">
      <c r="A998" t="str">
        <f>Orders!A998</f>
        <v>ORD-00997</v>
      </c>
      <c r="B998">
        <f>Orders!B998</f>
        <v>45547</v>
      </c>
      <c r="C998">
        <f>Orders!I998</f>
        <v>29672.5</v>
      </c>
      <c r="D998" t="str">
        <f>Orders!E998</f>
        <v>R012</v>
      </c>
      <c r="E998" t="str">
        <f>IFERROR(VLOOKUP(Orders!D998,Products!$A$2:$C$61,3,FALSE),"Unknown")</f>
        <v>Home</v>
      </c>
      <c r="F998" t="str">
        <f>IFERROR(VLOOKUP(Orders!C998,Customers!$A$2:$E$301,5,FALSE),"Unknown")</f>
        <v>Retail</v>
      </c>
      <c r="G998">
        <f>IFERROR(VLOOKUP(Orders!C998,Customers!$A$2:$C$301,3,FALSE),"")</f>
        <v>52</v>
      </c>
      <c r="H998" t="str">
        <f>VLOOKUP(D998,Sales_Reps!$A$2:$C$31,3,FALSE)</f>
        <v>South</v>
      </c>
      <c r="I998" s="44">
        <f t="shared" si="33"/>
        <v>45536</v>
      </c>
      <c r="L998" t="str">
        <f>Orders!K998</f>
        <v>Hyderabad</v>
      </c>
      <c r="M998">
        <f>Orders!G998</f>
        <v>3250</v>
      </c>
      <c r="N998">
        <f>IFERROR(VLOOKUP(Orders!D998,Products!$A$2:$D$61,4,FALSE),"")</f>
        <v>1556</v>
      </c>
      <c r="O998">
        <f t="shared" si="34"/>
        <v>0.52123076923076928</v>
      </c>
      <c r="Q998" t="str">
        <f>Orders!D998</f>
        <v>PROD-036</v>
      </c>
    </row>
    <row r="999" spans="1:17" x14ac:dyDescent="0.3">
      <c r="A999" t="str">
        <f>Orders!A999</f>
        <v>ORD-00998</v>
      </c>
      <c r="B999">
        <f>Orders!B999</f>
        <v>45299</v>
      </c>
      <c r="C999">
        <f>Orders!I999</f>
        <v>12916.89</v>
      </c>
      <c r="D999" t="str">
        <f>Orders!E999</f>
        <v>R029</v>
      </c>
      <c r="E999" t="str">
        <f>IFERROR(VLOOKUP(Orders!D999,Products!$A$2:$C$61,3,FALSE),"Unknown")</f>
        <v>Home</v>
      </c>
      <c r="F999" t="str">
        <f>IFERROR(VLOOKUP(Orders!C999,Customers!$A$2:$E$301,5,FALSE),"Unknown")</f>
        <v>Retail</v>
      </c>
      <c r="G999">
        <f>IFERROR(VLOOKUP(Orders!C999,Customers!$A$2:$C$301,3,FALSE),"")</f>
        <v>65</v>
      </c>
      <c r="H999" t="str">
        <f>VLOOKUP(D999,Sales_Reps!$A$2:$C$31,3,FALSE)</f>
        <v>West</v>
      </c>
      <c r="I999" s="44">
        <f t="shared" si="33"/>
        <v>45292</v>
      </c>
      <c r="L999" t="str">
        <f>Orders!K999</f>
        <v>Pune</v>
      </c>
      <c r="M999">
        <f>Orders!G999</f>
        <v>2030</v>
      </c>
      <c r="N999">
        <f>IFERROR(VLOOKUP(Orders!D999,Products!$A$2:$D$61,4,FALSE),"")</f>
        <v>1143</v>
      </c>
      <c r="O999">
        <f t="shared" si="34"/>
        <v>0.43694581280788175</v>
      </c>
      <c r="Q999" t="str">
        <f>Orders!D999</f>
        <v>PROD-033</v>
      </c>
    </row>
    <row r="1000" spans="1:17" x14ac:dyDescent="0.3">
      <c r="A1000" t="str">
        <f>Orders!A1000</f>
        <v>ORD-00999</v>
      </c>
      <c r="B1000">
        <f>Orders!B1000</f>
        <v>45380</v>
      </c>
      <c r="C1000">
        <f>Orders!I1000</f>
        <v>2072.98</v>
      </c>
      <c r="D1000" t="str">
        <f>Orders!E1000</f>
        <v>R025</v>
      </c>
      <c r="E1000" t="str">
        <f>IFERROR(VLOOKUP(Orders!D1000,Products!$A$2:$C$61,3,FALSE),"Unknown")</f>
        <v>Grocery</v>
      </c>
      <c r="F1000" t="str">
        <f>IFERROR(VLOOKUP(Orders!C1000,Customers!$A$2:$E$301,5,FALSE),"Unknown")</f>
        <v>SMB</v>
      </c>
      <c r="G1000">
        <f>IFERROR(VLOOKUP(Orders!C1000,Customers!$A$2:$C$301,3,FALSE),"")</f>
        <v>47</v>
      </c>
      <c r="H1000" t="str">
        <f>VLOOKUP(D1000,Sales_Reps!$A$2:$C$31,3,FALSE)</f>
        <v>West</v>
      </c>
      <c r="I1000" s="44">
        <f t="shared" si="33"/>
        <v>45352</v>
      </c>
      <c r="L1000" t="str">
        <f>Orders!K1000</f>
        <v>Mumbai</v>
      </c>
      <c r="M1000">
        <f>Orders!G1000</f>
        <v>2380</v>
      </c>
      <c r="N1000">
        <f>IFERROR(VLOOKUP(Orders!D1000,Products!$A$2:$D$61,4,FALSE),"")</f>
        <v>1182</v>
      </c>
      <c r="O1000">
        <f t="shared" si="34"/>
        <v>0.50336134453781511</v>
      </c>
      <c r="Q1000" t="str">
        <f>Orders!D1000</f>
        <v>PROD-023</v>
      </c>
    </row>
    <row r="1001" spans="1:17" x14ac:dyDescent="0.3">
      <c r="A1001" t="str">
        <f>Orders!A1001</f>
        <v>ORD-01000</v>
      </c>
      <c r="B1001">
        <f>Orders!B1001</f>
        <v>45521</v>
      </c>
      <c r="C1001">
        <f>Orders!I1001</f>
        <v>28117.5</v>
      </c>
      <c r="D1001" t="str">
        <f>Orders!E1001</f>
        <v>R024</v>
      </c>
      <c r="E1001" t="str">
        <f>IFERROR(VLOOKUP(Orders!D1001,Products!$A$2:$C$61,3,FALSE),"Unknown")</f>
        <v>Apparel</v>
      </c>
      <c r="F1001" t="str">
        <f>IFERROR(VLOOKUP(Orders!C1001,Customers!$A$2:$E$301,5,FALSE),"Unknown")</f>
        <v>Retail</v>
      </c>
      <c r="G1001">
        <f>IFERROR(VLOOKUP(Orders!C1001,Customers!$A$2:$C$301,3,FALSE),"")</f>
        <v>38</v>
      </c>
      <c r="H1001" t="str">
        <f>VLOOKUP(D1001,Sales_Reps!$A$2:$C$31,3,FALSE)</f>
        <v>West</v>
      </c>
      <c r="I1001" s="44">
        <f t="shared" si="33"/>
        <v>45505</v>
      </c>
      <c r="L1001" t="str">
        <f>Orders!K1001</f>
        <v>Hyderabad</v>
      </c>
      <c r="M1001">
        <f>Orders!G1001</f>
        <v>3450</v>
      </c>
      <c r="N1001">
        <f>IFERROR(VLOOKUP(Orders!D1001,Products!$A$2:$D$61,4,FALSE),"")</f>
        <v>1748</v>
      </c>
      <c r="O1001">
        <f t="shared" si="34"/>
        <v>0.49333333333333335</v>
      </c>
      <c r="Q1001" t="str">
        <f>Orders!D1001</f>
        <v>PROD-011</v>
      </c>
    </row>
    <row r="1002" spans="1:17" x14ac:dyDescent="0.3">
      <c r="A1002" t="str">
        <f>Orders!A1002</f>
        <v>ORD-01001</v>
      </c>
      <c r="B1002">
        <f>Orders!B1002</f>
        <v>45500</v>
      </c>
      <c r="C1002">
        <f>Orders!I1002</f>
        <v>23289.200000000001</v>
      </c>
      <c r="D1002" t="str">
        <f>Orders!E1002</f>
        <v>R002</v>
      </c>
      <c r="E1002" t="str">
        <f>IFERROR(VLOOKUP(Orders!D1002,Products!$A$2:$C$61,3,FALSE),"Unknown")</f>
        <v>Apparel</v>
      </c>
      <c r="F1002" t="str">
        <f>IFERROR(VLOOKUP(Orders!C1002,Customers!$A$2:$E$301,5,FALSE),"Unknown")</f>
        <v>Corporate</v>
      </c>
      <c r="G1002">
        <f>IFERROR(VLOOKUP(Orders!C1002,Customers!$A$2:$C$301,3,FALSE),"")</f>
        <v>29</v>
      </c>
      <c r="H1002" t="str">
        <f>VLOOKUP(D1002,Sales_Reps!$A$2:$C$31,3,FALSE)</f>
        <v>North</v>
      </c>
      <c r="I1002" s="44">
        <f t="shared" si="33"/>
        <v>45474</v>
      </c>
      <c r="L1002" t="str">
        <f>Orders!K1002</f>
        <v>Hyderabad</v>
      </c>
      <c r="M1002">
        <f>Orders!G1002</f>
        <v>3160</v>
      </c>
      <c r="N1002">
        <f>IFERROR(VLOOKUP(Orders!D1002,Products!$A$2:$D$61,4,FALSE),"")</f>
        <v>1886</v>
      </c>
      <c r="O1002">
        <f t="shared" si="34"/>
        <v>0.4031645569620253</v>
      </c>
      <c r="Q1002" t="str">
        <f>Orders!D1002</f>
        <v>PROD-012</v>
      </c>
    </row>
    <row r="1003" spans="1:17" x14ac:dyDescent="0.3">
      <c r="A1003" t="str">
        <f>Orders!A1003</f>
        <v>ORD-01002</v>
      </c>
      <c r="B1003">
        <f>Orders!B1003</f>
        <v>45531</v>
      </c>
      <c r="C1003">
        <f>Orders!I1003</f>
        <v>42437.7</v>
      </c>
      <c r="D1003" t="str">
        <f>Orders!E1003</f>
        <v>R026</v>
      </c>
      <c r="E1003" t="str">
        <f>IFERROR(VLOOKUP(Orders!D1003,Products!$A$2:$C$61,3,FALSE),"Unknown")</f>
        <v>Home</v>
      </c>
      <c r="F1003" t="str">
        <f>IFERROR(VLOOKUP(Orders!C1003,Customers!$A$2:$E$301,5,FALSE),"Unknown")</f>
        <v>Retail</v>
      </c>
      <c r="G1003">
        <f>IFERROR(VLOOKUP(Orders!C1003,Customers!$A$2:$C$301,3,FALSE),"")</f>
        <v>60</v>
      </c>
      <c r="H1003" t="str">
        <f>VLOOKUP(D1003,Sales_Reps!$A$2:$C$31,3,FALSE)</f>
        <v>West</v>
      </c>
      <c r="I1003" s="44">
        <f t="shared" si="33"/>
        <v>45505</v>
      </c>
      <c r="L1003" t="str">
        <f>Orders!K1003</f>
        <v>Chennai</v>
      </c>
      <c r="M1003">
        <f>Orders!G1003</f>
        <v>5490</v>
      </c>
      <c r="N1003">
        <f>IFERROR(VLOOKUP(Orders!D1003,Products!$A$2:$D$61,4,FALSE),"")</f>
        <v>2549</v>
      </c>
      <c r="O1003">
        <f t="shared" si="34"/>
        <v>0.53570127504553733</v>
      </c>
      <c r="Q1003" t="str">
        <f>Orders!D1003</f>
        <v>PROD-038</v>
      </c>
    </row>
    <row r="1004" spans="1:17" x14ac:dyDescent="0.3">
      <c r="A1004" t="str">
        <f>Orders!A1004</f>
        <v>ORD-01003</v>
      </c>
      <c r="B1004">
        <f>Orders!B1004</f>
        <v>45563</v>
      </c>
      <c r="C1004">
        <f>Orders!I1004</f>
        <v>19608.16</v>
      </c>
      <c r="D1004" t="str">
        <f>Orders!E1004</f>
        <v>R006</v>
      </c>
      <c r="E1004" t="str">
        <f>IFERROR(VLOOKUP(Orders!D1004,Products!$A$2:$C$61,3,FALSE),"Unknown")</f>
        <v>Sports</v>
      </c>
      <c r="F1004" t="str">
        <f>IFERROR(VLOOKUP(Orders!C1004,Customers!$A$2:$E$301,5,FALSE),"Unknown")</f>
        <v>SMB</v>
      </c>
      <c r="G1004">
        <f>IFERROR(VLOOKUP(Orders!C1004,Customers!$A$2:$C$301,3,FALSE),"")</f>
        <v>46</v>
      </c>
      <c r="H1004" t="str">
        <f>VLOOKUP(D1004,Sales_Reps!$A$2:$C$31,3,FALSE)</f>
        <v>North</v>
      </c>
      <c r="I1004" s="44">
        <f t="shared" si="33"/>
        <v>45536</v>
      </c>
      <c r="L1004" t="str">
        <f>Orders!K1004</f>
        <v>Chennai</v>
      </c>
      <c r="M1004">
        <f>Orders!G1004</f>
        <v>2860</v>
      </c>
      <c r="N1004">
        <f>IFERROR(VLOOKUP(Orders!D1004,Products!$A$2:$D$61,4,FALSE),"")</f>
        <v>2028</v>
      </c>
      <c r="O1004">
        <f t="shared" si="34"/>
        <v>0.29090909090909089</v>
      </c>
      <c r="Q1004" t="str">
        <f>Orders!D1004</f>
        <v>PROD-055</v>
      </c>
    </row>
    <row r="1005" spans="1:17" x14ac:dyDescent="0.3">
      <c r="A1005" t="str">
        <f>Orders!A1005</f>
        <v>ORD-01004</v>
      </c>
      <c r="B1005">
        <f>Orders!B1005</f>
        <v>45416</v>
      </c>
      <c r="C1005">
        <f>Orders!I1005</f>
        <v>845.76</v>
      </c>
      <c r="D1005" t="str">
        <f>Orders!E1005</f>
        <v>R011</v>
      </c>
      <c r="E1005" t="str">
        <f>IFERROR(VLOOKUP(Orders!D1005,Products!$A$2:$C$61,3,FALSE),"Unknown")</f>
        <v>Beauty</v>
      </c>
      <c r="F1005" t="str">
        <f>IFERROR(VLOOKUP(Orders!C1005,Customers!$A$2:$E$301,5,FALSE),"Unknown")</f>
        <v>Retail</v>
      </c>
      <c r="G1005">
        <f>IFERROR(VLOOKUP(Orders!C1005,Customers!$A$2:$C$301,3,FALSE),"")</f>
        <v>34</v>
      </c>
      <c r="H1005" t="str">
        <f>VLOOKUP(D1005,Sales_Reps!$A$2:$C$31,3,FALSE)</f>
        <v>South</v>
      </c>
      <c r="I1005" s="44">
        <f t="shared" si="33"/>
        <v>45413</v>
      </c>
      <c r="L1005" t="str">
        <f>Orders!K1005</f>
        <v>Bengaluru</v>
      </c>
      <c r="M1005">
        <f>Orders!G1005</f>
        <v>960</v>
      </c>
      <c r="N1005">
        <f>IFERROR(VLOOKUP(Orders!D1005,Products!$A$2:$D$61,4,FALSE),"")</f>
        <v>675</v>
      </c>
      <c r="O1005">
        <f t="shared" si="34"/>
        <v>0.296875</v>
      </c>
      <c r="Q1005" t="str">
        <f>Orders!D1005</f>
        <v>PROD-049</v>
      </c>
    </row>
    <row r="1006" spans="1:17" x14ac:dyDescent="0.3">
      <c r="A1006" t="str">
        <f>Orders!A1006</f>
        <v>ORD-01005</v>
      </c>
      <c r="B1006">
        <f>Orders!B1006</f>
        <v>45430</v>
      </c>
      <c r="C1006">
        <f>Orders!I1006</f>
        <v>2397.6</v>
      </c>
      <c r="D1006" t="str">
        <f>Orders!E1006</f>
        <v>R007</v>
      </c>
      <c r="E1006" t="str">
        <f>IFERROR(VLOOKUP(Orders!D1006,Products!$A$2:$C$61,3,FALSE),"Unknown")</f>
        <v>Home</v>
      </c>
      <c r="F1006" t="str">
        <f>IFERROR(VLOOKUP(Orders!C1006,Customers!$A$2:$E$301,5,FALSE),"Unknown")</f>
        <v>Retail</v>
      </c>
      <c r="G1006">
        <f>IFERROR(VLOOKUP(Orders!C1006,Customers!$A$2:$C$301,3,FALSE),"")</f>
        <v>32</v>
      </c>
      <c r="H1006" t="str">
        <f>VLOOKUP(D1006,Sales_Reps!$A$2:$C$31,3,FALSE)</f>
        <v>North</v>
      </c>
      <c r="I1006" s="44">
        <f t="shared" si="33"/>
        <v>45413</v>
      </c>
      <c r="L1006" t="str">
        <f>Orders!K1006</f>
        <v>Bengaluru</v>
      </c>
      <c r="M1006">
        <f>Orders!G1006</f>
        <v>1080</v>
      </c>
      <c r="N1006">
        <f>IFERROR(VLOOKUP(Orders!D1006,Products!$A$2:$D$61,4,FALSE),"")</f>
        <v>519</v>
      </c>
      <c r="O1006">
        <f t="shared" si="34"/>
        <v>0.51944444444444449</v>
      </c>
      <c r="Q1006" t="str">
        <f>Orders!D1006</f>
        <v>PROD-040</v>
      </c>
    </row>
    <row r="1007" spans="1:17" x14ac:dyDescent="0.3">
      <c r="A1007" t="str">
        <f>Orders!A1007</f>
        <v>ORD-01006</v>
      </c>
      <c r="B1007">
        <f>Orders!B1007</f>
        <v>45585</v>
      </c>
      <c r="C1007">
        <f>Orders!I1007</f>
        <v>24853.4</v>
      </c>
      <c r="D1007" t="str">
        <f>Orders!E1007</f>
        <v>R001</v>
      </c>
      <c r="E1007" t="str">
        <f>IFERROR(VLOOKUP(Orders!D1007,Products!$A$2:$C$61,3,FALSE),"Unknown")</f>
        <v>Sports</v>
      </c>
      <c r="F1007" t="str">
        <f>IFERROR(VLOOKUP(Orders!C1007,Customers!$A$2:$E$301,5,FALSE),"Unknown")</f>
        <v>SMB</v>
      </c>
      <c r="G1007">
        <f>IFERROR(VLOOKUP(Orders!C1007,Customers!$A$2:$C$301,3,FALSE),"")</f>
        <v>54</v>
      </c>
      <c r="H1007" t="str">
        <f>VLOOKUP(D1007,Sales_Reps!$A$2:$C$31,3,FALSE)</f>
        <v>North</v>
      </c>
      <c r="I1007" s="44">
        <f t="shared" si="33"/>
        <v>45566</v>
      </c>
      <c r="L1007" t="str">
        <f>Orders!K1007</f>
        <v>Pune</v>
      </c>
      <c r="M1007">
        <f>Orders!G1007</f>
        <v>2860</v>
      </c>
      <c r="N1007">
        <f>IFERROR(VLOOKUP(Orders!D1007,Products!$A$2:$D$61,4,FALSE),"")</f>
        <v>2028</v>
      </c>
      <c r="O1007">
        <f t="shared" si="34"/>
        <v>0.29090909090909089</v>
      </c>
      <c r="Q1007" t="str">
        <f>Orders!D1007</f>
        <v>PROD-055</v>
      </c>
    </row>
    <row r="1008" spans="1:17" x14ac:dyDescent="0.3">
      <c r="A1008" t="str">
        <f>Orders!A1008</f>
        <v>ORD-01007</v>
      </c>
      <c r="B1008">
        <f>Orders!B1008</f>
        <v>45630</v>
      </c>
      <c r="C1008">
        <f>Orders!I1008</f>
        <v>8932.56</v>
      </c>
      <c r="D1008" t="str">
        <f>Orders!E1008</f>
        <v>R001</v>
      </c>
      <c r="E1008" t="str">
        <f>IFERROR(VLOOKUP(Orders!D1008,Products!$A$2:$C$61,3,FALSE),"Unknown")</f>
        <v>Apparel</v>
      </c>
      <c r="F1008" t="str">
        <f>IFERROR(VLOOKUP(Orders!C1008,Customers!$A$2:$E$301,5,FALSE),"Unknown")</f>
        <v>Retail</v>
      </c>
      <c r="G1008">
        <f>IFERROR(VLOOKUP(Orders!C1008,Customers!$A$2:$C$301,3,FALSE),"")</f>
        <v>34</v>
      </c>
      <c r="H1008" t="str">
        <f>VLOOKUP(D1008,Sales_Reps!$A$2:$C$31,3,FALSE)</f>
        <v>North</v>
      </c>
      <c r="I1008" s="44">
        <f t="shared" si="33"/>
        <v>45627</v>
      </c>
      <c r="L1008" t="str">
        <f>Orders!K1008</f>
        <v>Chennai</v>
      </c>
      <c r="M1008">
        <f>Orders!G1008</f>
        <v>3640</v>
      </c>
      <c r="N1008">
        <f>IFERROR(VLOOKUP(Orders!D1008,Products!$A$2:$D$61,4,FALSE),"")</f>
        <v>2611</v>
      </c>
      <c r="O1008">
        <f t="shared" si="34"/>
        <v>0.28269230769230769</v>
      </c>
      <c r="Q1008" t="str">
        <f>Orders!D1008</f>
        <v>PROD-013</v>
      </c>
    </row>
    <row r="1009" spans="1:17" x14ac:dyDescent="0.3">
      <c r="A1009" t="str">
        <f>Orders!A1009</f>
        <v>ORD-01008</v>
      </c>
      <c r="B1009">
        <f>Orders!B1009</f>
        <v>45405</v>
      </c>
      <c r="C1009">
        <f>Orders!I1009</f>
        <v>7866.24</v>
      </c>
      <c r="D1009" t="str">
        <f>Orders!E1009</f>
        <v>R018</v>
      </c>
      <c r="E1009" t="str">
        <f>IFERROR(VLOOKUP(Orders!D1009,Products!$A$2:$C$61,3,FALSE),"Unknown")</f>
        <v>Apparel</v>
      </c>
      <c r="F1009" t="str">
        <f>IFERROR(VLOOKUP(Orders!C1009,Customers!$A$2:$E$301,5,FALSE),"Unknown")</f>
        <v>SMB</v>
      </c>
      <c r="G1009">
        <f>IFERROR(VLOOKUP(Orders!C1009,Customers!$A$2:$C$301,3,FALSE),"")</f>
        <v>40</v>
      </c>
      <c r="H1009" t="str">
        <f>VLOOKUP(D1009,Sales_Reps!$A$2:$C$31,3,FALSE)</f>
        <v>East</v>
      </c>
      <c r="I1009" s="44">
        <f t="shared" si="33"/>
        <v>45383</v>
      </c>
      <c r="L1009" t="str">
        <f>Orders!K1009</f>
        <v>Hyderabad</v>
      </c>
      <c r="M1009">
        <f>Orders!G1009</f>
        <v>2720</v>
      </c>
      <c r="N1009">
        <f>IFERROR(VLOOKUP(Orders!D1009,Products!$A$2:$D$61,4,FALSE),"")</f>
        <v>1962</v>
      </c>
      <c r="O1009">
        <f t="shared" si="34"/>
        <v>0.2786764705882353</v>
      </c>
      <c r="Q1009" t="str">
        <f>Orders!D1009</f>
        <v>PROD-015</v>
      </c>
    </row>
    <row r="1010" spans="1:17" x14ac:dyDescent="0.3">
      <c r="A1010" t="str">
        <f>Orders!A1010</f>
        <v>ORD-01009</v>
      </c>
      <c r="B1010">
        <f>Orders!B1010</f>
        <v>45630</v>
      </c>
      <c r="C1010">
        <f>Orders!I1010</f>
        <v>7409.28</v>
      </c>
      <c r="D1010" t="str">
        <f>Orders!E1010</f>
        <v>R008</v>
      </c>
      <c r="E1010" t="str">
        <f>IFERROR(VLOOKUP(Orders!D1010,Products!$A$2:$C$61,3,FALSE),"Unknown")</f>
        <v>Grocery</v>
      </c>
      <c r="F1010" t="str">
        <f>IFERROR(VLOOKUP(Orders!C1010,Customers!$A$2:$E$301,5,FALSE),"Unknown")</f>
        <v>SMB</v>
      </c>
      <c r="G1010">
        <f>IFERROR(VLOOKUP(Orders!C1010,Customers!$A$2:$C$301,3,FALSE),"")</f>
        <v>48</v>
      </c>
      <c r="H1010" t="str">
        <f>VLOOKUP(D1010,Sales_Reps!$A$2:$C$31,3,FALSE)</f>
        <v>North</v>
      </c>
      <c r="I1010" s="44">
        <f t="shared" si="33"/>
        <v>45627</v>
      </c>
      <c r="L1010" t="str">
        <f>Orders!K1010</f>
        <v>Hyderabad</v>
      </c>
      <c r="M1010">
        <f>Orders!G1010</f>
        <v>2270</v>
      </c>
      <c r="N1010">
        <f>IFERROR(VLOOKUP(Orders!D1010,Products!$A$2:$D$61,4,FALSE),"")</f>
        <v>1203</v>
      </c>
      <c r="O1010">
        <f t="shared" si="34"/>
        <v>0.47004405286343615</v>
      </c>
      <c r="Q1010" t="str">
        <f>Orders!D1010</f>
        <v>PROD-024</v>
      </c>
    </row>
    <row r="1011" spans="1:17" x14ac:dyDescent="0.3">
      <c r="A1011" t="str">
        <f>Orders!A1011</f>
        <v>ORD-01010</v>
      </c>
      <c r="B1011">
        <f>Orders!B1011</f>
        <v>45483</v>
      </c>
      <c r="C1011">
        <f>Orders!I1011</f>
        <v>5252.1</v>
      </c>
      <c r="D1011" t="str">
        <f>Orders!E1011</f>
        <v>R029</v>
      </c>
      <c r="E1011" t="str">
        <f>IFERROR(VLOOKUP(Orders!D1011,Products!$A$2:$C$61,3,FALSE),"Unknown")</f>
        <v>Electronics</v>
      </c>
      <c r="F1011" t="str">
        <f>IFERROR(VLOOKUP(Orders!C1011,Customers!$A$2:$E$301,5,FALSE),"Unknown")</f>
        <v>SMB</v>
      </c>
      <c r="G1011">
        <f>IFERROR(VLOOKUP(Orders!C1011,Customers!$A$2:$C$301,3,FALSE),"")</f>
        <v>25</v>
      </c>
      <c r="H1011" t="str">
        <f>VLOOKUP(D1011,Sales_Reps!$A$2:$C$31,3,FALSE)</f>
        <v>West</v>
      </c>
      <c r="I1011" s="44">
        <f t="shared" si="33"/>
        <v>45474</v>
      </c>
      <c r="L1011" t="str">
        <f>Orders!K1011</f>
        <v>Hyderabad</v>
      </c>
      <c r="M1011">
        <f>Orders!G1011</f>
        <v>1220</v>
      </c>
      <c r="N1011">
        <f>IFERROR(VLOOKUP(Orders!D1011,Products!$A$2:$D$61,4,FALSE),"")</f>
        <v>517</v>
      </c>
      <c r="O1011">
        <f t="shared" si="34"/>
        <v>0.57622950819672136</v>
      </c>
      <c r="Q1011" t="str">
        <f>Orders!D1011</f>
        <v>PROD-009</v>
      </c>
    </row>
    <row r="1012" spans="1:17" x14ac:dyDescent="0.3">
      <c r="A1012" t="str">
        <f>Orders!A1012</f>
        <v>ORD-01011</v>
      </c>
      <c r="B1012">
        <f>Orders!B1012</f>
        <v>45530</v>
      </c>
      <c r="C1012">
        <f>Orders!I1012</f>
        <v>17466.240000000002</v>
      </c>
      <c r="D1012" t="str">
        <f>Orders!E1012</f>
        <v>R015</v>
      </c>
      <c r="E1012" t="str">
        <f>IFERROR(VLOOKUP(Orders!D1012,Products!$A$2:$C$61,3,FALSE),"Unknown")</f>
        <v>Electronics</v>
      </c>
      <c r="F1012" t="str">
        <f>IFERROR(VLOOKUP(Orders!C1012,Customers!$A$2:$E$301,5,FALSE),"Unknown")</f>
        <v>Retail</v>
      </c>
      <c r="G1012">
        <f>IFERROR(VLOOKUP(Orders!C1012,Customers!$A$2:$C$301,3,FALSE),"")</f>
        <v>29</v>
      </c>
      <c r="H1012" t="str">
        <f>VLOOKUP(D1012,Sales_Reps!$A$2:$C$31,3,FALSE)</f>
        <v>South</v>
      </c>
      <c r="I1012" s="44">
        <f t="shared" si="33"/>
        <v>45505</v>
      </c>
      <c r="L1012" t="str">
        <f>Orders!K1012</f>
        <v>Hyderabad</v>
      </c>
      <c r="M1012">
        <f>Orders!G1012</f>
        <v>2640</v>
      </c>
      <c r="N1012">
        <f>IFERROR(VLOOKUP(Orders!D1012,Products!$A$2:$D$61,4,FALSE),"")</f>
        <v>1149</v>
      </c>
      <c r="O1012">
        <f t="shared" si="34"/>
        <v>0.56477272727272732</v>
      </c>
      <c r="Q1012" t="str">
        <f>Orders!D1012</f>
        <v>PROD-010</v>
      </c>
    </row>
    <row r="1013" spans="1:17" x14ac:dyDescent="0.3">
      <c r="A1013" t="str">
        <f>Orders!A1013</f>
        <v>ORD-01012</v>
      </c>
      <c r="B1013">
        <f>Orders!B1013</f>
        <v>45500</v>
      </c>
      <c r="C1013">
        <f>Orders!I1013</f>
        <v>698.4</v>
      </c>
      <c r="D1013" t="str">
        <f>Orders!E1013</f>
        <v>R015</v>
      </c>
      <c r="E1013" t="str">
        <f>IFERROR(VLOOKUP(Orders!D1013,Products!$A$2:$C$61,3,FALSE),"Unknown")</f>
        <v>Grocery</v>
      </c>
      <c r="F1013" t="str">
        <f>IFERROR(VLOOKUP(Orders!C1013,Customers!$A$2:$E$301,5,FALSE),"Unknown")</f>
        <v>SMB</v>
      </c>
      <c r="G1013">
        <f>IFERROR(VLOOKUP(Orders!C1013,Customers!$A$2:$C$301,3,FALSE),"")</f>
        <v>44</v>
      </c>
      <c r="H1013" t="str">
        <f>VLOOKUP(D1013,Sales_Reps!$A$2:$C$31,3,FALSE)</f>
        <v>South</v>
      </c>
      <c r="I1013" s="44">
        <f t="shared" si="33"/>
        <v>45474</v>
      </c>
      <c r="L1013" t="str">
        <f>Orders!K1013</f>
        <v>Bengaluru</v>
      </c>
      <c r="M1013">
        <f>Orders!G1013</f>
        <v>970</v>
      </c>
      <c r="N1013">
        <f>IFERROR(VLOOKUP(Orders!D1013,Products!$A$2:$D$61,4,FALSE),"")</f>
        <v>434</v>
      </c>
      <c r="O1013">
        <f t="shared" si="34"/>
        <v>0.5525773195876289</v>
      </c>
      <c r="Q1013" t="str">
        <f>Orders!D1013</f>
        <v>PROD-030</v>
      </c>
    </row>
    <row r="1014" spans="1:17" x14ac:dyDescent="0.3">
      <c r="A1014" t="str">
        <f>Orders!A1014</f>
        <v>ORD-01013</v>
      </c>
      <c r="B1014">
        <f>Orders!B1014</f>
        <v>45358</v>
      </c>
      <c r="C1014">
        <f>Orders!I1014</f>
        <v>29213.360000000001</v>
      </c>
      <c r="D1014" t="str">
        <f>Orders!E1014</f>
        <v>R025</v>
      </c>
      <c r="E1014" t="str">
        <f>IFERROR(VLOOKUP(Orders!D1014,Products!$A$2:$C$61,3,FALSE),"Unknown")</f>
        <v>Home</v>
      </c>
      <c r="F1014" t="str">
        <f>IFERROR(VLOOKUP(Orders!C1014,Customers!$A$2:$E$301,5,FALSE),"Unknown")</f>
        <v>Retail</v>
      </c>
      <c r="G1014">
        <f>IFERROR(VLOOKUP(Orders!C1014,Customers!$A$2:$C$301,3,FALSE),"")</f>
        <v>44</v>
      </c>
      <c r="H1014" t="str">
        <f>VLOOKUP(D1014,Sales_Reps!$A$2:$C$31,3,FALSE)</f>
        <v>West</v>
      </c>
      <c r="I1014" s="44">
        <f t="shared" si="33"/>
        <v>45352</v>
      </c>
      <c r="L1014" t="str">
        <f>Orders!K1014</f>
        <v>Pune</v>
      </c>
      <c r="M1014">
        <f>Orders!G1014</f>
        <v>3730</v>
      </c>
      <c r="N1014">
        <f>IFERROR(VLOOKUP(Orders!D1014,Products!$A$2:$D$61,4,FALSE),"")</f>
        <v>2135</v>
      </c>
      <c r="O1014">
        <f t="shared" si="34"/>
        <v>0.42761394101876676</v>
      </c>
      <c r="Q1014" t="str">
        <f>Orders!D1014</f>
        <v>PROD-031</v>
      </c>
    </row>
    <row r="1015" spans="1:17" x14ac:dyDescent="0.3">
      <c r="A1015" t="str">
        <f>Orders!A1015</f>
        <v>ORD-01014</v>
      </c>
      <c r="B1015">
        <f>Orders!B1015</f>
        <v>45598</v>
      </c>
      <c r="C1015">
        <f>Orders!I1015</f>
        <v>5058.55</v>
      </c>
      <c r="D1015" t="str">
        <f>Orders!E1015</f>
        <v>R024</v>
      </c>
      <c r="E1015" t="str">
        <f>IFERROR(VLOOKUP(Orders!D1015,Products!$A$2:$C$61,3,FALSE),"Unknown")</f>
        <v>Grocery</v>
      </c>
      <c r="F1015" t="str">
        <f>IFERROR(VLOOKUP(Orders!C1015,Customers!$A$2:$E$301,5,FALSE),"Unknown")</f>
        <v>Retail</v>
      </c>
      <c r="G1015">
        <f>IFERROR(VLOOKUP(Orders!C1015,Customers!$A$2:$C$301,3,FALSE),"")</f>
        <v>31</v>
      </c>
      <c r="H1015" t="str">
        <f>VLOOKUP(D1015,Sales_Reps!$A$2:$C$31,3,FALSE)</f>
        <v>West</v>
      </c>
      <c r="I1015" s="44">
        <f t="shared" si="33"/>
        <v>45597</v>
      </c>
      <c r="L1015" t="str">
        <f>Orders!K1015</f>
        <v>Pune</v>
      </c>
      <c r="M1015">
        <f>Orders!G1015</f>
        <v>970</v>
      </c>
      <c r="N1015">
        <f>IFERROR(VLOOKUP(Orders!D1015,Products!$A$2:$D$61,4,FALSE),"")</f>
        <v>434</v>
      </c>
      <c r="O1015">
        <f t="shared" si="34"/>
        <v>0.5525773195876289</v>
      </c>
      <c r="Q1015" t="str">
        <f>Orders!D1015</f>
        <v>PROD-030</v>
      </c>
    </row>
    <row r="1016" spans="1:17" x14ac:dyDescent="0.3">
      <c r="A1016" t="str">
        <f>Orders!A1016</f>
        <v>ORD-01015</v>
      </c>
      <c r="B1016">
        <f>Orders!B1016</f>
        <v>45318</v>
      </c>
      <c r="C1016">
        <f>Orders!I1016</f>
        <v>19299.419999999998</v>
      </c>
      <c r="D1016" t="str">
        <f>Orders!E1016</f>
        <v>R022</v>
      </c>
      <c r="E1016" t="str">
        <f>IFERROR(VLOOKUP(Orders!D1016,Products!$A$2:$C$61,3,FALSE),"Unknown")</f>
        <v>Electronics</v>
      </c>
      <c r="F1016" t="str">
        <f>IFERROR(VLOOKUP(Orders!C1016,Customers!$A$2:$E$301,5,FALSE),"Unknown")</f>
        <v>SMB</v>
      </c>
      <c r="G1016">
        <f>IFERROR(VLOOKUP(Orders!C1016,Customers!$A$2:$C$301,3,FALSE),"")</f>
        <v>28</v>
      </c>
      <c r="H1016" t="str">
        <f>VLOOKUP(D1016,Sales_Reps!$A$2:$C$31,3,FALSE)</f>
        <v>East</v>
      </c>
      <c r="I1016" s="44">
        <f t="shared" si="33"/>
        <v>45292</v>
      </c>
      <c r="L1016" t="str">
        <f>Orders!K1016</f>
        <v>Delhi</v>
      </c>
      <c r="M1016">
        <f>Orders!G1016</f>
        <v>3570</v>
      </c>
      <c r="N1016">
        <f>IFERROR(VLOOKUP(Orders!D1016,Products!$A$2:$D$61,4,FALSE),"")</f>
        <v>1665</v>
      </c>
      <c r="O1016">
        <f t="shared" si="34"/>
        <v>0.53361344537815125</v>
      </c>
      <c r="Q1016" t="str">
        <f>Orders!D1016</f>
        <v>PROD-003</v>
      </c>
    </row>
    <row r="1017" spans="1:17" x14ac:dyDescent="0.3">
      <c r="A1017" t="str">
        <f>Orders!A1017</f>
        <v>ORD-01016</v>
      </c>
      <c r="B1017">
        <f>Orders!B1017</f>
        <v>45524</v>
      </c>
      <c r="C1017">
        <f>Orders!I1017</f>
        <v>4679.28</v>
      </c>
      <c r="D1017" t="str">
        <f>Orders!E1017</f>
        <v>R016</v>
      </c>
      <c r="E1017" t="str">
        <f>IFERROR(VLOOKUP(Orders!D1017,Products!$A$2:$C$61,3,FALSE),"Unknown")</f>
        <v>Grocery</v>
      </c>
      <c r="F1017" t="str">
        <f>IFERROR(VLOOKUP(Orders!C1017,Customers!$A$2:$E$301,5,FALSE),"Unknown")</f>
        <v>Retail</v>
      </c>
      <c r="G1017">
        <f>IFERROR(VLOOKUP(Orders!C1017,Customers!$A$2:$C$301,3,FALSE),"")</f>
        <v>26</v>
      </c>
      <c r="H1017" t="str">
        <f>VLOOKUP(D1017,Sales_Reps!$A$2:$C$31,3,FALSE)</f>
        <v>South</v>
      </c>
      <c r="I1017" s="44">
        <f t="shared" si="33"/>
        <v>45505</v>
      </c>
      <c r="L1017" t="str">
        <f>Orders!K1017</f>
        <v>Chennai</v>
      </c>
      <c r="M1017">
        <f>Orders!G1017</f>
        <v>970</v>
      </c>
      <c r="N1017">
        <f>IFERROR(VLOOKUP(Orders!D1017,Products!$A$2:$D$61,4,FALSE),"")</f>
        <v>434</v>
      </c>
      <c r="O1017">
        <f t="shared" si="34"/>
        <v>0.5525773195876289</v>
      </c>
      <c r="Q1017" t="str">
        <f>Orders!D1017</f>
        <v>PROD-030</v>
      </c>
    </row>
    <row r="1018" spans="1:17" x14ac:dyDescent="0.3">
      <c r="A1018" t="str">
        <f>Orders!A1018</f>
        <v>ORD-01017</v>
      </c>
      <c r="B1018">
        <f>Orders!B1018</f>
        <v>45554</v>
      </c>
      <c r="C1018">
        <f>Orders!I1018</f>
        <v>22226.400000000001</v>
      </c>
      <c r="D1018" t="str">
        <f>Orders!E1018</f>
        <v>R011</v>
      </c>
      <c r="E1018" t="str">
        <f>IFERROR(VLOOKUP(Orders!D1018,Products!$A$2:$C$61,3,FALSE),"Unknown")</f>
        <v>Sports</v>
      </c>
      <c r="F1018" t="str">
        <f>IFERROR(VLOOKUP(Orders!C1018,Customers!$A$2:$E$301,5,FALSE),"Unknown")</f>
        <v>SMB</v>
      </c>
      <c r="G1018">
        <f>IFERROR(VLOOKUP(Orders!C1018,Customers!$A$2:$C$301,3,FALSE),"")</f>
        <v>50</v>
      </c>
      <c r="H1018" t="str">
        <f>VLOOKUP(D1018,Sales_Reps!$A$2:$C$31,3,FALSE)</f>
        <v>South</v>
      </c>
      <c r="I1018" s="44">
        <f t="shared" si="33"/>
        <v>45536</v>
      </c>
      <c r="L1018" t="str">
        <f>Orders!K1018</f>
        <v>Delhi</v>
      </c>
      <c r="M1018">
        <f>Orders!G1018</f>
        <v>3780</v>
      </c>
      <c r="N1018">
        <f>IFERROR(VLOOKUP(Orders!D1018,Products!$A$2:$D$61,4,FALSE),"")</f>
        <v>1860</v>
      </c>
      <c r="O1018">
        <f t="shared" si="34"/>
        <v>0.50793650793650791</v>
      </c>
      <c r="Q1018" t="str">
        <f>Orders!D1018</f>
        <v>PROD-059</v>
      </c>
    </row>
    <row r="1019" spans="1:17" x14ac:dyDescent="0.3">
      <c r="A1019" t="str">
        <f>Orders!A1019</f>
        <v>ORD-01018</v>
      </c>
      <c r="B1019">
        <f>Orders!B1019</f>
        <v>45528</v>
      </c>
      <c r="C1019">
        <f>Orders!I1019</f>
        <v>14198.4</v>
      </c>
      <c r="D1019" t="str">
        <f>Orders!E1019</f>
        <v>R011</v>
      </c>
      <c r="E1019" t="str">
        <f>IFERROR(VLOOKUP(Orders!D1019,Products!$A$2:$C$61,3,FALSE),"Unknown")</f>
        <v>Sports</v>
      </c>
      <c r="F1019" t="str">
        <f>IFERROR(VLOOKUP(Orders!C1019,Customers!$A$2:$E$301,5,FALSE),"Unknown")</f>
        <v>Retail</v>
      </c>
      <c r="G1019">
        <f>IFERROR(VLOOKUP(Orders!C1019,Customers!$A$2:$C$301,3,FALSE),"")</f>
        <v>28</v>
      </c>
      <c r="H1019" t="str">
        <f>VLOOKUP(D1019,Sales_Reps!$A$2:$C$31,3,FALSE)</f>
        <v>South</v>
      </c>
      <c r="I1019" s="44">
        <f t="shared" si="33"/>
        <v>45505</v>
      </c>
      <c r="L1019" t="str">
        <f>Orders!K1019</f>
        <v>Bengaluru</v>
      </c>
      <c r="M1019">
        <f>Orders!G1019</f>
        <v>2400</v>
      </c>
      <c r="N1019">
        <f>IFERROR(VLOOKUP(Orders!D1019,Products!$A$2:$D$61,4,FALSE),"")</f>
        <v>974</v>
      </c>
      <c r="O1019">
        <f t="shared" si="34"/>
        <v>0.59416666666666662</v>
      </c>
      <c r="Q1019" t="str">
        <f>Orders!D1019</f>
        <v>PROD-058</v>
      </c>
    </row>
    <row r="1020" spans="1:17" x14ac:dyDescent="0.3">
      <c r="A1020" t="str">
        <f>Orders!A1020</f>
        <v>ORD-01019</v>
      </c>
      <c r="B1020">
        <f>Orders!B1020</f>
        <v>45486</v>
      </c>
      <c r="C1020">
        <f>Orders!I1020</f>
        <v>26227.5</v>
      </c>
      <c r="D1020" t="str">
        <f>Orders!E1020</f>
        <v>R021</v>
      </c>
      <c r="E1020" t="str">
        <f>IFERROR(VLOOKUP(Orders!D1020,Products!$A$2:$C$61,3,FALSE),"Unknown")</f>
        <v>Home</v>
      </c>
      <c r="F1020" t="str">
        <f>IFERROR(VLOOKUP(Orders!C1020,Customers!$A$2:$E$301,5,FALSE),"Unknown")</f>
        <v>SMB</v>
      </c>
      <c r="G1020">
        <f>IFERROR(VLOOKUP(Orders!C1020,Customers!$A$2:$C$301,3,FALSE),"")</f>
        <v>38</v>
      </c>
      <c r="H1020" t="str">
        <f>VLOOKUP(D1020,Sales_Reps!$A$2:$C$31,3,FALSE)</f>
        <v>East</v>
      </c>
      <c r="I1020" s="44">
        <f t="shared" si="33"/>
        <v>45474</v>
      </c>
      <c r="L1020" t="str">
        <f>Orders!K1020</f>
        <v>Delhi</v>
      </c>
      <c r="M1020">
        <f>Orders!G1020</f>
        <v>3250</v>
      </c>
      <c r="N1020">
        <f>IFERROR(VLOOKUP(Orders!D1020,Products!$A$2:$D$61,4,FALSE),"")</f>
        <v>1556</v>
      </c>
      <c r="O1020">
        <f t="shared" si="34"/>
        <v>0.52123076923076928</v>
      </c>
      <c r="Q1020" t="str">
        <f>Orders!D1020</f>
        <v>PROD-036</v>
      </c>
    </row>
    <row r="1021" spans="1:17" x14ac:dyDescent="0.3">
      <c r="A1021" t="str">
        <f>Orders!A1021</f>
        <v>ORD-01020</v>
      </c>
      <c r="B1021">
        <f>Orders!B1021</f>
        <v>45336</v>
      </c>
      <c r="C1021">
        <f>Orders!I1021</f>
        <v>14760.48</v>
      </c>
      <c r="D1021" t="str">
        <f>Orders!E1021</f>
        <v>R014</v>
      </c>
      <c r="E1021" t="str">
        <f>IFERROR(VLOOKUP(Orders!D1021,Products!$A$2:$C$61,3,FALSE),"Unknown")</f>
        <v>Grocery</v>
      </c>
      <c r="F1021" t="str">
        <f>IFERROR(VLOOKUP(Orders!C1021,Customers!$A$2:$E$301,5,FALSE),"Unknown")</f>
        <v>Retail</v>
      </c>
      <c r="G1021">
        <f>IFERROR(VLOOKUP(Orders!C1021,Customers!$A$2:$C$301,3,FALSE),"")</f>
        <v>44</v>
      </c>
      <c r="H1021" t="str">
        <f>VLOOKUP(D1021,Sales_Reps!$A$2:$C$31,3,FALSE)</f>
        <v>South</v>
      </c>
      <c r="I1021" s="44">
        <f t="shared" si="33"/>
        <v>45323</v>
      </c>
      <c r="L1021" t="str">
        <f>Orders!K1021</f>
        <v>Hyderabad</v>
      </c>
      <c r="M1021">
        <f>Orders!G1021</f>
        <v>2760</v>
      </c>
      <c r="N1021">
        <f>IFERROR(VLOOKUP(Orders!D1021,Products!$A$2:$D$61,4,FALSE),"")</f>
        <v>1435</v>
      </c>
      <c r="O1021">
        <f t="shared" si="34"/>
        <v>0.48007246376811596</v>
      </c>
      <c r="Q1021" t="str">
        <f>Orders!D1021</f>
        <v>PROD-021</v>
      </c>
    </row>
    <row r="1022" spans="1:17" x14ac:dyDescent="0.3">
      <c r="A1022" t="str">
        <f>Orders!A1022</f>
        <v>ORD-01021</v>
      </c>
      <c r="B1022">
        <f>Orders!B1022</f>
        <v>45463</v>
      </c>
      <c r="C1022">
        <f>Orders!I1022</f>
        <v>7893.27</v>
      </c>
      <c r="D1022" t="str">
        <f>Orders!E1022</f>
        <v>R001</v>
      </c>
      <c r="E1022" t="str">
        <f>IFERROR(VLOOKUP(Orders!D1022,Products!$A$2:$C$61,3,FALSE),"Unknown")</f>
        <v>Electronics</v>
      </c>
      <c r="F1022" t="str">
        <f>IFERROR(VLOOKUP(Orders!C1022,Customers!$A$2:$E$301,5,FALSE),"Unknown")</f>
        <v>SMB</v>
      </c>
      <c r="G1022">
        <f>IFERROR(VLOOKUP(Orders!C1022,Customers!$A$2:$C$301,3,FALSE),"")</f>
        <v>64</v>
      </c>
      <c r="H1022" t="str">
        <f>VLOOKUP(D1022,Sales_Reps!$A$2:$C$31,3,FALSE)</f>
        <v>North</v>
      </c>
      <c r="I1022" s="44">
        <f t="shared" si="33"/>
        <v>45444</v>
      </c>
      <c r="L1022" t="str">
        <f>Orders!K1022</f>
        <v>Bengaluru</v>
      </c>
      <c r="M1022">
        <f>Orders!G1022</f>
        <v>3570</v>
      </c>
      <c r="N1022">
        <f>IFERROR(VLOOKUP(Orders!D1022,Products!$A$2:$D$61,4,FALSE),"")</f>
        <v>1665</v>
      </c>
      <c r="O1022">
        <f t="shared" si="34"/>
        <v>0.53361344537815125</v>
      </c>
      <c r="Q1022" t="str">
        <f>Orders!D1022</f>
        <v>PROD-003</v>
      </c>
    </row>
    <row r="1023" spans="1:17" x14ac:dyDescent="0.3">
      <c r="A1023" t="str">
        <f>Orders!A1023</f>
        <v>ORD-01022</v>
      </c>
      <c r="B1023">
        <f>Orders!B1023</f>
        <v>45392</v>
      </c>
      <c r="C1023">
        <f>Orders!I1023</f>
        <v>13592.88</v>
      </c>
      <c r="D1023" t="str">
        <f>Orders!E1023</f>
        <v>R015</v>
      </c>
      <c r="E1023" t="str">
        <f>IFERROR(VLOOKUP(Orders!D1023,Products!$A$2:$C$61,3,FALSE),"Unknown")</f>
        <v>Grocery</v>
      </c>
      <c r="F1023" t="str">
        <f>IFERROR(VLOOKUP(Orders!C1023,Customers!$A$2:$E$301,5,FALSE),"Unknown")</f>
        <v>Retail</v>
      </c>
      <c r="G1023">
        <f>IFERROR(VLOOKUP(Orders!C1023,Customers!$A$2:$C$301,3,FALSE),"")</f>
        <v>26</v>
      </c>
      <c r="H1023" t="str">
        <f>VLOOKUP(D1023,Sales_Reps!$A$2:$C$31,3,FALSE)</f>
        <v>South</v>
      </c>
      <c r="I1023" s="44">
        <f t="shared" si="33"/>
        <v>45383</v>
      </c>
      <c r="L1023" t="str">
        <f>Orders!K1023</f>
        <v>Chennai</v>
      </c>
      <c r="M1023">
        <f>Orders!G1023</f>
        <v>3780</v>
      </c>
      <c r="N1023">
        <f>IFERROR(VLOOKUP(Orders!D1023,Products!$A$2:$D$61,4,FALSE),"")</f>
        <v>2436</v>
      </c>
      <c r="O1023">
        <f t="shared" si="34"/>
        <v>0.35555555555555557</v>
      </c>
      <c r="Q1023" t="str">
        <f>Orders!D1023</f>
        <v>PROD-027</v>
      </c>
    </row>
    <row r="1024" spans="1:17" x14ac:dyDescent="0.3">
      <c r="A1024" t="str">
        <f>Orders!A1024</f>
        <v>ORD-01023</v>
      </c>
      <c r="B1024">
        <f>Orders!B1024</f>
        <v>45600</v>
      </c>
      <c r="C1024">
        <f>Orders!I1024</f>
        <v>13770.9</v>
      </c>
      <c r="D1024" t="str">
        <f>Orders!E1024</f>
        <v>R019</v>
      </c>
      <c r="E1024" t="str">
        <f>IFERROR(VLOOKUP(Orders!D1024,Products!$A$2:$C$61,3,FALSE),"Unknown")</f>
        <v>Electronics</v>
      </c>
      <c r="F1024" t="str">
        <f>IFERROR(VLOOKUP(Orders!C1024,Customers!$A$2:$E$301,5,FALSE),"Unknown")</f>
        <v>Retail</v>
      </c>
      <c r="G1024">
        <f>IFERROR(VLOOKUP(Orders!C1024,Customers!$A$2:$C$301,3,FALSE),"")</f>
        <v>61</v>
      </c>
      <c r="H1024" t="str">
        <f>VLOOKUP(D1024,Sales_Reps!$A$2:$C$31,3,FALSE)</f>
        <v>East</v>
      </c>
      <c r="I1024" s="44">
        <f t="shared" si="33"/>
        <v>45597</v>
      </c>
      <c r="L1024" t="str">
        <f>Orders!K1024</f>
        <v>Chennai</v>
      </c>
      <c r="M1024">
        <f>Orders!G1024</f>
        <v>1430</v>
      </c>
      <c r="N1024">
        <f>IFERROR(VLOOKUP(Orders!D1024,Products!$A$2:$D$61,4,FALSE),"")</f>
        <v>861</v>
      </c>
      <c r="O1024">
        <f t="shared" si="34"/>
        <v>0.39790209790209791</v>
      </c>
      <c r="Q1024" t="str">
        <f>Orders!D1024</f>
        <v>PROD-007</v>
      </c>
    </row>
    <row r="1025" spans="1:17" x14ac:dyDescent="0.3">
      <c r="A1025" t="str">
        <f>Orders!A1025</f>
        <v>ORD-01024</v>
      </c>
      <c r="B1025">
        <f>Orders!B1025</f>
        <v>45411</v>
      </c>
      <c r="C1025">
        <f>Orders!I1025</f>
        <v>12544.02</v>
      </c>
      <c r="D1025" t="str">
        <f>Orders!E1025</f>
        <v>R011</v>
      </c>
      <c r="E1025" t="str">
        <f>IFERROR(VLOOKUP(Orders!D1025,Products!$A$2:$C$61,3,FALSE),"Unknown")</f>
        <v>Grocery</v>
      </c>
      <c r="F1025" t="str">
        <f>IFERROR(VLOOKUP(Orders!C1025,Customers!$A$2:$E$301,5,FALSE),"Unknown")</f>
        <v>SMB</v>
      </c>
      <c r="G1025">
        <f>IFERROR(VLOOKUP(Orders!C1025,Customers!$A$2:$C$301,3,FALSE),"")</f>
        <v>29</v>
      </c>
      <c r="H1025" t="str">
        <f>VLOOKUP(D1025,Sales_Reps!$A$2:$C$31,3,FALSE)</f>
        <v>South</v>
      </c>
      <c r="I1025" s="44">
        <f t="shared" si="33"/>
        <v>45383</v>
      </c>
      <c r="L1025" t="str">
        <f>Orders!K1025</f>
        <v>Hyderabad</v>
      </c>
      <c r="M1025">
        <f>Orders!G1025</f>
        <v>2270</v>
      </c>
      <c r="N1025">
        <f>IFERROR(VLOOKUP(Orders!D1025,Products!$A$2:$D$61,4,FALSE),"")</f>
        <v>1412</v>
      </c>
      <c r="O1025">
        <f t="shared" si="34"/>
        <v>0.37797356828193834</v>
      </c>
      <c r="Q1025" t="str">
        <f>Orders!D1025</f>
        <v>PROD-022</v>
      </c>
    </row>
    <row r="1026" spans="1:17" x14ac:dyDescent="0.3">
      <c r="A1026" t="str">
        <f>Orders!A1026</f>
        <v>ORD-01025</v>
      </c>
      <c r="B1026">
        <f>Orders!B1026</f>
        <v>45406</v>
      </c>
      <c r="C1026">
        <f>Orders!I1026</f>
        <v>940.31</v>
      </c>
      <c r="D1026" t="str">
        <f>Orders!E1026</f>
        <v>R013</v>
      </c>
      <c r="E1026" t="str">
        <f>IFERROR(VLOOKUP(Orders!D1026,Products!$A$2:$C$61,3,FALSE),"Unknown")</f>
        <v>Sports</v>
      </c>
      <c r="F1026" t="str">
        <f>IFERROR(VLOOKUP(Orders!C1026,Customers!$A$2:$E$301,5,FALSE),"Unknown")</f>
        <v>Corporate</v>
      </c>
      <c r="G1026">
        <f>IFERROR(VLOOKUP(Orders!C1026,Customers!$A$2:$C$301,3,FALSE),"")</f>
        <v>52</v>
      </c>
      <c r="H1026" t="str">
        <f>VLOOKUP(D1026,Sales_Reps!$A$2:$C$31,3,FALSE)</f>
        <v>South</v>
      </c>
      <c r="I1026" s="44">
        <f t="shared" si="33"/>
        <v>45383</v>
      </c>
      <c r="L1026" t="str">
        <f>Orders!K1026</f>
        <v>Hyderabad</v>
      </c>
      <c r="M1026">
        <f>Orders!G1026</f>
        <v>1010</v>
      </c>
      <c r="N1026">
        <f>IFERROR(VLOOKUP(Orders!D1026,Products!$A$2:$D$61,4,FALSE),"")</f>
        <v>516</v>
      </c>
      <c r="O1026">
        <f t="shared" si="34"/>
        <v>0.4891089108910891</v>
      </c>
      <c r="Q1026" t="str">
        <f>Orders!D1026</f>
        <v>PROD-054</v>
      </c>
    </row>
    <row r="1027" spans="1:17" x14ac:dyDescent="0.3">
      <c r="A1027" t="str">
        <f>Orders!A1027</f>
        <v>ORD-01026</v>
      </c>
      <c r="B1027">
        <f>Orders!B1027</f>
        <v>45411</v>
      </c>
      <c r="C1027">
        <f>Orders!I1027</f>
        <v>4570.28</v>
      </c>
      <c r="D1027" t="str">
        <f>Orders!E1027</f>
        <v>R014</v>
      </c>
      <c r="E1027" t="str">
        <f>IFERROR(VLOOKUP(Orders!D1027,Products!$A$2:$C$61,3,FALSE),"Unknown")</f>
        <v>Sports</v>
      </c>
      <c r="F1027" t="str">
        <f>IFERROR(VLOOKUP(Orders!C1027,Customers!$A$2:$E$301,5,FALSE),"Unknown")</f>
        <v>SMB</v>
      </c>
      <c r="G1027">
        <f>IFERROR(VLOOKUP(Orders!C1027,Customers!$A$2:$C$301,3,FALSE),"")</f>
        <v>40</v>
      </c>
      <c r="H1027" t="str">
        <f>VLOOKUP(D1027,Sales_Reps!$A$2:$C$31,3,FALSE)</f>
        <v>South</v>
      </c>
      <c r="I1027" s="44">
        <f t="shared" ref="I1027:I1090" si="35">DATE(YEAR(B1027),MONTH(B1027),1)</f>
        <v>45383</v>
      </c>
      <c r="L1027" t="str">
        <f>Orders!K1027</f>
        <v>Hyderabad</v>
      </c>
      <c r="M1027">
        <f>Orders!G1027</f>
        <v>2860</v>
      </c>
      <c r="N1027">
        <f>IFERROR(VLOOKUP(Orders!D1027,Products!$A$2:$D$61,4,FALSE),"")</f>
        <v>2028</v>
      </c>
      <c r="O1027">
        <f t="shared" ref="O1027:O1090" si="36">IF(OR(N1027="",M1027&lt;=0),"",(M1027-N1027)/M1027)</f>
        <v>0.29090909090909089</v>
      </c>
      <c r="Q1027" t="str">
        <f>Orders!D1027</f>
        <v>PROD-055</v>
      </c>
    </row>
    <row r="1028" spans="1:17" x14ac:dyDescent="0.3">
      <c r="A1028" t="str">
        <f>Orders!A1028</f>
        <v>ORD-01027</v>
      </c>
      <c r="B1028">
        <f>Orders!B1028</f>
        <v>45461</v>
      </c>
      <c r="C1028">
        <f>Orders!I1028</f>
        <v>19679.400000000001</v>
      </c>
      <c r="D1028" t="str">
        <f>Orders!E1028</f>
        <v>R019</v>
      </c>
      <c r="E1028" t="str">
        <f>IFERROR(VLOOKUP(Orders!D1028,Products!$A$2:$C$61,3,FALSE),"Unknown")</f>
        <v>Electronics</v>
      </c>
      <c r="F1028" t="str">
        <f>IFERROR(VLOOKUP(Orders!C1028,Customers!$A$2:$E$301,5,FALSE),"Unknown")</f>
        <v>Corporate</v>
      </c>
      <c r="G1028">
        <f>IFERROR(VLOOKUP(Orders!C1028,Customers!$A$2:$C$301,3,FALSE),"")</f>
        <v>44</v>
      </c>
      <c r="H1028" t="str">
        <f>VLOOKUP(D1028,Sales_Reps!$A$2:$C$31,3,FALSE)</f>
        <v>East</v>
      </c>
      <c r="I1028" s="44">
        <f t="shared" si="35"/>
        <v>45444</v>
      </c>
      <c r="L1028" t="str">
        <f>Orders!K1028</f>
        <v>Chennai</v>
      </c>
      <c r="M1028">
        <f>Orders!G1028</f>
        <v>2600</v>
      </c>
      <c r="N1028">
        <f>IFERROR(VLOOKUP(Orders!D1028,Products!$A$2:$D$61,4,FALSE),"")</f>
        <v>1052</v>
      </c>
      <c r="O1028">
        <f t="shared" si="36"/>
        <v>0.5953846153846154</v>
      </c>
      <c r="Q1028" t="str">
        <f>Orders!D1028</f>
        <v>PROD-002</v>
      </c>
    </row>
    <row r="1029" spans="1:17" x14ac:dyDescent="0.3">
      <c r="A1029" t="str">
        <f>Orders!A1029</f>
        <v>ORD-01028</v>
      </c>
      <c r="B1029">
        <f>Orders!B1029</f>
        <v>45409</v>
      </c>
      <c r="C1029">
        <f>Orders!I1029</f>
        <v>3614.3</v>
      </c>
      <c r="D1029" t="str">
        <f>Orders!E1029</f>
        <v>R024</v>
      </c>
      <c r="E1029" t="str">
        <f>IFERROR(VLOOKUP(Orders!D1029,Products!$A$2:$C$61,3,FALSE),"Unknown")</f>
        <v>Sports</v>
      </c>
      <c r="F1029" t="str">
        <f>IFERROR(VLOOKUP(Orders!C1029,Customers!$A$2:$E$301,5,FALSE),"Unknown")</f>
        <v>Retail</v>
      </c>
      <c r="G1029">
        <f>IFERROR(VLOOKUP(Orders!C1029,Customers!$A$2:$C$301,3,FALSE),"")</f>
        <v>57</v>
      </c>
      <c r="H1029" t="str">
        <f>VLOOKUP(D1029,Sales_Reps!$A$2:$C$31,3,FALSE)</f>
        <v>West</v>
      </c>
      <c r="I1029" s="44">
        <f t="shared" si="35"/>
        <v>45383</v>
      </c>
      <c r="L1029" t="str">
        <f>Orders!K1029</f>
        <v>Pune</v>
      </c>
      <c r="M1029">
        <f>Orders!G1029</f>
        <v>470</v>
      </c>
      <c r="N1029">
        <f>IFERROR(VLOOKUP(Orders!D1029,Products!$A$2:$D$61,4,FALSE),"")</f>
        <v>302</v>
      </c>
      <c r="O1029">
        <f t="shared" si="36"/>
        <v>0.35744680851063831</v>
      </c>
      <c r="Q1029" t="str">
        <f>Orders!D1029</f>
        <v>PROD-053</v>
      </c>
    </row>
    <row r="1030" spans="1:17" x14ac:dyDescent="0.3">
      <c r="A1030" t="str">
        <f>Orders!A1030</f>
        <v>ORD-01029</v>
      </c>
      <c r="B1030">
        <f>Orders!B1030</f>
        <v>45495</v>
      </c>
      <c r="C1030">
        <f>Orders!I1030</f>
        <v>5979.6</v>
      </c>
      <c r="D1030" t="str">
        <f>Orders!E1030</f>
        <v>R013</v>
      </c>
      <c r="E1030" t="str">
        <f>IFERROR(VLOOKUP(Orders!D1030,Products!$A$2:$C$61,3,FALSE),"Unknown")</f>
        <v>Home</v>
      </c>
      <c r="F1030" t="str">
        <f>IFERROR(VLOOKUP(Orders!C1030,Customers!$A$2:$E$301,5,FALSE),"Unknown")</f>
        <v>Retail</v>
      </c>
      <c r="G1030">
        <f>IFERROR(VLOOKUP(Orders!C1030,Customers!$A$2:$C$301,3,FALSE),"")</f>
        <v>32</v>
      </c>
      <c r="H1030" t="str">
        <f>VLOOKUP(D1030,Sales_Reps!$A$2:$C$31,3,FALSE)</f>
        <v>South</v>
      </c>
      <c r="I1030" s="44">
        <f t="shared" si="35"/>
        <v>45474</v>
      </c>
      <c r="L1030" t="str">
        <f>Orders!K1030</f>
        <v>Hyderabad</v>
      </c>
      <c r="M1030">
        <f>Orders!G1030</f>
        <v>660</v>
      </c>
      <c r="N1030">
        <f>IFERROR(VLOOKUP(Orders!D1030,Products!$A$2:$D$61,4,FALSE),"")</f>
        <v>329</v>
      </c>
      <c r="O1030">
        <f t="shared" si="36"/>
        <v>0.50151515151515147</v>
      </c>
      <c r="Q1030" t="str">
        <f>Orders!D1030</f>
        <v>PROD-037</v>
      </c>
    </row>
    <row r="1031" spans="1:17" x14ac:dyDescent="0.3">
      <c r="A1031" t="str">
        <f>Orders!A1031</f>
        <v>ORD-01030</v>
      </c>
      <c r="B1031">
        <f>Orders!B1031</f>
        <v>45307</v>
      </c>
      <c r="C1031">
        <f>Orders!I1031</f>
        <v>4678.7</v>
      </c>
      <c r="D1031" t="str">
        <f>Orders!E1031</f>
        <v>R023</v>
      </c>
      <c r="E1031" t="str">
        <f>IFERROR(VLOOKUP(Orders!D1031,Products!$A$2:$C$61,3,FALSE),"Unknown")</f>
        <v>Electronics</v>
      </c>
      <c r="F1031" t="str">
        <f>IFERROR(VLOOKUP(Orders!C1031,Customers!$A$2:$E$301,5,FALSE),"Unknown")</f>
        <v>SMB</v>
      </c>
      <c r="G1031">
        <f>IFERROR(VLOOKUP(Orders!C1031,Customers!$A$2:$C$301,3,FALSE),"")</f>
        <v>49</v>
      </c>
      <c r="H1031" t="str">
        <f>VLOOKUP(D1031,Sales_Reps!$A$2:$C$31,3,FALSE)</f>
        <v>East</v>
      </c>
      <c r="I1031" s="44">
        <f t="shared" si="35"/>
        <v>45292</v>
      </c>
      <c r="L1031" t="str">
        <f>Orders!K1031</f>
        <v>Pune</v>
      </c>
      <c r="M1031">
        <f>Orders!G1031</f>
        <v>1220</v>
      </c>
      <c r="N1031">
        <f>IFERROR(VLOOKUP(Orders!D1031,Products!$A$2:$D$61,4,FALSE),"")</f>
        <v>517</v>
      </c>
      <c r="O1031">
        <f t="shared" si="36"/>
        <v>0.57622950819672136</v>
      </c>
      <c r="Q1031" t="str">
        <f>Orders!D1031</f>
        <v>PROD-009</v>
      </c>
    </row>
    <row r="1032" spans="1:17" x14ac:dyDescent="0.3">
      <c r="A1032" t="str">
        <f>Orders!A1032</f>
        <v>ORD-01031</v>
      </c>
      <c r="B1032">
        <f>Orders!B1032</f>
        <v>45294</v>
      </c>
      <c r="C1032">
        <f>Orders!I1032</f>
        <v>23517</v>
      </c>
      <c r="D1032" t="str">
        <f>Orders!E1032</f>
        <v>R011</v>
      </c>
      <c r="E1032" t="str">
        <f>IFERROR(VLOOKUP(Orders!D1032,Products!$A$2:$C$61,3,FALSE),"Unknown")</f>
        <v>Home</v>
      </c>
      <c r="F1032" t="str">
        <f>IFERROR(VLOOKUP(Orders!C1032,Customers!$A$2:$E$301,5,FALSE),"Unknown")</f>
        <v>SMB</v>
      </c>
      <c r="G1032">
        <f>IFERROR(VLOOKUP(Orders!C1032,Customers!$A$2:$C$301,3,FALSE),"")</f>
        <v>48</v>
      </c>
      <c r="H1032" t="str">
        <f>VLOOKUP(D1032,Sales_Reps!$A$2:$C$31,3,FALSE)</f>
        <v>South</v>
      </c>
      <c r="I1032" s="44">
        <f t="shared" si="35"/>
        <v>45292</v>
      </c>
      <c r="L1032" t="str">
        <f>Orders!K1032</f>
        <v>Delhi</v>
      </c>
      <c r="M1032">
        <f>Orders!G1032</f>
        <v>3250</v>
      </c>
      <c r="N1032">
        <f>IFERROR(VLOOKUP(Orders!D1032,Products!$A$2:$D$61,4,FALSE),"")</f>
        <v>1556</v>
      </c>
      <c r="O1032">
        <f t="shared" si="36"/>
        <v>0.52123076923076928</v>
      </c>
      <c r="Q1032" t="str">
        <f>Orders!D1032</f>
        <v>PROD-036</v>
      </c>
    </row>
    <row r="1033" spans="1:17" x14ac:dyDescent="0.3">
      <c r="A1033" t="str">
        <f>Orders!A1033</f>
        <v>ORD-01032</v>
      </c>
      <c r="B1033">
        <f>Orders!B1033</f>
        <v>45542</v>
      </c>
      <c r="C1033">
        <f>Orders!I1033</f>
        <v>3081.4</v>
      </c>
      <c r="D1033" t="str">
        <f>Orders!E1033</f>
        <v>R018</v>
      </c>
      <c r="E1033" t="str">
        <f>IFERROR(VLOOKUP(Orders!D1033,Products!$A$2:$C$61,3,FALSE),"Unknown")</f>
        <v>Apparel</v>
      </c>
      <c r="F1033" t="str">
        <f>IFERROR(VLOOKUP(Orders!C1033,Customers!$A$2:$E$301,5,FALSE),"Unknown")</f>
        <v>Retail</v>
      </c>
      <c r="G1033">
        <f>IFERROR(VLOOKUP(Orders!C1033,Customers!$A$2:$C$301,3,FALSE),"")</f>
        <v>36</v>
      </c>
      <c r="H1033" t="str">
        <f>VLOOKUP(D1033,Sales_Reps!$A$2:$C$31,3,FALSE)</f>
        <v>East</v>
      </c>
      <c r="I1033" s="44">
        <f t="shared" si="35"/>
        <v>45536</v>
      </c>
      <c r="L1033" t="str">
        <f>Orders!K1033</f>
        <v>Bengaluru</v>
      </c>
      <c r="M1033">
        <f>Orders!G1033</f>
        <v>620</v>
      </c>
      <c r="N1033">
        <f>IFERROR(VLOOKUP(Orders!D1033,Products!$A$2:$D$61,4,FALSE),"")</f>
        <v>396</v>
      </c>
      <c r="O1033">
        <f t="shared" si="36"/>
        <v>0.36129032258064514</v>
      </c>
      <c r="Q1033" t="str">
        <f>Orders!D1033</f>
        <v>PROD-016</v>
      </c>
    </row>
    <row r="1034" spans="1:17" x14ac:dyDescent="0.3">
      <c r="A1034" t="str">
        <f>Orders!A1034</f>
        <v>ORD-01033</v>
      </c>
      <c r="B1034">
        <f>Orders!B1034</f>
        <v>45453</v>
      </c>
      <c r="C1034">
        <f>Orders!I1034</f>
        <v>30695.94</v>
      </c>
      <c r="D1034" t="str">
        <f>Orders!E1034</f>
        <v>R006</v>
      </c>
      <c r="E1034" t="str">
        <f>IFERROR(VLOOKUP(Orders!D1034,Products!$A$2:$C$61,3,FALSE),"Unknown")</f>
        <v>Grocery</v>
      </c>
      <c r="F1034" t="str">
        <f>IFERROR(VLOOKUP(Orders!C1034,Customers!$A$2:$E$301,5,FALSE),"Unknown")</f>
        <v>Retail</v>
      </c>
      <c r="G1034">
        <f>IFERROR(VLOOKUP(Orders!C1034,Customers!$A$2:$C$301,3,FALSE),"")</f>
        <v>49</v>
      </c>
      <c r="H1034" t="str">
        <f>VLOOKUP(D1034,Sales_Reps!$A$2:$C$31,3,FALSE)</f>
        <v>North</v>
      </c>
      <c r="I1034" s="44">
        <f t="shared" si="35"/>
        <v>45444</v>
      </c>
      <c r="L1034" t="str">
        <f>Orders!K1034</f>
        <v>Chennai</v>
      </c>
      <c r="M1034">
        <f>Orders!G1034</f>
        <v>4070</v>
      </c>
      <c r="N1034">
        <f>IFERROR(VLOOKUP(Orders!D1034,Products!$A$2:$D$61,4,FALSE),"")</f>
        <v>2027</v>
      </c>
      <c r="O1034">
        <f t="shared" si="36"/>
        <v>0.50196560196560192</v>
      </c>
      <c r="Q1034" t="str">
        <f>Orders!D1034</f>
        <v>PROD-026</v>
      </c>
    </row>
    <row r="1035" spans="1:17" x14ac:dyDescent="0.3">
      <c r="A1035" t="str">
        <f>Orders!A1035</f>
        <v>ORD-01034</v>
      </c>
      <c r="B1035">
        <f>Orders!B1035</f>
        <v>45351</v>
      </c>
      <c r="C1035">
        <f>Orders!I1035</f>
        <v>19263.36</v>
      </c>
      <c r="D1035" t="str">
        <f>Orders!E1035</f>
        <v>R007</v>
      </c>
      <c r="E1035" t="str">
        <f>IFERROR(VLOOKUP(Orders!D1035,Products!$A$2:$C$61,3,FALSE),"Unknown")</f>
        <v>Apparel</v>
      </c>
      <c r="F1035" t="str">
        <f>IFERROR(VLOOKUP(Orders!C1035,Customers!$A$2:$E$301,5,FALSE),"Unknown")</f>
        <v>Retail</v>
      </c>
      <c r="G1035">
        <f>IFERROR(VLOOKUP(Orders!C1035,Customers!$A$2:$C$301,3,FALSE),"")</f>
        <v>27</v>
      </c>
      <c r="H1035" t="str">
        <f>VLOOKUP(D1035,Sales_Reps!$A$2:$C$31,3,FALSE)</f>
        <v>North</v>
      </c>
      <c r="I1035" s="44">
        <f t="shared" si="35"/>
        <v>45323</v>
      </c>
      <c r="L1035" t="str">
        <f>Orders!K1035</f>
        <v>Bengaluru</v>
      </c>
      <c r="M1035">
        <f>Orders!G1035</f>
        <v>3160</v>
      </c>
      <c r="N1035">
        <f>IFERROR(VLOOKUP(Orders!D1035,Products!$A$2:$D$61,4,FALSE),"")</f>
        <v>1886</v>
      </c>
      <c r="O1035">
        <f t="shared" si="36"/>
        <v>0.4031645569620253</v>
      </c>
      <c r="Q1035" t="str">
        <f>Orders!D1035</f>
        <v>PROD-012</v>
      </c>
    </row>
    <row r="1036" spans="1:17" x14ac:dyDescent="0.3">
      <c r="A1036" t="str">
        <f>Orders!A1036</f>
        <v>ORD-01035</v>
      </c>
      <c r="B1036">
        <f>Orders!B1036</f>
        <v>45422</v>
      </c>
      <c r="C1036">
        <f>Orders!I1036</f>
        <v>4660.8900000000003</v>
      </c>
      <c r="D1036" t="str">
        <f>Orders!E1036</f>
        <v>R022</v>
      </c>
      <c r="E1036" t="str">
        <f>IFERROR(VLOOKUP(Orders!D1036,Products!$A$2:$C$61,3,FALSE),"Unknown")</f>
        <v>Grocery</v>
      </c>
      <c r="F1036" t="str">
        <f>IFERROR(VLOOKUP(Orders!C1036,Customers!$A$2:$E$301,5,FALSE),"Unknown")</f>
        <v>Retail</v>
      </c>
      <c r="G1036">
        <f>IFERROR(VLOOKUP(Orders!C1036,Customers!$A$2:$C$301,3,FALSE),"")</f>
        <v>36</v>
      </c>
      <c r="H1036" t="str">
        <f>VLOOKUP(D1036,Sales_Reps!$A$2:$C$31,3,FALSE)</f>
        <v>East</v>
      </c>
      <c r="I1036" s="44">
        <f t="shared" si="35"/>
        <v>45413</v>
      </c>
      <c r="L1036" t="str">
        <f>Orders!K1036</f>
        <v>Chennai</v>
      </c>
      <c r="M1036">
        <f>Orders!G1036</f>
        <v>2210</v>
      </c>
      <c r="N1036">
        <f>IFERROR(VLOOKUP(Orders!D1036,Products!$A$2:$D$61,4,FALSE),"")</f>
        <v>1010</v>
      </c>
      <c r="O1036">
        <f t="shared" si="36"/>
        <v>0.54298642533936647</v>
      </c>
      <c r="Q1036" t="str">
        <f>Orders!D1036</f>
        <v>PROD-029</v>
      </c>
    </row>
    <row r="1037" spans="1:17" x14ac:dyDescent="0.3">
      <c r="A1037" t="str">
        <f>Orders!A1037</f>
        <v>ORD-01036</v>
      </c>
      <c r="B1037">
        <f>Orders!B1037</f>
        <v>45361</v>
      </c>
      <c r="C1037">
        <f>Orders!I1037</f>
        <v>3083.67</v>
      </c>
      <c r="D1037" t="str">
        <f>Orders!E1037</f>
        <v>R025</v>
      </c>
      <c r="E1037" t="str">
        <f>IFERROR(VLOOKUP(Orders!D1037,Products!$A$2:$C$61,3,FALSE),"Unknown")</f>
        <v>Sports</v>
      </c>
      <c r="F1037" t="str">
        <f>IFERROR(VLOOKUP(Orders!C1037,Customers!$A$2:$E$301,5,FALSE),"Unknown")</f>
        <v>Retail</v>
      </c>
      <c r="G1037">
        <f>IFERROR(VLOOKUP(Orders!C1037,Customers!$A$2:$C$301,3,FALSE),"")</f>
        <v>61</v>
      </c>
      <c r="H1037" t="str">
        <f>VLOOKUP(D1037,Sales_Reps!$A$2:$C$31,3,FALSE)</f>
        <v>West</v>
      </c>
      <c r="I1037" s="44">
        <f t="shared" si="35"/>
        <v>45352</v>
      </c>
      <c r="L1037" t="str">
        <f>Orders!K1037</f>
        <v>Chennai</v>
      </c>
      <c r="M1037">
        <f>Orders!G1037</f>
        <v>470</v>
      </c>
      <c r="N1037">
        <f>IFERROR(VLOOKUP(Orders!D1037,Products!$A$2:$D$61,4,FALSE),"")</f>
        <v>302</v>
      </c>
      <c r="O1037">
        <f t="shared" si="36"/>
        <v>0.35744680851063831</v>
      </c>
      <c r="Q1037" t="str">
        <f>Orders!D1037</f>
        <v>PROD-053</v>
      </c>
    </row>
    <row r="1038" spans="1:17" x14ac:dyDescent="0.3">
      <c r="A1038" t="str">
        <f>Orders!A1038</f>
        <v>ORD-01037</v>
      </c>
      <c r="B1038">
        <f>Orders!B1038</f>
        <v>45622</v>
      </c>
      <c r="C1038">
        <f>Orders!I1038</f>
        <v>2100.12</v>
      </c>
      <c r="D1038" t="str">
        <f>Orders!E1038</f>
        <v>R020</v>
      </c>
      <c r="E1038" t="str">
        <f>IFERROR(VLOOKUP(Orders!D1038,Products!$A$2:$C$61,3,FALSE),"Unknown")</f>
        <v>Home</v>
      </c>
      <c r="F1038" t="str">
        <f>IFERROR(VLOOKUP(Orders!C1038,Customers!$A$2:$E$301,5,FALSE),"Unknown")</f>
        <v>Retail</v>
      </c>
      <c r="G1038">
        <f>IFERROR(VLOOKUP(Orders!C1038,Customers!$A$2:$C$301,3,FALSE),"")</f>
        <v>38</v>
      </c>
      <c r="H1038" t="str">
        <f>VLOOKUP(D1038,Sales_Reps!$A$2:$C$31,3,FALSE)</f>
        <v>East</v>
      </c>
      <c r="I1038" s="44">
        <f t="shared" si="35"/>
        <v>45597</v>
      </c>
      <c r="L1038" t="str">
        <f>Orders!K1038</f>
        <v>Chennai</v>
      </c>
      <c r="M1038">
        <f>Orders!G1038</f>
        <v>370</v>
      </c>
      <c r="N1038">
        <f>IFERROR(VLOOKUP(Orders!D1038,Products!$A$2:$D$61,4,FALSE),"")</f>
        <v>288</v>
      </c>
      <c r="O1038">
        <f t="shared" si="36"/>
        <v>0.22162162162162163</v>
      </c>
      <c r="Q1038" t="str">
        <f>Orders!D1038</f>
        <v>PROD-032</v>
      </c>
    </row>
    <row r="1039" spans="1:17" x14ac:dyDescent="0.3">
      <c r="A1039" t="str">
        <f>Orders!A1039</f>
        <v>ORD-01038</v>
      </c>
      <c r="B1039">
        <f>Orders!B1039</f>
        <v>45496</v>
      </c>
      <c r="C1039">
        <f>Orders!I1039</f>
        <v>29673</v>
      </c>
      <c r="D1039" t="str">
        <f>Orders!E1039</f>
        <v>R018</v>
      </c>
      <c r="E1039" t="str">
        <f>IFERROR(VLOOKUP(Orders!D1039,Products!$A$2:$C$61,3,FALSE),"Unknown")</f>
        <v>Sports</v>
      </c>
      <c r="F1039" t="str">
        <f>IFERROR(VLOOKUP(Orders!C1039,Customers!$A$2:$E$301,5,FALSE),"Unknown")</f>
        <v>Retail</v>
      </c>
      <c r="G1039">
        <f>IFERROR(VLOOKUP(Orders!C1039,Customers!$A$2:$C$301,3,FALSE),"")</f>
        <v>44</v>
      </c>
      <c r="H1039" t="str">
        <f>VLOOKUP(D1039,Sales_Reps!$A$2:$C$31,3,FALSE)</f>
        <v>East</v>
      </c>
      <c r="I1039" s="44">
        <f t="shared" si="35"/>
        <v>45474</v>
      </c>
      <c r="L1039" t="str">
        <f>Orders!K1039</f>
        <v>Mumbai</v>
      </c>
      <c r="M1039">
        <f>Orders!G1039</f>
        <v>3780</v>
      </c>
      <c r="N1039">
        <f>IFERROR(VLOOKUP(Orders!D1039,Products!$A$2:$D$61,4,FALSE),"")</f>
        <v>1860</v>
      </c>
      <c r="O1039">
        <f t="shared" si="36"/>
        <v>0.50793650793650791</v>
      </c>
      <c r="Q1039" t="str">
        <f>Orders!D1039</f>
        <v>PROD-059</v>
      </c>
    </row>
    <row r="1040" spans="1:17" x14ac:dyDescent="0.3">
      <c r="A1040" t="str">
        <f>Orders!A1040</f>
        <v>ORD-01039</v>
      </c>
      <c r="B1040">
        <f>Orders!B1040</f>
        <v>45578</v>
      </c>
      <c r="C1040">
        <f>Orders!I1040</f>
        <v>26677.360000000001</v>
      </c>
      <c r="D1040" t="str">
        <f>Orders!E1040</f>
        <v>R009</v>
      </c>
      <c r="E1040" t="str">
        <f>IFERROR(VLOOKUP(Orders!D1040,Products!$A$2:$C$61,3,FALSE),"Unknown")</f>
        <v>Sports</v>
      </c>
      <c r="F1040" t="str">
        <f>IFERROR(VLOOKUP(Orders!C1040,Customers!$A$2:$E$301,5,FALSE),"Unknown")</f>
        <v>Retail</v>
      </c>
      <c r="G1040">
        <f>IFERROR(VLOOKUP(Orders!C1040,Customers!$A$2:$C$301,3,FALSE),"")</f>
        <v>59</v>
      </c>
      <c r="H1040" t="str">
        <f>VLOOKUP(D1040,Sales_Reps!$A$2:$C$31,3,FALSE)</f>
        <v>South</v>
      </c>
      <c r="I1040" s="44">
        <f t="shared" si="35"/>
        <v>45566</v>
      </c>
      <c r="L1040" t="str">
        <f>Orders!K1040</f>
        <v>Delhi</v>
      </c>
      <c r="M1040">
        <f>Orders!G1040</f>
        <v>6940</v>
      </c>
      <c r="N1040">
        <f>IFERROR(VLOOKUP(Orders!D1040,Products!$A$2:$D$61,4,FALSE),"")</f>
        <v>2827</v>
      </c>
      <c r="O1040">
        <f t="shared" si="36"/>
        <v>0.5926512968299712</v>
      </c>
      <c r="Q1040" t="str">
        <f>Orders!D1040</f>
        <v>PROD-056</v>
      </c>
    </row>
    <row r="1041" spans="1:17" x14ac:dyDescent="0.3">
      <c r="A1041" t="str">
        <f>Orders!A1041</f>
        <v>ORD-01040</v>
      </c>
      <c r="B1041">
        <f>Orders!B1041</f>
        <v>45476</v>
      </c>
      <c r="C1041">
        <f>Orders!I1041</f>
        <v>8873.67</v>
      </c>
      <c r="D1041" t="str">
        <f>Orders!E1041</f>
        <v>R022</v>
      </c>
      <c r="E1041" t="str">
        <f>IFERROR(VLOOKUP(Orders!D1041,Products!$A$2:$C$61,3,FALSE),"Unknown")</f>
        <v>Home</v>
      </c>
      <c r="F1041" t="str">
        <f>IFERROR(VLOOKUP(Orders!C1041,Customers!$A$2:$E$301,5,FALSE),"Unknown")</f>
        <v>SMB</v>
      </c>
      <c r="G1041">
        <f>IFERROR(VLOOKUP(Orders!C1041,Customers!$A$2:$C$301,3,FALSE),"")</f>
        <v>48</v>
      </c>
      <c r="H1041" t="str">
        <f>VLOOKUP(D1041,Sales_Reps!$A$2:$C$31,3,FALSE)</f>
        <v>East</v>
      </c>
      <c r="I1041" s="44">
        <f t="shared" si="35"/>
        <v>45474</v>
      </c>
      <c r="L1041" t="str">
        <f>Orders!K1041</f>
        <v>Delhi</v>
      </c>
      <c r="M1041">
        <f>Orders!G1041</f>
        <v>3730</v>
      </c>
      <c r="N1041">
        <f>IFERROR(VLOOKUP(Orders!D1041,Products!$A$2:$D$61,4,FALSE),"")</f>
        <v>2135</v>
      </c>
      <c r="O1041">
        <f t="shared" si="36"/>
        <v>0.42761394101876676</v>
      </c>
      <c r="Q1041" t="str">
        <f>Orders!D1041</f>
        <v>PROD-031</v>
      </c>
    </row>
    <row r="1042" spans="1:17" x14ac:dyDescent="0.3">
      <c r="A1042" t="str">
        <f>Orders!A1042</f>
        <v>ORD-01041</v>
      </c>
      <c r="B1042">
        <f>Orders!B1042</f>
        <v>45300</v>
      </c>
      <c r="C1042">
        <f>Orders!I1042</f>
        <v>38120.32</v>
      </c>
      <c r="D1042" t="str">
        <f>Orders!E1042</f>
        <v>R025</v>
      </c>
      <c r="E1042" t="str">
        <f>IFERROR(VLOOKUP(Orders!D1042,Products!$A$2:$C$61,3,FALSE),"Unknown")</f>
        <v>Home</v>
      </c>
      <c r="F1042" t="str">
        <f>IFERROR(VLOOKUP(Orders!C1042,Customers!$A$2:$E$301,5,FALSE),"Unknown")</f>
        <v>Retail</v>
      </c>
      <c r="G1042">
        <f>IFERROR(VLOOKUP(Orders!C1042,Customers!$A$2:$C$301,3,FALSE),"")</f>
        <v>37</v>
      </c>
      <c r="H1042" t="str">
        <f>VLOOKUP(D1042,Sales_Reps!$A$2:$C$31,3,FALSE)</f>
        <v>West</v>
      </c>
      <c r="I1042" s="44">
        <f t="shared" si="35"/>
        <v>45292</v>
      </c>
      <c r="L1042" t="str">
        <f>Orders!K1042</f>
        <v>Mumbai</v>
      </c>
      <c r="M1042">
        <f>Orders!G1042</f>
        <v>5080</v>
      </c>
      <c r="N1042">
        <f>IFERROR(VLOOKUP(Orders!D1042,Products!$A$2:$D$61,4,FALSE),"")</f>
        <v>2459</v>
      </c>
      <c r="O1042">
        <f t="shared" si="36"/>
        <v>0.51594488188976373</v>
      </c>
      <c r="Q1042" t="str">
        <f>Orders!D1042</f>
        <v>PROD-034</v>
      </c>
    </row>
    <row r="1043" spans="1:17" x14ac:dyDescent="0.3">
      <c r="A1043" t="str">
        <f>Orders!A1043</f>
        <v>ORD-01042</v>
      </c>
      <c r="B1043">
        <f>Orders!B1043</f>
        <v>45455</v>
      </c>
      <c r="C1043">
        <f>Orders!I1043</f>
        <v>25643.4</v>
      </c>
      <c r="D1043" t="str">
        <f>Orders!E1043</f>
        <v>R001</v>
      </c>
      <c r="E1043" t="str">
        <f>IFERROR(VLOOKUP(Orders!D1043,Products!$A$2:$C$61,3,FALSE),"Unknown")</f>
        <v>Sports</v>
      </c>
      <c r="F1043" t="str">
        <f>IFERROR(VLOOKUP(Orders!C1043,Customers!$A$2:$E$301,5,FALSE),"Unknown")</f>
        <v>Retail</v>
      </c>
      <c r="G1043">
        <f>IFERROR(VLOOKUP(Orders!C1043,Customers!$A$2:$C$301,3,FALSE),"")</f>
        <v>32</v>
      </c>
      <c r="H1043" t="str">
        <f>VLOOKUP(D1043,Sales_Reps!$A$2:$C$31,3,FALSE)</f>
        <v>North</v>
      </c>
      <c r="I1043" s="44">
        <f t="shared" si="35"/>
        <v>45444</v>
      </c>
      <c r="L1043" t="str">
        <f>Orders!K1043</f>
        <v>Hyderabad</v>
      </c>
      <c r="M1043">
        <f>Orders!G1043</f>
        <v>5410</v>
      </c>
      <c r="N1043">
        <f>IFERROR(VLOOKUP(Orders!D1043,Products!$A$2:$D$61,4,FALSE),"")</f>
        <v>2265</v>
      </c>
      <c r="O1043">
        <f t="shared" si="36"/>
        <v>0.58133086876155271</v>
      </c>
      <c r="Q1043" t="str">
        <f>Orders!D1043</f>
        <v>PROD-052</v>
      </c>
    </row>
    <row r="1044" spans="1:17" x14ac:dyDescent="0.3">
      <c r="A1044" t="str">
        <f>Orders!A1044</f>
        <v>ORD-01043</v>
      </c>
      <c r="B1044">
        <f>Orders!B1044</f>
        <v>45404</v>
      </c>
      <c r="C1044">
        <f>Orders!I1044</f>
        <v>11456.64</v>
      </c>
      <c r="D1044" t="str">
        <f>Orders!E1044</f>
        <v>R026</v>
      </c>
      <c r="E1044" t="str">
        <f>IFERROR(VLOOKUP(Orders!D1044,Products!$A$2:$C$61,3,FALSE),"Unknown")</f>
        <v>Apparel</v>
      </c>
      <c r="F1044" t="str">
        <f>IFERROR(VLOOKUP(Orders!C1044,Customers!$A$2:$E$301,5,FALSE),"Unknown")</f>
        <v>Retail</v>
      </c>
      <c r="G1044">
        <f>IFERROR(VLOOKUP(Orders!C1044,Customers!$A$2:$C$301,3,FALSE),"")</f>
        <v>44</v>
      </c>
      <c r="H1044" t="str">
        <f>VLOOKUP(D1044,Sales_Reps!$A$2:$C$31,3,FALSE)</f>
        <v>West</v>
      </c>
      <c r="I1044" s="44">
        <f t="shared" si="35"/>
        <v>45383</v>
      </c>
      <c r="L1044" t="str">
        <f>Orders!K1044</f>
        <v>Delhi</v>
      </c>
      <c r="M1044">
        <f>Orders!G1044</f>
        <v>2720</v>
      </c>
      <c r="N1044">
        <f>IFERROR(VLOOKUP(Orders!D1044,Products!$A$2:$D$61,4,FALSE),"")</f>
        <v>1962</v>
      </c>
      <c r="O1044">
        <f t="shared" si="36"/>
        <v>0.2786764705882353</v>
      </c>
      <c r="Q1044" t="str">
        <f>Orders!D1044</f>
        <v>PROD-015</v>
      </c>
    </row>
    <row r="1045" spans="1:17" x14ac:dyDescent="0.3">
      <c r="A1045" t="str">
        <f>Orders!A1045</f>
        <v>ORD-01044</v>
      </c>
      <c r="B1045">
        <f>Orders!B1045</f>
        <v>45468</v>
      </c>
      <c r="C1045">
        <f>Orders!I1045</f>
        <v>944.28</v>
      </c>
      <c r="D1045" t="str">
        <f>Orders!E1045</f>
        <v>R010</v>
      </c>
      <c r="E1045" t="str">
        <f>IFERROR(VLOOKUP(Orders!D1045,Products!$A$2:$C$61,3,FALSE),"Unknown")</f>
        <v>Electronics</v>
      </c>
      <c r="F1045" t="str">
        <f>IFERROR(VLOOKUP(Orders!C1045,Customers!$A$2:$E$301,5,FALSE),"Unknown")</f>
        <v>SMB</v>
      </c>
      <c r="G1045">
        <f>IFERROR(VLOOKUP(Orders!C1045,Customers!$A$2:$C$301,3,FALSE),"")</f>
        <v>44</v>
      </c>
      <c r="H1045" t="str">
        <f>VLOOKUP(D1045,Sales_Reps!$A$2:$C$31,3,FALSE)</f>
        <v>South</v>
      </c>
      <c r="I1045" s="44">
        <f t="shared" si="35"/>
        <v>45444</v>
      </c>
      <c r="L1045" t="str">
        <f>Orders!K1045</f>
        <v>Bengaluru</v>
      </c>
      <c r="M1045">
        <f>Orders!G1045</f>
        <v>1220</v>
      </c>
      <c r="N1045">
        <f>IFERROR(VLOOKUP(Orders!D1045,Products!$A$2:$D$61,4,FALSE),"")</f>
        <v>517</v>
      </c>
      <c r="O1045">
        <f t="shared" si="36"/>
        <v>0.57622950819672136</v>
      </c>
      <c r="Q1045" t="str">
        <f>Orders!D1045</f>
        <v>PROD-009</v>
      </c>
    </row>
    <row r="1046" spans="1:17" x14ac:dyDescent="0.3">
      <c r="A1046" t="str">
        <f>Orders!A1046</f>
        <v>ORD-01045</v>
      </c>
      <c r="B1046">
        <f>Orders!B1046</f>
        <v>45640</v>
      </c>
      <c r="C1046">
        <f>Orders!I1046</f>
        <v>45237.599999999999</v>
      </c>
      <c r="D1046" t="str">
        <f>Orders!E1046</f>
        <v>R008</v>
      </c>
      <c r="E1046" t="str">
        <f>IFERROR(VLOOKUP(Orders!D1046,Products!$A$2:$C$61,3,FALSE),"Unknown")</f>
        <v>Beauty</v>
      </c>
      <c r="F1046" t="str">
        <f>IFERROR(VLOOKUP(Orders!C1046,Customers!$A$2:$E$301,5,FALSE),"Unknown")</f>
        <v>Retail</v>
      </c>
      <c r="G1046">
        <f>IFERROR(VLOOKUP(Orders!C1046,Customers!$A$2:$C$301,3,FALSE),"")</f>
        <v>31</v>
      </c>
      <c r="H1046" t="str">
        <f>VLOOKUP(D1046,Sales_Reps!$A$2:$C$31,3,FALSE)</f>
        <v>North</v>
      </c>
      <c r="I1046" s="44">
        <f t="shared" si="35"/>
        <v>45627</v>
      </c>
      <c r="L1046" t="str">
        <f>Orders!K1046</f>
        <v>Chennai</v>
      </c>
      <c r="M1046">
        <f>Orders!G1046</f>
        <v>4880</v>
      </c>
      <c r="N1046">
        <f>IFERROR(VLOOKUP(Orders!D1046,Products!$A$2:$D$61,4,FALSE),"")</f>
        <v>2768</v>
      </c>
      <c r="O1046">
        <f t="shared" si="36"/>
        <v>0.43278688524590164</v>
      </c>
      <c r="Q1046" t="str">
        <f>Orders!D1046</f>
        <v>PROD-046</v>
      </c>
    </row>
    <row r="1047" spans="1:17" x14ac:dyDescent="0.3">
      <c r="A1047" t="str">
        <f>Orders!A1047</f>
        <v>ORD-01046</v>
      </c>
      <c r="B1047">
        <f>Orders!B1047</f>
        <v>45450</v>
      </c>
      <c r="C1047">
        <f>Orders!I1047</f>
        <v>22336.799999999999</v>
      </c>
      <c r="D1047" t="str">
        <f>Orders!E1047</f>
        <v>R021</v>
      </c>
      <c r="E1047" t="str">
        <f>IFERROR(VLOOKUP(Orders!D1047,Products!$A$2:$C$61,3,FALSE),"Unknown")</f>
        <v>Grocery</v>
      </c>
      <c r="F1047" t="str">
        <f>IFERROR(VLOOKUP(Orders!C1047,Customers!$A$2:$E$301,5,FALSE),"Unknown")</f>
        <v>Corporate</v>
      </c>
      <c r="G1047">
        <f>IFERROR(VLOOKUP(Orders!C1047,Customers!$A$2:$C$301,3,FALSE),"")</f>
        <v>62</v>
      </c>
      <c r="H1047" t="str">
        <f>VLOOKUP(D1047,Sales_Reps!$A$2:$C$31,3,FALSE)</f>
        <v>East</v>
      </c>
      <c r="I1047" s="44">
        <f t="shared" si="35"/>
        <v>45444</v>
      </c>
      <c r="L1047" t="str">
        <f>Orders!K1047</f>
        <v>Mumbai</v>
      </c>
      <c r="M1047">
        <f>Orders!G1047</f>
        <v>2270</v>
      </c>
      <c r="N1047">
        <f>IFERROR(VLOOKUP(Orders!D1047,Products!$A$2:$D$61,4,FALSE),"")</f>
        <v>1412</v>
      </c>
      <c r="O1047">
        <f t="shared" si="36"/>
        <v>0.37797356828193834</v>
      </c>
      <c r="Q1047" t="str">
        <f>Orders!D1047</f>
        <v>PROD-022</v>
      </c>
    </row>
    <row r="1048" spans="1:17" x14ac:dyDescent="0.3">
      <c r="A1048" t="str">
        <f>Orders!A1048</f>
        <v>ORD-01047</v>
      </c>
      <c r="B1048">
        <f>Orders!B1048</f>
        <v>45589</v>
      </c>
      <c r="C1048">
        <f>Orders!I1048</f>
        <v>6743.44</v>
      </c>
      <c r="D1048" t="str">
        <f>Orders!E1048</f>
        <v>R003</v>
      </c>
      <c r="E1048" t="str">
        <f>IFERROR(VLOOKUP(Orders!D1048,Products!$A$2:$C$61,3,FALSE),"Unknown")</f>
        <v>Grocery</v>
      </c>
      <c r="F1048" t="str">
        <f>IFERROR(VLOOKUP(Orders!C1048,Customers!$A$2:$E$301,5,FALSE),"Unknown")</f>
        <v>SMB</v>
      </c>
      <c r="G1048">
        <f>IFERROR(VLOOKUP(Orders!C1048,Customers!$A$2:$C$301,3,FALSE),"")</f>
        <v>53</v>
      </c>
      <c r="H1048" t="str">
        <f>VLOOKUP(D1048,Sales_Reps!$A$2:$C$31,3,FALSE)</f>
        <v>North</v>
      </c>
      <c r="I1048" s="44">
        <f t="shared" si="35"/>
        <v>45566</v>
      </c>
      <c r="L1048" t="str">
        <f>Orders!K1048</f>
        <v>Pune</v>
      </c>
      <c r="M1048">
        <f>Orders!G1048</f>
        <v>970</v>
      </c>
      <c r="N1048">
        <f>IFERROR(VLOOKUP(Orders!D1048,Products!$A$2:$D$61,4,FALSE),"")</f>
        <v>434</v>
      </c>
      <c r="O1048">
        <f t="shared" si="36"/>
        <v>0.5525773195876289</v>
      </c>
      <c r="Q1048" t="str">
        <f>Orders!D1048</f>
        <v>PROD-030</v>
      </c>
    </row>
    <row r="1049" spans="1:17" x14ac:dyDescent="0.3">
      <c r="A1049" t="str">
        <f>Orders!A1049</f>
        <v>ORD-01048</v>
      </c>
      <c r="B1049">
        <f>Orders!B1049</f>
        <v>45646</v>
      </c>
      <c r="C1049">
        <f>Orders!I1049</f>
        <v>14894.04</v>
      </c>
      <c r="D1049" t="str">
        <f>Orders!E1049</f>
        <v>R012</v>
      </c>
      <c r="E1049" t="str">
        <f>IFERROR(VLOOKUP(Orders!D1049,Products!$A$2:$C$61,3,FALSE),"Unknown")</f>
        <v>Grocery</v>
      </c>
      <c r="F1049" t="str">
        <f>IFERROR(VLOOKUP(Orders!C1049,Customers!$A$2:$E$301,5,FALSE),"Unknown")</f>
        <v>Corporate</v>
      </c>
      <c r="G1049">
        <f>IFERROR(VLOOKUP(Orders!C1049,Customers!$A$2:$C$301,3,FALSE),"")</f>
        <v>27</v>
      </c>
      <c r="H1049" t="str">
        <f>VLOOKUP(D1049,Sales_Reps!$A$2:$C$31,3,FALSE)</f>
        <v>South</v>
      </c>
      <c r="I1049" s="44">
        <f t="shared" si="35"/>
        <v>45627</v>
      </c>
      <c r="L1049" t="str">
        <f>Orders!K1049</f>
        <v>Delhi</v>
      </c>
      <c r="M1049">
        <f>Orders!G1049</f>
        <v>2380</v>
      </c>
      <c r="N1049">
        <f>IFERROR(VLOOKUP(Orders!D1049,Products!$A$2:$D$61,4,FALSE),"")</f>
        <v>1182</v>
      </c>
      <c r="O1049">
        <f t="shared" si="36"/>
        <v>0.50336134453781511</v>
      </c>
      <c r="Q1049" t="str">
        <f>Orders!D1049</f>
        <v>PROD-023</v>
      </c>
    </row>
    <row r="1050" spans="1:17" x14ac:dyDescent="0.3">
      <c r="A1050" t="str">
        <f>Orders!A1050</f>
        <v>ORD-01049</v>
      </c>
      <c r="B1050">
        <f>Orders!B1050</f>
        <v>45488</v>
      </c>
      <c r="C1050">
        <f>Orders!I1050</f>
        <v>17093.64</v>
      </c>
      <c r="D1050" t="str">
        <f>Orders!E1050</f>
        <v>R016</v>
      </c>
      <c r="E1050" t="str">
        <f>IFERROR(VLOOKUP(Orders!D1050,Products!$A$2:$C$61,3,FALSE),"Unknown")</f>
        <v>Apparel</v>
      </c>
      <c r="F1050" t="str">
        <f>IFERROR(VLOOKUP(Orders!C1050,Customers!$A$2:$E$301,5,FALSE),"Unknown")</f>
        <v>Corporate</v>
      </c>
      <c r="G1050">
        <f>IFERROR(VLOOKUP(Orders!C1050,Customers!$A$2:$C$301,3,FALSE),"")</f>
        <v>25</v>
      </c>
      <c r="H1050" t="str">
        <f>VLOOKUP(D1050,Sales_Reps!$A$2:$C$31,3,FALSE)</f>
        <v>South</v>
      </c>
      <c r="I1050" s="44">
        <f t="shared" si="35"/>
        <v>45474</v>
      </c>
      <c r="L1050" t="str">
        <f>Orders!K1050</f>
        <v>Hyderabad</v>
      </c>
      <c r="M1050">
        <f>Orders!G1050</f>
        <v>3620</v>
      </c>
      <c r="N1050">
        <f>IFERROR(VLOOKUP(Orders!D1050,Products!$A$2:$D$61,4,FALSE),"")</f>
        <v>2509</v>
      </c>
      <c r="O1050">
        <f t="shared" si="36"/>
        <v>0.3069060773480663</v>
      </c>
      <c r="Q1050" t="str">
        <f>Orders!D1050</f>
        <v>PROD-014</v>
      </c>
    </row>
    <row r="1051" spans="1:17" x14ac:dyDescent="0.3">
      <c r="A1051" t="str">
        <f>Orders!A1051</f>
        <v>ORD-01050</v>
      </c>
      <c r="B1051">
        <f>Orders!B1051</f>
        <v>45555</v>
      </c>
      <c r="C1051">
        <f>Orders!I1051</f>
        <v>11208.78</v>
      </c>
      <c r="D1051" t="str">
        <f>Orders!E1051</f>
        <v>R027</v>
      </c>
      <c r="E1051" t="str">
        <f>IFERROR(VLOOKUP(Orders!D1051,Products!$A$2:$C$61,3,FALSE),"Unknown")</f>
        <v>Grocery</v>
      </c>
      <c r="F1051" t="str">
        <f>IFERROR(VLOOKUP(Orders!C1051,Customers!$A$2:$E$301,5,FALSE),"Unknown")</f>
        <v>Retail</v>
      </c>
      <c r="G1051">
        <f>IFERROR(VLOOKUP(Orders!C1051,Customers!$A$2:$C$301,3,FALSE),"")</f>
        <v>59</v>
      </c>
      <c r="H1051" t="str">
        <f>VLOOKUP(D1051,Sales_Reps!$A$2:$C$31,3,FALSE)</f>
        <v>West</v>
      </c>
      <c r="I1051" s="44">
        <f t="shared" si="35"/>
        <v>45536</v>
      </c>
      <c r="L1051" t="str">
        <f>Orders!K1051</f>
        <v>Delhi</v>
      </c>
      <c r="M1051">
        <f>Orders!G1051</f>
        <v>4070</v>
      </c>
      <c r="N1051">
        <f>IFERROR(VLOOKUP(Orders!D1051,Products!$A$2:$D$61,4,FALSE),"")</f>
        <v>2027</v>
      </c>
      <c r="O1051">
        <f t="shared" si="36"/>
        <v>0.50196560196560192</v>
      </c>
      <c r="Q1051" t="str">
        <f>Orders!D1051</f>
        <v>PROD-026</v>
      </c>
    </row>
    <row r="1052" spans="1:17" x14ac:dyDescent="0.3">
      <c r="A1052" t="str">
        <f>Orders!A1052</f>
        <v>ORD-01051</v>
      </c>
      <c r="B1052">
        <f>Orders!B1052</f>
        <v>45578</v>
      </c>
      <c r="C1052">
        <f>Orders!I1052</f>
        <v>29824.799999999999</v>
      </c>
      <c r="D1052" t="str">
        <f>Orders!E1052</f>
        <v>R026</v>
      </c>
      <c r="E1052" t="str">
        <f>IFERROR(VLOOKUP(Orders!D1052,Products!$A$2:$C$61,3,FALSE),"Unknown")</f>
        <v>Beauty</v>
      </c>
      <c r="F1052" t="str">
        <f>IFERROR(VLOOKUP(Orders!C1052,Customers!$A$2:$E$301,5,FALSE),"Unknown")</f>
        <v>Corporate</v>
      </c>
      <c r="G1052">
        <f>IFERROR(VLOOKUP(Orders!C1052,Customers!$A$2:$C$301,3,FALSE),"")</f>
        <v>43</v>
      </c>
      <c r="H1052" t="str">
        <f>VLOOKUP(D1052,Sales_Reps!$A$2:$C$31,3,FALSE)</f>
        <v>West</v>
      </c>
      <c r="I1052" s="44">
        <f t="shared" si="35"/>
        <v>45566</v>
      </c>
      <c r="L1052" t="str">
        <f>Orders!K1052</f>
        <v>Hyderabad</v>
      </c>
      <c r="M1052">
        <f>Orders!G1052</f>
        <v>5100</v>
      </c>
      <c r="N1052">
        <f>IFERROR(VLOOKUP(Orders!D1052,Products!$A$2:$D$61,4,FALSE),"")</f>
        <v>2237</v>
      </c>
      <c r="O1052">
        <f t="shared" si="36"/>
        <v>0.56137254901960787</v>
      </c>
      <c r="Q1052" t="str">
        <f>Orders!D1052</f>
        <v>PROD-048</v>
      </c>
    </row>
    <row r="1053" spans="1:17" x14ac:dyDescent="0.3">
      <c r="A1053" t="str">
        <f>Orders!A1053</f>
        <v>ORD-01052</v>
      </c>
      <c r="B1053">
        <f>Orders!B1053</f>
        <v>45296</v>
      </c>
      <c r="C1053">
        <f>Orders!I1053</f>
        <v>7383.9</v>
      </c>
      <c r="D1053" t="str">
        <f>Orders!E1053</f>
        <v>R017</v>
      </c>
      <c r="E1053" t="str">
        <f>IFERROR(VLOOKUP(Orders!D1053,Products!$A$2:$C$61,3,FALSE),"Unknown")</f>
        <v>Beauty</v>
      </c>
      <c r="F1053" t="str">
        <f>IFERROR(VLOOKUP(Orders!C1053,Customers!$A$2:$E$301,5,FALSE),"Unknown")</f>
        <v>Corporate</v>
      </c>
      <c r="G1053">
        <f>IFERROR(VLOOKUP(Orders!C1053,Customers!$A$2:$C$301,3,FALSE),"")</f>
        <v>62</v>
      </c>
      <c r="H1053" t="str">
        <f>VLOOKUP(D1053,Sales_Reps!$A$2:$C$31,3,FALSE)</f>
        <v>East</v>
      </c>
      <c r="I1053" s="44">
        <f t="shared" si="35"/>
        <v>45292</v>
      </c>
      <c r="L1053" t="str">
        <f>Orders!K1053</f>
        <v>Mumbai</v>
      </c>
      <c r="M1053">
        <f>Orders!G1053</f>
        <v>3020</v>
      </c>
      <c r="N1053">
        <f>IFERROR(VLOOKUP(Orders!D1053,Products!$A$2:$D$61,4,FALSE),"")</f>
        <v>1626</v>
      </c>
      <c r="O1053">
        <f t="shared" si="36"/>
        <v>0.46158940397350995</v>
      </c>
      <c r="Q1053" t="str">
        <f>Orders!D1053</f>
        <v>PROD-045</v>
      </c>
    </row>
    <row r="1054" spans="1:17" x14ac:dyDescent="0.3">
      <c r="A1054" t="str">
        <f>Orders!A1054</f>
        <v>ORD-01053</v>
      </c>
      <c r="B1054">
        <f>Orders!B1054</f>
        <v>45564</v>
      </c>
      <c r="C1054">
        <f>Orders!I1054</f>
        <v>7134.72</v>
      </c>
      <c r="D1054" t="str">
        <f>Orders!E1054</f>
        <v>R002</v>
      </c>
      <c r="E1054" t="str">
        <f>IFERROR(VLOOKUP(Orders!D1054,Products!$A$2:$C$61,3,FALSE),"Unknown")</f>
        <v>Beauty</v>
      </c>
      <c r="F1054" t="str">
        <f>IFERROR(VLOOKUP(Orders!C1054,Customers!$A$2:$E$301,5,FALSE),"Unknown")</f>
        <v>Corporate</v>
      </c>
      <c r="G1054">
        <f>IFERROR(VLOOKUP(Orders!C1054,Customers!$A$2:$C$301,3,FALSE),"")</f>
        <v>42</v>
      </c>
      <c r="H1054" t="str">
        <f>VLOOKUP(D1054,Sales_Reps!$A$2:$C$31,3,FALSE)</f>
        <v>North</v>
      </c>
      <c r="I1054" s="44">
        <f t="shared" si="35"/>
        <v>45536</v>
      </c>
      <c r="L1054" t="str">
        <f>Orders!K1054</f>
        <v>Pune</v>
      </c>
      <c r="M1054">
        <f>Orders!G1054</f>
        <v>960</v>
      </c>
      <c r="N1054">
        <f>IFERROR(VLOOKUP(Orders!D1054,Products!$A$2:$D$61,4,FALSE),"")</f>
        <v>675</v>
      </c>
      <c r="O1054">
        <f t="shared" si="36"/>
        <v>0.296875</v>
      </c>
      <c r="Q1054" t="str">
        <f>Orders!D1054</f>
        <v>PROD-049</v>
      </c>
    </row>
    <row r="1055" spans="1:17" x14ac:dyDescent="0.3">
      <c r="A1055" t="str">
        <f>Orders!A1055</f>
        <v>ORD-01054</v>
      </c>
      <c r="B1055">
        <f>Orders!B1055</f>
        <v>45383</v>
      </c>
      <c r="C1055">
        <f>Orders!I1055</f>
        <v>38120.32</v>
      </c>
      <c r="D1055" t="str">
        <f>Orders!E1055</f>
        <v>R015</v>
      </c>
      <c r="E1055" t="str">
        <f>IFERROR(VLOOKUP(Orders!D1055,Products!$A$2:$C$61,3,FALSE),"Unknown")</f>
        <v>Home</v>
      </c>
      <c r="F1055" t="str">
        <f>IFERROR(VLOOKUP(Orders!C1055,Customers!$A$2:$E$301,5,FALSE),"Unknown")</f>
        <v>Retail</v>
      </c>
      <c r="G1055">
        <f>IFERROR(VLOOKUP(Orders!C1055,Customers!$A$2:$C$301,3,FALSE),"")</f>
        <v>61</v>
      </c>
      <c r="H1055" t="str">
        <f>VLOOKUP(D1055,Sales_Reps!$A$2:$C$31,3,FALSE)</f>
        <v>South</v>
      </c>
      <c r="I1055" s="44">
        <f t="shared" si="35"/>
        <v>45383</v>
      </c>
      <c r="L1055" t="str">
        <f>Orders!K1055</f>
        <v>Chennai</v>
      </c>
      <c r="M1055">
        <f>Orders!G1055</f>
        <v>5080</v>
      </c>
      <c r="N1055">
        <f>IFERROR(VLOOKUP(Orders!D1055,Products!$A$2:$D$61,4,FALSE),"")</f>
        <v>2459</v>
      </c>
      <c r="O1055">
        <f t="shared" si="36"/>
        <v>0.51594488188976373</v>
      </c>
      <c r="Q1055" t="str">
        <f>Orders!D1055</f>
        <v>PROD-034</v>
      </c>
    </row>
    <row r="1056" spans="1:17" x14ac:dyDescent="0.3">
      <c r="A1056" t="str">
        <f>Orders!A1056</f>
        <v>ORD-01055</v>
      </c>
      <c r="B1056">
        <f>Orders!B1056</f>
        <v>45436</v>
      </c>
      <c r="C1056">
        <f>Orders!I1056</f>
        <v>27068.16</v>
      </c>
      <c r="D1056" t="str">
        <f>Orders!E1056</f>
        <v>R010</v>
      </c>
      <c r="E1056" t="str">
        <f>IFERROR(VLOOKUP(Orders!D1056,Products!$A$2:$C$61,3,FALSE),"Unknown")</f>
        <v>Beauty</v>
      </c>
      <c r="F1056" t="str">
        <f>IFERROR(VLOOKUP(Orders!C1056,Customers!$A$2:$E$301,5,FALSE),"Unknown")</f>
        <v>Corporate</v>
      </c>
      <c r="G1056">
        <f>IFERROR(VLOOKUP(Orders!C1056,Customers!$A$2:$C$301,3,FALSE),"")</f>
        <v>34</v>
      </c>
      <c r="H1056" t="str">
        <f>VLOOKUP(D1056,Sales_Reps!$A$2:$C$31,3,FALSE)</f>
        <v>South</v>
      </c>
      <c r="I1056" s="44">
        <f t="shared" si="35"/>
        <v>45413</v>
      </c>
      <c r="L1056" t="str">
        <f>Orders!K1056</f>
        <v>Chennai</v>
      </c>
      <c r="M1056">
        <f>Orders!G1056</f>
        <v>6080</v>
      </c>
      <c r="N1056">
        <f>IFERROR(VLOOKUP(Orders!D1056,Products!$A$2:$D$61,4,FALSE),"")</f>
        <v>2617</v>
      </c>
      <c r="O1056">
        <f t="shared" si="36"/>
        <v>0.56957236842105263</v>
      </c>
      <c r="Q1056" t="str">
        <f>Orders!D1056</f>
        <v>PROD-050</v>
      </c>
    </row>
    <row r="1057" spans="1:17" x14ac:dyDescent="0.3">
      <c r="A1057" t="str">
        <f>Orders!A1057</f>
        <v>ORD-01056</v>
      </c>
      <c r="B1057">
        <f>Orders!B1057</f>
        <v>45544</v>
      </c>
      <c r="C1057">
        <f>Orders!I1057</f>
        <v>5805.8</v>
      </c>
      <c r="D1057" t="str">
        <f>Orders!E1057</f>
        <v>R010</v>
      </c>
      <c r="E1057" t="str">
        <f>IFERROR(VLOOKUP(Orders!D1057,Products!$A$2:$C$61,3,FALSE),"Unknown")</f>
        <v>Beauty</v>
      </c>
      <c r="F1057" t="str">
        <f>IFERROR(VLOOKUP(Orders!C1057,Customers!$A$2:$E$301,5,FALSE),"Unknown")</f>
        <v>Retail</v>
      </c>
      <c r="G1057">
        <f>IFERROR(VLOOKUP(Orders!C1057,Customers!$A$2:$C$301,3,FALSE),"")</f>
        <v>38</v>
      </c>
      <c r="H1057" t="str">
        <f>VLOOKUP(D1057,Sales_Reps!$A$2:$C$31,3,FALSE)</f>
        <v>South</v>
      </c>
      <c r="I1057" s="44">
        <f t="shared" si="35"/>
        <v>45536</v>
      </c>
      <c r="L1057" t="str">
        <f>Orders!K1057</f>
        <v>Hyderabad</v>
      </c>
      <c r="M1057">
        <f>Orders!G1057</f>
        <v>1540</v>
      </c>
      <c r="N1057">
        <f>IFERROR(VLOOKUP(Orders!D1057,Products!$A$2:$D$61,4,FALSE),"")</f>
        <v>647</v>
      </c>
      <c r="O1057">
        <f t="shared" si="36"/>
        <v>0.57987012987012987</v>
      </c>
      <c r="Q1057" t="str">
        <f>Orders!D1057</f>
        <v>PROD-041</v>
      </c>
    </row>
    <row r="1058" spans="1:17" x14ac:dyDescent="0.3">
      <c r="A1058" t="str">
        <f>Orders!A1058</f>
        <v>ORD-01057</v>
      </c>
      <c r="B1058">
        <f>Orders!B1058</f>
        <v>45404</v>
      </c>
      <c r="C1058">
        <f>Orders!I1058</f>
        <v>3922.84</v>
      </c>
      <c r="D1058" t="str">
        <f>Orders!E1058</f>
        <v>R024</v>
      </c>
      <c r="E1058" t="str">
        <f>IFERROR(VLOOKUP(Orders!D1058,Products!$A$2:$C$61,3,FALSE),"Unknown")</f>
        <v>Sports</v>
      </c>
      <c r="F1058" t="str">
        <f>IFERROR(VLOOKUP(Orders!C1058,Customers!$A$2:$E$301,5,FALSE),"Unknown")</f>
        <v>Retail</v>
      </c>
      <c r="G1058">
        <f>IFERROR(VLOOKUP(Orders!C1058,Customers!$A$2:$C$301,3,FALSE),"")</f>
        <v>27</v>
      </c>
      <c r="H1058" t="str">
        <f>VLOOKUP(D1058,Sales_Reps!$A$2:$C$31,3,FALSE)</f>
        <v>West</v>
      </c>
      <c r="I1058" s="44">
        <f t="shared" si="35"/>
        <v>45383</v>
      </c>
      <c r="L1058" t="str">
        <f>Orders!K1058</f>
        <v>Bengaluru</v>
      </c>
      <c r="M1058">
        <f>Orders!G1058</f>
        <v>1010</v>
      </c>
      <c r="N1058">
        <f>IFERROR(VLOOKUP(Orders!D1058,Products!$A$2:$D$61,4,FALSE),"")</f>
        <v>516</v>
      </c>
      <c r="O1058">
        <f t="shared" si="36"/>
        <v>0.4891089108910891</v>
      </c>
      <c r="Q1058" t="str">
        <f>Orders!D1058</f>
        <v>PROD-054</v>
      </c>
    </row>
    <row r="1059" spans="1:17" x14ac:dyDescent="0.3">
      <c r="A1059" t="str">
        <f>Orders!A1059</f>
        <v>ORD-01058</v>
      </c>
      <c r="B1059">
        <f>Orders!B1059</f>
        <v>45586</v>
      </c>
      <c r="C1059">
        <f>Orders!I1059</f>
        <v>4252.8</v>
      </c>
      <c r="D1059" t="str">
        <f>Orders!E1059</f>
        <v>R026</v>
      </c>
      <c r="E1059" t="str">
        <f>IFERROR(VLOOKUP(Orders!D1059,Products!$A$2:$C$61,3,FALSE),"Unknown")</f>
        <v>Beauty</v>
      </c>
      <c r="F1059" t="str">
        <f>IFERROR(VLOOKUP(Orders!C1059,Customers!$A$2:$E$301,5,FALSE),"Unknown")</f>
        <v>SMB</v>
      </c>
      <c r="G1059">
        <f>IFERROR(VLOOKUP(Orders!C1059,Customers!$A$2:$C$301,3,FALSE),"")</f>
        <v>48</v>
      </c>
      <c r="H1059" t="str">
        <f>VLOOKUP(D1059,Sales_Reps!$A$2:$C$31,3,FALSE)</f>
        <v>West</v>
      </c>
      <c r="I1059" s="44">
        <f t="shared" si="35"/>
        <v>45566</v>
      </c>
      <c r="L1059" t="str">
        <f>Orders!K1059</f>
        <v>Delhi</v>
      </c>
      <c r="M1059">
        <f>Orders!G1059</f>
        <v>960</v>
      </c>
      <c r="N1059">
        <f>IFERROR(VLOOKUP(Orders!D1059,Products!$A$2:$D$61,4,FALSE),"")</f>
        <v>675</v>
      </c>
      <c r="O1059">
        <f t="shared" si="36"/>
        <v>0.296875</v>
      </c>
      <c r="Q1059" t="str">
        <f>Orders!D1059</f>
        <v>PROD-049</v>
      </c>
    </row>
    <row r="1060" spans="1:17" x14ac:dyDescent="0.3">
      <c r="A1060" t="str">
        <f>Orders!A1060</f>
        <v>ORD-01059</v>
      </c>
      <c r="B1060">
        <f>Orders!B1060</f>
        <v>45524</v>
      </c>
      <c r="C1060">
        <f>Orders!I1060</f>
        <v>1453.76</v>
      </c>
      <c r="D1060" t="str">
        <f>Orders!E1060</f>
        <v>R010</v>
      </c>
      <c r="E1060" t="str">
        <f>IFERROR(VLOOKUP(Orders!D1060,Products!$A$2:$C$61,3,FALSE),"Unknown")</f>
        <v>Beauty</v>
      </c>
      <c r="F1060" t="str">
        <f>IFERROR(VLOOKUP(Orders!C1060,Customers!$A$2:$E$301,5,FALSE),"Unknown")</f>
        <v>SMB</v>
      </c>
      <c r="G1060">
        <f>IFERROR(VLOOKUP(Orders!C1060,Customers!$A$2:$C$301,3,FALSE),"")</f>
        <v>64</v>
      </c>
      <c r="H1060" t="str">
        <f>VLOOKUP(D1060,Sales_Reps!$A$2:$C$31,3,FALSE)</f>
        <v>South</v>
      </c>
      <c r="I1060" s="44">
        <f t="shared" si="35"/>
        <v>45505</v>
      </c>
      <c r="L1060" t="str">
        <f>Orders!K1060</f>
        <v>Bengaluru</v>
      </c>
      <c r="M1060">
        <f>Orders!G1060</f>
        <v>1540</v>
      </c>
      <c r="N1060">
        <f>IFERROR(VLOOKUP(Orders!D1060,Products!$A$2:$D$61,4,FALSE),"")</f>
        <v>647</v>
      </c>
      <c r="O1060">
        <f t="shared" si="36"/>
        <v>0.57987012987012987</v>
      </c>
      <c r="Q1060" t="str">
        <f>Orders!D1060</f>
        <v>PROD-041</v>
      </c>
    </row>
    <row r="1061" spans="1:17" x14ac:dyDescent="0.3">
      <c r="A1061" t="str">
        <f>Orders!A1061</f>
        <v>ORD-01060</v>
      </c>
      <c r="B1061">
        <f>Orders!B1061</f>
        <v>45397</v>
      </c>
      <c r="C1061">
        <f>Orders!I1061</f>
        <v>29516.85</v>
      </c>
      <c r="D1061" t="str">
        <f>Orders!E1061</f>
        <v>R019</v>
      </c>
      <c r="E1061" t="str">
        <f>IFERROR(VLOOKUP(Orders!D1061,Products!$A$2:$C$61,3,FALSE),"Unknown")</f>
        <v>Beauty</v>
      </c>
      <c r="F1061" t="str">
        <f>IFERROR(VLOOKUP(Orders!C1061,Customers!$A$2:$E$301,5,FALSE),"Unknown")</f>
        <v>SMB</v>
      </c>
      <c r="G1061">
        <f>IFERROR(VLOOKUP(Orders!C1061,Customers!$A$2:$C$301,3,FALSE),"")</f>
        <v>45</v>
      </c>
      <c r="H1061" t="str">
        <f>VLOOKUP(D1061,Sales_Reps!$A$2:$C$31,3,FALSE)</f>
        <v>East</v>
      </c>
      <c r="I1061" s="44">
        <f t="shared" si="35"/>
        <v>45383</v>
      </c>
      <c r="L1061" t="str">
        <f>Orders!K1061</f>
        <v>Delhi</v>
      </c>
      <c r="M1061">
        <f>Orders!G1061</f>
        <v>3350</v>
      </c>
      <c r="N1061">
        <f>IFERROR(VLOOKUP(Orders!D1061,Products!$A$2:$D$61,4,FALSE),"")</f>
        <v>1728</v>
      </c>
      <c r="O1061">
        <f t="shared" si="36"/>
        <v>0.48417910447761192</v>
      </c>
      <c r="Q1061" t="str">
        <f>Orders!D1061</f>
        <v>PROD-043</v>
      </c>
    </row>
    <row r="1062" spans="1:17" x14ac:dyDescent="0.3">
      <c r="A1062" t="str">
        <f>Orders!A1062</f>
        <v>ORD-01061</v>
      </c>
      <c r="B1062">
        <f>Orders!B1062</f>
        <v>45336</v>
      </c>
      <c r="C1062">
        <f>Orders!I1062</f>
        <v>23014.95</v>
      </c>
      <c r="D1062" t="str">
        <f>Orders!E1062</f>
        <v>R021</v>
      </c>
      <c r="E1062" t="str">
        <f>IFERROR(VLOOKUP(Orders!D1062,Products!$A$2:$C$61,3,FALSE),"Unknown")</f>
        <v>Sports</v>
      </c>
      <c r="F1062" t="str">
        <f>IFERROR(VLOOKUP(Orders!C1062,Customers!$A$2:$E$301,5,FALSE),"Unknown")</f>
        <v>Retail</v>
      </c>
      <c r="G1062">
        <f>IFERROR(VLOOKUP(Orders!C1062,Customers!$A$2:$C$301,3,FALSE),"")</f>
        <v>31</v>
      </c>
      <c r="H1062" t="str">
        <f>VLOOKUP(D1062,Sales_Reps!$A$2:$C$31,3,FALSE)</f>
        <v>East</v>
      </c>
      <c r="I1062" s="44">
        <f t="shared" si="35"/>
        <v>45323</v>
      </c>
      <c r="L1062" t="str">
        <f>Orders!K1062</f>
        <v>Hyderabad</v>
      </c>
      <c r="M1062">
        <f>Orders!G1062</f>
        <v>3450</v>
      </c>
      <c r="N1062">
        <f>IFERROR(VLOOKUP(Orders!D1062,Products!$A$2:$D$61,4,FALSE),"")</f>
        <v>2467</v>
      </c>
      <c r="O1062">
        <f t="shared" si="36"/>
        <v>0.28492753623188405</v>
      </c>
      <c r="Q1062" t="str">
        <f>Orders!D1062</f>
        <v>PROD-051</v>
      </c>
    </row>
    <row r="1063" spans="1:17" x14ac:dyDescent="0.3">
      <c r="A1063" t="str">
        <f>Orders!A1063</f>
        <v>ORD-01062</v>
      </c>
      <c r="B1063">
        <f>Orders!B1063</f>
        <v>45594</v>
      </c>
      <c r="C1063">
        <f>Orders!I1063</f>
        <v>7881.6</v>
      </c>
      <c r="D1063" t="str">
        <f>Orders!E1063</f>
        <v>R019</v>
      </c>
      <c r="E1063" t="str">
        <f>IFERROR(VLOOKUP(Orders!D1063,Products!$A$2:$C$61,3,FALSE),"Unknown")</f>
        <v>Sports</v>
      </c>
      <c r="F1063" t="str">
        <f>IFERROR(VLOOKUP(Orders!C1063,Customers!$A$2:$E$301,5,FALSE),"Unknown")</f>
        <v>SMB</v>
      </c>
      <c r="G1063">
        <f>IFERROR(VLOOKUP(Orders!C1063,Customers!$A$2:$C$301,3,FALSE),"")</f>
        <v>43</v>
      </c>
      <c r="H1063" t="str">
        <f>VLOOKUP(D1063,Sales_Reps!$A$2:$C$31,3,FALSE)</f>
        <v>East</v>
      </c>
      <c r="I1063" s="44">
        <f t="shared" si="35"/>
        <v>45566</v>
      </c>
      <c r="L1063" t="str">
        <f>Orders!K1063</f>
        <v>Hyderabad</v>
      </c>
      <c r="M1063">
        <f>Orders!G1063</f>
        <v>960</v>
      </c>
      <c r="N1063">
        <f>IFERROR(VLOOKUP(Orders!D1063,Products!$A$2:$D$61,4,FALSE),"")</f>
        <v>705</v>
      </c>
      <c r="O1063">
        <f t="shared" si="36"/>
        <v>0.265625</v>
      </c>
      <c r="Q1063" t="str">
        <f>Orders!D1063</f>
        <v>PROD-057</v>
      </c>
    </row>
    <row r="1064" spans="1:17" x14ac:dyDescent="0.3">
      <c r="A1064" t="str">
        <f>Orders!A1064</f>
        <v>ORD-01063</v>
      </c>
      <c r="B1064">
        <f>Orders!B1064</f>
        <v>45617</v>
      </c>
      <c r="C1064">
        <f>Orders!I1064</f>
        <v>3319.68</v>
      </c>
      <c r="D1064" t="str">
        <f>Orders!E1064</f>
        <v>R014</v>
      </c>
      <c r="E1064" t="str">
        <f>IFERROR(VLOOKUP(Orders!D1064,Products!$A$2:$C$61,3,FALSE),"Unknown")</f>
        <v>Apparel</v>
      </c>
      <c r="F1064" t="str">
        <f>IFERROR(VLOOKUP(Orders!C1064,Customers!$A$2:$E$301,5,FALSE),"Unknown")</f>
        <v>Retail</v>
      </c>
      <c r="G1064">
        <f>IFERROR(VLOOKUP(Orders!C1064,Customers!$A$2:$C$301,3,FALSE),"")</f>
        <v>55</v>
      </c>
      <c r="H1064" t="str">
        <f>VLOOKUP(D1064,Sales_Reps!$A$2:$C$31,3,FALSE)</f>
        <v>South</v>
      </c>
      <c r="I1064" s="44">
        <f t="shared" si="35"/>
        <v>45597</v>
      </c>
      <c r="L1064" t="str">
        <f>Orders!K1064</f>
        <v>Bengaluru</v>
      </c>
      <c r="M1064">
        <f>Orders!G1064</f>
        <v>3640</v>
      </c>
      <c r="N1064">
        <f>IFERROR(VLOOKUP(Orders!D1064,Products!$A$2:$D$61,4,FALSE),"")</f>
        <v>2611</v>
      </c>
      <c r="O1064">
        <f t="shared" si="36"/>
        <v>0.28269230769230769</v>
      </c>
      <c r="Q1064" t="str">
        <f>Orders!D1064</f>
        <v>PROD-013</v>
      </c>
    </row>
    <row r="1065" spans="1:17" x14ac:dyDescent="0.3">
      <c r="A1065" t="str">
        <f>Orders!A1065</f>
        <v>ORD-01064</v>
      </c>
      <c r="B1065">
        <f>Orders!B1065</f>
        <v>45378</v>
      </c>
      <c r="C1065">
        <f>Orders!I1065</f>
        <v>1973.53</v>
      </c>
      <c r="D1065" t="str">
        <f>Orders!E1065</f>
        <v>R017</v>
      </c>
      <c r="E1065" t="str">
        <f>IFERROR(VLOOKUP(Orders!D1065,Products!$A$2:$C$61,3,FALSE),"Unknown")</f>
        <v>Grocery</v>
      </c>
      <c r="F1065" t="str">
        <f>IFERROR(VLOOKUP(Orders!C1065,Customers!$A$2:$E$301,5,FALSE),"Unknown")</f>
        <v>Retail</v>
      </c>
      <c r="G1065">
        <f>IFERROR(VLOOKUP(Orders!C1065,Customers!$A$2:$C$301,3,FALSE),"")</f>
        <v>27</v>
      </c>
      <c r="H1065" t="str">
        <f>VLOOKUP(D1065,Sales_Reps!$A$2:$C$31,3,FALSE)</f>
        <v>East</v>
      </c>
      <c r="I1065" s="44">
        <f t="shared" si="35"/>
        <v>45352</v>
      </c>
      <c r="L1065" t="str">
        <f>Orders!K1065</f>
        <v>Bengaluru</v>
      </c>
      <c r="M1065">
        <f>Orders!G1065</f>
        <v>2210</v>
      </c>
      <c r="N1065">
        <f>IFERROR(VLOOKUP(Orders!D1065,Products!$A$2:$D$61,4,FALSE),"")</f>
        <v>1010</v>
      </c>
      <c r="O1065">
        <f t="shared" si="36"/>
        <v>0.54298642533936647</v>
      </c>
      <c r="Q1065" t="str">
        <f>Orders!D1065</f>
        <v>PROD-029</v>
      </c>
    </row>
    <row r="1066" spans="1:17" x14ac:dyDescent="0.3">
      <c r="A1066" t="str">
        <f>Orders!A1066</f>
        <v>ORD-01065</v>
      </c>
      <c r="B1066">
        <f>Orders!B1066</f>
        <v>45318</v>
      </c>
      <c r="C1066">
        <f>Orders!I1066</f>
        <v>6423.06</v>
      </c>
      <c r="D1066" t="str">
        <f>Orders!E1066</f>
        <v>R005</v>
      </c>
      <c r="E1066" t="str">
        <f>IFERROR(VLOOKUP(Orders!D1066,Products!$A$2:$C$61,3,FALSE),"Unknown")</f>
        <v>Home</v>
      </c>
      <c r="F1066" t="str">
        <f>IFERROR(VLOOKUP(Orders!C1066,Customers!$A$2:$E$301,5,FALSE),"Unknown")</f>
        <v>Corporate</v>
      </c>
      <c r="G1066">
        <f>IFERROR(VLOOKUP(Orders!C1066,Customers!$A$2:$C$301,3,FALSE),"")</f>
        <v>46</v>
      </c>
      <c r="H1066" t="str">
        <f>VLOOKUP(D1066,Sales_Reps!$A$2:$C$31,3,FALSE)</f>
        <v>North</v>
      </c>
      <c r="I1066" s="44">
        <f t="shared" si="35"/>
        <v>45292</v>
      </c>
      <c r="L1066" t="str">
        <f>Orders!K1066</f>
        <v>Delhi</v>
      </c>
      <c r="M1066">
        <f>Orders!G1066</f>
        <v>3730</v>
      </c>
      <c r="N1066">
        <f>IFERROR(VLOOKUP(Orders!D1066,Products!$A$2:$D$61,4,FALSE),"")</f>
        <v>2135</v>
      </c>
      <c r="O1066">
        <f t="shared" si="36"/>
        <v>0.42761394101876676</v>
      </c>
      <c r="Q1066" t="str">
        <f>Orders!D1066</f>
        <v>PROD-031</v>
      </c>
    </row>
    <row r="1067" spans="1:17" x14ac:dyDescent="0.3">
      <c r="A1067" t="str">
        <f>Orders!A1067</f>
        <v>ORD-01066</v>
      </c>
      <c r="B1067">
        <f>Orders!B1067</f>
        <v>45542</v>
      </c>
      <c r="C1067">
        <f>Orders!I1067</f>
        <v>28932.68</v>
      </c>
      <c r="D1067" t="str">
        <f>Orders!E1067</f>
        <v>R010</v>
      </c>
      <c r="E1067" t="str">
        <f>IFERROR(VLOOKUP(Orders!D1067,Products!$A$2:$C$61,3,FALSE),"Unknown")</f>
        <v>Sports</v>
      </c>
      <c r="F1067" t="str">
        <f>IFERROR(VLOOKUP(Orders!C1067,Customers!$A$2:$E$301,5,FALSE),"Unknown")</f>
        <v>Corporate</v>
      </c>
      <c r="G1067">
        <f>IFERROR(VLOOKUP(Orders!C1067,Customers!$A$2:$C$301,3,FALSE),"")</f>
        <v>48</v>
      </c>
      <c r="H1067" t="str">
        <f>VLOOKUP(D1067,Sales_Reps!$A$2:$C$31,3,FALSE)</f>
        <v>South</v>
      </c>
      <c r="I1067" s="44">
        <f t="shared" si="35"/>
        <v>45536</v>
      </c>
      <c r="L1067" t="str">
        <f>Orders!K1067</f>
        <v>Pune</v>
      </c>
      <c r="M1067">
        <f>Orders!G1067</f>
        <v>5410</v>
      </c>
      <c r="N1067">
        <f>IFERROR(VLOOKUP(Orders!D1067,Products!$A$2:$D$61,4,FALSE),"")</f>
        <v>2265</v>
      </c>
      <c r="O1067">
        <f t="shared" si="36"/>
        <v>0.58133086876155271</v>
      </c>
      <c r="Q1067" t="str">
        <f>Orders!D1067</f>
        <v>PROD-052</v>
      </c>
    </row>
    <row r="1068" spans="1:17" x14ac:dyDescent="0.3">
      <c r="A1068" t="str">
        <f>Orders!A1068</f>
        <v>ORD-01067</v>
      </c>
      <c r="B1068">
        <f>Orders!B1068</f>
        <v>45618</v>
      </c>
      <c r="C1068">
        <f>Orders!I1068</f>
        <v>24210.9</v>
      </c>
      <c r="D1068" t="str">
        <f>Orders!E1068</f>
        <v>R018</v>
      </c>
      <c r="E1068" t="str">
        <f>IFERROR(VLOOKUP(Orders!D1068,Products!$A$2:$C$61,3,FALSE),"Unknown")</f>
        <v>Grocery</v>
      </c>
      <c r="F1068" t="str">
        <f>IFERROR(VLOOKUP(Orders!C1068,Customers!$A$2:$E$301,5,FALSE),"Unknown")</f>
        <v>Corporate</v>
      </c>
      <c r="G1068">
        <f>IFERROR(VLOOKUP(Orders!C1068,Customers!$A$2:$C$301,3,FALSE),"")</f>
        <v>62</v>
      </c>
      <c r="H1068" t="str">
        <f>VLOOKUP(D1068,Sales_Reps!$A$2:$C$31,3,FALSE)</f>
        <v>East</v>
      </c>
      <c r="I1068" s="44">
        <f t="shared" si="35"/>
        <v>45597</v>
      </c>
      <c r="L1068" t="str">
        <f>Orders!K1068</f>
        <v>Mumbai</v>
      </c>
      <c r="M1068">
        <f>Orders!G1068</f>
        <v>3780</v>
      </c>
      <c r="N1068">
        <f>IFERROR(VLOOKUP(Orders!D1068,Products!$A$2:$D$61,4,FALSE),"")</f>
        <v>2436</v>
      </c>
      <c r="O1068">
        <f t="shared" si="36"/>
        <v>0.35555555555555557</v>
      </c>
      <c r="Q1068" t="str">
        <f>Orders!D1068</f>
        <v>PROD-027</v>
      </c>
    </row>
    <row r="1069" spans="1:17" x14ac:dyDescent="0.3">
      <c r="A1069" t="str">
        <f>Orders!A1069</f>
        <v>ORD-01068</v>
      </c>
      <c r="B1069">
        <f>Orders!B1069</f>
        <v>45555</v>
      </c>
      <c r="C1069">
        <f>Orders!I1069</f>
        <v>30453.66</v>
      </c>
      <c r="D1069" t="str">
        <f>Orders!E1069</f>
        <v>R016</v>
      </c>
      <c r="E1069" t="str">
        <f>IFERROR(VLOOKUP(Orders!D1069,Products!$A$2:$C$61,3,FALSE),"Unknown")</f>
        <v>Home</v>
      </c>
      <c r="F1069" t="str">
        <f>IFERROR(VLOOKUP(Orders!C1069,Customers!$A$2:$E$301,5,FALSE),"Unknown")</f>
        <v>SMB</v>
      </c>
      <c r="G1069">
        <f>IFERROR(VLOOKUP(Orders!C1069,Customers!$A$2:$C$301,3,FALSE),"")</f>
        <v>55</v>
      </c>
      <c r="H1069" t="str">
        <f>VLOOKUP(D1069,Sales_Reps!$A$2:$C$31,3,FALSE)</f>
        <v>South</v>
      </c>
      <c r="I1069" s="44">
        <f t="shared" si="35"/>
        <v>45536</v>
      </c>
      <c r="L1069" t="str">
        <f>Orders!K1069</f>
        <v>Delhi</v>
      </c>
      <c r="M1069">
        <f>Orders!G1069</f>
        <v>4610</v>
      </c>
      <c r="N1069">
        <f>IFERROR(VLOOKUP(Orders!D1069,Products!$A$2:$D$61,4,FALSE),"")</f>
        <v>1850</v>
      </c>
      <c r="O1069">
        <f t="shared" si="36"/>
        <v>0.59869848156182215</v>
      </c>
      <c r="Q1069" t="str">
        <f>Orders!D1069</f>
        <v>PROD-039</v>
      </c>
    </row>
    <row r="1070" spans="1:17" x14ac:dyDescent="0.3">
      <c r="A1070" t="str">
        <f>Orders!A1070</f>
        <v>ORD-01069</v>
      </c>
      <c r="B1070">
        <f>Orders!B1070</f>
        <v>45373</v>
      </c>
      <c r="C1070">
        <f>Orders!I1070</f>
        <v>13002</v>
      </c>
      <c r="D1070" t="str">
        <f>Orders!E1070</f>
        <v>R025</v>
      </c>
      <c r="E1070" t="str">
        <f>IFERROR(VLOOKUP(Orders!D1070,Products!$A$2:$C$61,3,FALSE),"Unknown")</f>
        <v>Electronics</v>
      </c>
      <c r="F1070" t="str">
        <f>IFERROR(VLOOKUP(Orders!C1070,Customers!$A$2:$E$301,5,FALSE),"Unknown")</f>
        <v>Retail</v>
      </c>
      <c r="G1070">
        <f>IFERROR(VLOOKUP(Orders!C1070,Customers!$A$2:$C$301,3,FALSE),"")</f>
        <v>61</v>
      </c>
      <c r="H1070" t="str">
        <f>VLOOKUP(D1070,Sales_Reps!$A$2:$C$31,3,FALSE)</f>
        <v>West</v>
      </c>
      <c r="I1070" s="44">
        <f t="shared" si="35"/>
        <v>45352</v>
      </c>
      <c r="L1070" t="str">
        <f>Orders!K1070</f>
        <v>Chennai</v>
      </c>
      <c r="M1070">
        <f>Orders!G1070</f>
        <v>2640</v>
      </c>
      <c r="N1070">
        <f>IFERROR(VLOOKUP(Orders!D1070,Products!$A$2:$D$61,4,FALSE),"")</f>
        <v>1149</v>
      </c>
      <c r="O1070">
        <f t="shared" si="36"/>
        <v>0.56477272727272732</v>
      </c>
      <c r="Q1070" t="str">
        <f>Orders!D1070</f>
        <v>PROD-010</v>
      </c>
    </row>
    <row r="1071" spans="1:17" x14ac:dyDescent="0.3">
      <c r="A1071" t="str">
        <f>Orders!A1071</f>
        <v>ORD-01070</v>
      </c>
      <c r="B1071">
        <f>Orders!B1071</f>
        <v>45515</v>
      </c>
      <c r="C1071">
        <f>Orders!I1071</f>
        <v>10523.34</v>
      </c>
      <c r="D1071" t="str">
        <f>Orders!E1071</f>
        <v>R010</v>
      </c>
      <c r="E1071" t="str">
        <f>IFERROR(VLOOKUP(Orders!D1071,Products!$A$2:$C$61,3,FALSE),"Unknown")</f>
        <v>Apparel</v>
      </c>
      <c r="F1071" t="str">
        <f>IFERROR(VLOOKUP(Orders!C1071,Customers!$A$2:$E$301,5,FALSE),"Unknown")</f>
        <v>Retail</v>
      </c>
      <c r="G1071">
        <f>IFERROR(VLOOKUP(Orders!C1071,Customers!$A$2:$C$301,3,FALSE),"")</f>
        <v>53</v>
      </c>
      <c r="H1071" t="str">
        <f>VLOOKUP(D1071,Sales_Reps!$A$2:$C$31,3,FALSE)</f>
        <v>South</v>
      </c>
      <c r="I1071" s="44">
        <f t="shared" si="35"/>
        <v>45505</v>
      </c>
      <c r="L1071" t="str">
        <f>Orders!K1071</f>
        <v>Delhi</v>
      </c>
      <c r="M1071">
        <f>Orders!G1071</f>
        <v>3620</v>
      </c>
      <c r="N1071">
        <f>IFERROR(VLOOKUP(Orders!D1071,Products!$A$2:$D$61,4,FALSE),"")</f>
        <v>2509</v>
      </c>
      <c r="O1071">
        <f t="shared" si="36"/>
        <v>0.3069060773480663</v>
      </c>
      <c r="Q1071" t="str">
        <f>Orders!D1071</f>
        <v>PROD-014</v>
      </c>
    </row>
    <row r="1072" spans="1:17" x14ac:dyDescent="0.3">
      <c r="A1072" t="str">
        <f>Orders!A1072</f>
        <v>ORD-01071</v>
      </c>
      <c r="B1072">
        <f>Orders!B1072</f>
        <v>45530</v>
      </c>
      <c r="C1072">
        <f>Orders!I1072</f>
        <v>2100.9</v>
      </c>
      <c r="D1072" t="str">
        <f>Orders!E1072</f>
        <v>R018</v>
      </c>
      <c r="E1072" t="str">
        <f>IFERROR(VLOOKUP(Orders!D1072,Products!$A$2:$C$61,3,FALSE),"Unknown")</f>
        <v>Sports</v>
      </c>
      <c r="F1072" t="str">
        <f>IFERROR(VLOOKUP(Orders!C1072,Customers!$A$2:$E$301,5,FALSE),"Unknown")</f>
        <v>Retail</v>
      </c>
      <c r="G1072">
        <f>IFERROR(VLOOKUP(Orders!C1072,Customers!$A$2:$C$301,3,FALSE),"")</f>
        <v>63</v>
      </c>
      <c r="H1072" t="str">
        <f>VLOOKUP(D1072,Sales_Reps!$A$2:$C$31,3,FALSE)</f>
        <v>East</v>
      </c>
      <c r="I1072" s="44">
        <f t="shared" si="35"/>
        <v>45505</v>
      </c>
      <c r="L1072" t="str">
        <f>Orders!K1072</f>
        <v>Delhi</v>
      </c>
      <c r="M1072">
        <f>Orders!G1072</f>
        <v>470</v>
      </c>
      <c r="N1072">
        <f>IFERROR(VLOOKUP(Orders!D1072,Products!$A$2:$D$61,4,FALSE),"")</f>
        <v>302</v>
      </c>
      <c r="O1072">
        <f t="shared" si="36"/>
        <v>0.35744680851063831</v>
      </c>
      <c r="Q1072" t="str">
        <f>Orders!D1072</f>
        <v>PROD-053</v>
      </c>
    </row>
    <row r="1073" spans="1:17" x14ac:dyDescent="0.3">
      <c r="A1073" t="str">
        <f>Orders!A1073</f>
        <v>ORD-01072</v>
      </c>
      <c r="B1073">
        <f>Orders!B1073</f>
        <v>45463</v>
      </c>
      <c r="C1073">
        <f>Orders!I1073</f>
        <v>27982.5</v>
      </c>
      <c r="D1073" t="str">
        <f>Orders!E1073</f>
        <v>R009</v>
      </c>
      <c r="E1073" t="str">
        <f>IFERROR(VLOOKUP(Orders!D1073,Products!$A$2:$C$61,3,FALSE),"Unknown")</f>
        <v>Electronics</v>
      </c>
      <c r="F1073" t="str">
        <f>IFERROR(VLOOKUP(Orders!C1073,Customers!$A$2:$E$301,5,FALSE),"Unknown")</f>
        <v>Retail</v>
      </c>
      <c r="G1073">
        <f>IFERROR(VLOOKUP(Orders!C1073,Customers!$A$2:$C$301,3,FALSE),"")</f>
        <v>54</v>
      </c>
      <c r="H1073" t="str">
        <f>VLOOKUP(D1073,Sales_Reps!$A$2:$C$31,3,FALSE)</f>
        <v>South</v>
      </c>
      <c r="I1073" s="44">
        <f t="shared" si="35"/>
        <v>45444</v>
      </c>
      <c r="L1073" t="str">
        <f>Orders!K1073</f>
        <v>Delhi</v>
      </c>
      <c r="M1073">
        <f>Orders!G1073</f>
        <v>5330</v>
      </c>
      <c r="N1073">
        <f>IFERROR(VLOOKUP(Orders!D1073,Products!$A$2:$D$61,4,FALSE),"")</f>
        <v>2405</v>
      </c>
      <c r="O1073">
        <f t="shared" si="36"/>
        <v>0.54878048780487809</v>
      </c>
      <c r="Q1073" t="str">
        <f>Orders!D1073</f>
        <v>PROD-001</v>
      </c>
    </row>
    <row r="1074" spans="1:17" x14ac:dyDescent="0.3">
      <c r="A1074" t="str">
        <f>Orders!A1074</f>
        <v>ORD-01073</v>
      </c>
      <c r="B1074">
        <f>Orders!B1074</f>
        <v>45292</v>
      </c>
      <c r="C1074">
        <f>Orders!I1074</f>
        <v>4389.76</v>
      </c>
      <c r="D1074" t="str">
        <f>Orders!E1074</f>
        <v>R014</v>
      </c>
      <c r="E1074" t="str">
        <f>IFERROR(VLOOKUP(Orders!D1074,Products!$A$2:$C$61,3,FALSE),"Unknown")</f>
        <v>Beauty</v>
      </c>
      <c r="F1074" t="str">
        <f>IFERROR(VLOOKUP(Orders!C1074,Customers!$A$2:$E$301,5,FALSE),"Unknown")</f>
        <v>SMB</v>
      </c>
      <c r="G1074">
        <f>IFERROR(VLOOKUP(Orders!C1074,Customers!$A$2:$C$301,3,FALSE),"")</f>
        <v>39</v>
      </c>
      <c r="H1074" t="str">
        <f>VLOOKUP(D1074,Sales_Reps!$A$2:$C$31,3,FALSE)</f>
        <v>South</v>
      </c>
      <c r="I1074" s="44">
        <f t="shared" si="35"/>
        <v>45292</v>
      </c>
      <c r="L1074" t="str">
        <f>Orders!K1074</f>
        <v>Chennai</v>
      </c>
      <c r="M1074">
        <f>Orders!G1074</f>
        <v>6080</v>
      </c>
      <c r="N1074">
        <f>IFERROR(VLOOKUP(Orders!D1074,Products!$A$2:$D$61,4,FALSE),"")</f>
        <v>2617</v>
      </c>
      <c r="O1074">
        <f t="shared" si="36"/>
        <v>0.56957236842105263</v>
      </c>
      <c r="Q1074" t="str">
        <f>Orders!D1074</f>
        <v>PROD-050</v>
      </c>
    </row>
    <row r="1075" spans="1:17" x14ac:dyDescent="0.3">
      <c r="A1075" t="str">
        <f>Orders!A1075</f>
        <v>ORD-01074</v>
      </c>
      <c r="B1075">
        <f>Orders!B1075</f>
        <v>45347</v>
      </c>
      <c r="C1075">
        <f>Orders!I1075</f>
        <v>17688</v>
      </c>
      <c r="D1075" t="str">
        <f>Orders!E1075</f>
        <v>R024</v>
      </c>
      <c r="E1075" t="str">
        <f>IFERROR(VLOOKUP(Orders!D1075,Products!$A$2:$C$61,3,FALSE),"Unknown")</f>
        <v>Beauty</v>
      </c>
      <c r="F1075" t="str">
        <f>IFERROR(VLOOKUP(Orders!C1075,Customers!$A$2:$E$301,5,FALSE),"Unknown")</f>
        <v>SMB</v>
      </c>
      <c r="G1075">
        <f>IFERROR(VLOOKUP(Orders!C1075,Customers!$A$2:$C$301,3,FALSE),"")</f>
        <v>40</v>
      </c>
      <c r="H1075" t="str">
        <f>VLOOKUP(D1075,Sales_Reps!$A$2:$C$31,3,FALSE)</f>
        <v>West</v>
      </c>
      <c r="I1075" s="44">
        <f t="shared" si="35"/>
        <v>45323</v>
      </c>
      <c r="L1075" t="str">
        <f>Orders!K1075</f>
        <v>Hyderabad</v>
      </c>
      <c r="M1075">
        <f>Orders!G1075</f>
        <v>3350</v>
      </c>
      <c r="N1075">
        <f>IFERROR(VLOOKUP(Orders!D1075,Products!$A$2:$D$61,4,FALSE),"")</f>
        <v>1728</v>
      </c>
      <c r="O1075">
        <f t="shared" si="36"/>
        <v>0.48417910447761192</v>
      </c>
      <c r="Q1075" t="str">
        <f>Orders!D1075</f>
        <v>PROD-043</v>
      </c>
    </row>
    <row r="1076" spans="1:17" x14ac:dyDescent="0.3">
      <c r="A1076" t="str">
        <f>Orders!A1076</f>
        <v>ORD-01075</v>
      </c>
      <c r="B1076">
        <f>Orders!B1076</f>
        <v>45592</v>
      </c>
      <c r="C1076">
        <f>Orders!I1076</f>
        <v>33312</v>
      </c>
      <c r="D1076" t="str">
        <f>Orders!E1076</f>
        <v>R027</v>
      </c>
      <c r="E1076" t="str">
        <f>IFERROR(VLOOKUP(Orders!D1076,Products!$A$2:$C$61,3,FALSE),"Unknown")</f>
        <v>Sports</v>
      </c>
      <c r="F1076" t="str">
        <f>IFERROR(VLOOKUP(Orders!C1076,Customers!$A$2:$E$301,5,FALSE),"Unknown")</f>
        <v>Unknown</v>
      </c>
      <c r="G1076" t="str">
        <f>IFERROR(VLOOKUP(Orders!C1076,Customers!$A$2:$C$301,3,FALSE),"")</f>
        <v/>
      </c>
      <c r="H1076" t="str">
        <f>VLOOKUP(D1076,Sales_Reps!$A$2:$C$31,3,FALSE)</f>
        <v>West</v>
      </c>
      <c r="I1076" s="44">
        <f t="shared" si="35"/>
        <v>45566</v>
      </c>
      <c r="L1076" t="str">
        <f>Orders!K1076</f>
        <v>Chennai</v>
      </c>
      <c r="M1076">
        <f>Orders!G1076</f>
        <v>6940</v>
      </c>
      <c r="N1076">
        <f>IFERROR(VLOOKUP(Orders!D1076,Products!$A$2:$D$61,4,FALSE),"")</f>
        <v>2827</v>
      </c>
      <c r="O1076">
        <f t="shared" si="36"/>
        <v>0.5926512968299712</v>
      </c>
      <c r="Q1076" t="str">
        <f>Orders!D1076</f>
        <v>PROD-056</v>
      </c>
    </row>
    <row r="1077" spans="1:17" x14ac:dyDescent="0.3">
      <c r="A1077" t="str">
        <f>Orders!A1077</f>
        <v>ORD-01076</v>
      </c>
      <c r="B1077">
        <f>Orders!B1077</f>
        <v>45636</v>
      </c>
      <c r="C1077">
        <f>Orders!I1077</f>
        <v>333</v>
      </c>
      <c r="D1077" t="str">
        <f>Orders!E1077</f>
        <v>R007</v>
      </c>
      <c r="E1077" t="str">
        <f>IFERROR(VLOOKUP(Orders!D1077,Products!$A$2:$C$61,3,FALSE),"Unknown")</f>
        <v>Home</v>
      </c>
      <c r="F1077" t="str">
        <f>IFERROR(VLOOKUP(Orders!C1077,Customers!$A$2:$E$301,5,FALSE),"Unknown")</f>
        <v>Corporate</v>
      </c>
      <c r="G1077">
        <f>IFERROR(VLOOKUP(Orders!C1077,Customers!$A$2:$C$301,3,FALSE),"")</f>
        <v>46</v>
      </c>
      <c r="H1077" t="str">
        <f>VLOOKUP(D1077,Sales_Reps!$A$2:$C$31,3,FALSE)</f>
        <v>North</v>
      </c>
      <c r="I1077" s="44">
        <f t="shared" si="35"/>
        <v>45627</v>
      </c>
      <c r="L1077" t="str">
        <f>Orders!K1077</f>
        <v>Hyderabad</v>
      </c>
      <c r="M1077">
        <f>Orders!G1077</f>
        <v>370</v>
      </c>
      <c r="N1077">
        <f>IFERROR(VLOOKUP(Orders!D1077,Products!$A$2:$D$61,4,FALSE),"")</f>
        <v>288</v>
      </c>
      <c r="O1077">
        <f t="shared" si="36"/>
        <v>0.22162162162162163</v>
      </c>
      <c r="Q1077" t="str">
        <f>Orders!D1077</f>
        <v>PROD-032</v>
      </c>
    </row>
    <row r="1078" spans="1:17" x14ac:dyDescent="0.3">
      <c r="A1078" t="str">
        <f>Orders!A1078</f>
        <v>ORD-01077</v>
      </c>
      <c r="B1078">
        <f>Orders!B1078</f>
        <v>45432</v>
      </c>
      <c r="C1078">
        <f>Orders!I1078</f>
        <v>7916.58</v>
      </c>
      <c r="D1078" t="str">
        <f>Orders!E1078</f>
        <v>R020</v>
      </c>
      <c r="E1078" t="str">
        <f>IFERROR(VLOOKUP(Orders!D1078,Products!$A$2:$C$61,3,FALSE),"Unknown")</f>
        <v>Home</v>
      </c>
      <c r="F1078" t="str">
        <f>IFERROR(VLOOKUP(Orders!C1078,Customers!$A$2:$E$301,5,FALSE),"Unknown")</f>
        <v>SMB</v>
      </c>
      <c r="G1078">
        <f>IFERROR(VLOOKUP(Orders!C1078,Customers!$A$2:$C$301,3,FALSE),"")</f>
        <v>49</v>
      </c>
      <c r="H1078" t="str">
        <f>VLOOKUP(D1078,Sales_Reps!$A$2:$C$31,3,FALSE)</f>
        <v>East</v>
      </c>
      <c r="I1078" s="44">
        <f t="shared" si="35"/>
        <v>45413</v>
      </c>
      <c r="L1078" t="str">
        <f>Orders!K1078</f>
        <v>Bengaluru</v>
      </c>
      <c r="M1078">
        <f>Orders!G1078</f>
        <v>5490</v>
      </c>
      <c r="N1078">
        <f>IFERROR(VLOOKUP(Orders!D1078,Products!$A$2:$D$61,4,FALSE),"")</f>
        <v>2549</v>
      </c>
      <c r="O1078">
        <f t="shared" si="36"/>
        <v>0.53570127504553733</v>
      </c>
      <c r="Q1078" t="str">
        <f>Orders!D1078</f>
        <v>PROD-038</v>
      </c>
    </row>
    <row r="1079" spans="1:17" x14ac:dyDescent="0.3">
      <c r="A1079" t="str">
        <f>Orders!A1079</f>
        <v>ORD-01078</v>
      </c>
      <c r="B1079">
        <f>Orders!B1079</f>
        <v>45479</v>
      </c>
      <c r="C1079">
        <f>Orders!I1079</f>
        <v>17458.2</v>
      </c>
      <c r="D1079" t="str">
        <f>Orders!E1079</f>
        <v>R009</v>
      </c>
      <c r="E1079" t="str">
        <f>IFERROR(VLOOKUP(Orders!D1079,Products!$A$2:$C$61,3,FALSE),"Unknown")</f>
        <v>Grocery</v>
      </c>
      <c r="F1079" t="str">
        <f>IFERROR(VLOOKUP(Orders!C1079,Customers!$A$2:$E$301,5,FALSE),"Unknown")</f>
        <v>Retail</v>
      </c>
      <c r="G1079">
        <f>IFERROR(VLOOKUP(Orders!C1079,Customers!$A$2:$C$301,3,FALSE),"")</f>
        <v>33</v>
      </c>
      <c r="H1079" t="str">
        <f>VLOOKUP(D1079,Sales_Reps!$A$2:$C$31,3,FALSE)</f>
        <v>South</v>
      </c>
      <c r="I1079" s="44">
        <f t="shared" si="35"/>
        <v>45474</v>
      </c>
      <c r="L1079" t="str">
        <f>Orders!K1079</f>
        <v>Mumbai</v>
      </c>
      <c r="M1079">
        <f>Orders!G1079</f>
        <v>3660</v>
      </c>
      <c r="N1079">
        <f>IFERROR(VLOOKUP(Orders!D1079,Products!$A$2:$D$61,4,FALSE),"")</f>
        <v>2214</v>
      </c>
      <c r="O1079">
        <f t="shared" si="36"/>
        <v>0.39508196721311473</v>
      </c>
      <c r="Q1079" t="str">
        <f>Orders!D1079</f>
        <v>PROD-028</v>
      </c>
    </row>
    <row r="1080" spans="1:17" x14ac:dyDescent="0.3">
      <c r="A1080" t="str">
        <f>Orders!A1080</f>
        <v>ORD-01079</v>
      </c>
      <c r="B1080">
        <f>Orders!B1080</f>
        <v>45563</v>
      </c>
      <c r="C1080">
        <f>Orders!I1080</f>
        <v>1638</v>
      </c>
      <c r="D1080" t="str">
        <f>Orders!E1080</f>
        <v>R029</v>
      </c>
      <c r="E1080" t="str">
        <f>IFERROR(VLOOKUP(Orders!D1080,Products!$A$2:$C$61,3,FALSE),"Unknown")</f>
        <v>Electronics</v>
      </c>
      <c r="F1080" t="str">
        <f>IFERROR(VLOOKUP(Orders!C1080,Customers!$A$2:$E$301,5,FALSE),"Unknown")</f>
        <v>Retail</v>
      </c>
      <c r="G1080">
        <f>IFERROR(VLOOKUP(Orders!C1080,Customers!$A$2:$C$301,3,FALSE),"")</f>
        <v>50</v>
      </c>
      <c r="H1080" t="str">
        <f>VLOOKUP(D1080,Sales_Reps!$A$2:$C$31,3,FALSE)</f>
        <v>West</v>
      </c>
      <c r="I1080" s="44">
        <f t="shared" si="35"/>
        <v>45536</v>
      </c>
      <c r="L1080" t="str">
        <f>Orders!K1080</f>
        <v>Pune</v>
      </c>
      <c r="M1080">
        <f>Orders!G1080</f>
        <v>300</v>
      </c>
      <c r="N1080">
        <f>IFERROR(VLOOKUP(Orders!D1080,Products!$A$2:$D$61,4,FALSE),"")</f>
        <v>128</v>
      </c>
      <c r="O1080">
        <f t="shared" si="36"/>
        <v>0.57333333333333336</v>
      </c>
      <c r="Q1080" t="str">
        <f>Orders!D1080</f>
        <v>PROD-005</v>
      </c>
    </row>
    <row r="1081" spans="1:17" x14ac:dyDescent="0.3">
      <c r="A1081" t="str">
        <f>Orders!A1081</f>
        <v>ORD-01080</v>
      </c>
      <c r="B1081">
        <f>Orders!B1081</f>
        <v>45523</v>
      </c>
      <c r="C1081">
        <f>Orders!I1081</f>
        <v>727.2</v>
      </c>
      <c r="D1081" t="str">
        <f>Orders!E1081</f>
        <v>R012</v>
      </c>
      <c r="E1081" t="str">
        <f>IFERROR(VLOOKUP(Orders!D1081,Products!$A$2:$C$61,3,FALSE),"Unknown")</f>
        <v>Electronics</v>
      </c>
      <c r="F1081" t="str">
        <f>IFERROR(VLOOKUP(Orders!C1081,Customers!$A$2:$E$301,5,FALSE),"Unknown")</f>
        <v>Retail</v>
      </c>
      <c r="G1081">
        <f>IFERROR(VLOOKUP(Orders!C1081,Customers!$A$2:$C$301,3,FALSE),"")</f>
        <v>63</v>
      </c>
      <c r="H1081" t="str">
        <f>VLOOKUP(D1081,Sales_Reps!$A$2:$C$31,3,FALSE)</f>
        <v>South</v>
      </c>
      <c r="I1081" s="44">
        <f t="shared" si="35"/>
        <v>45505</v>
      </c>
      <c r="L1081" t="str">
        <f>Orders!K1081</f>
        <v>Pune</v>
      </c>
      <c r="M1081">
        <f>Orders!G1081</f>
        <v>300</v>
      </c>
      <c r="N1081">
        <f>IFERROR(VLOOKUP(Orders!D1081,Products!$A$2:$D$61,4,FALSE),"")</f>
        <v>128</v>
      </c>
      <c r="O1081">
        <f t="shared" si="36"/>
        <v>0.57333333333333336</v>
      </c>
      <c r="Q1081" t="str">
        <f>Orders!D1081</f>
        <v>PROD-005</v>
      </c>
    </row>
    <row r="1082" spans="1:17" x14ac:dyDescent="0.3">
      <c r="A1082" t="str">
        <f>Orders!A1082</f>
        <v>ORD-01081</v>
      </c>
      <c r="B1082">
        <f>Orders!B1082</f>
        <v>45537</v>
      </c>
      <c r="C1082">
        <f>Orders!I1082</f>
        <v>4072.32</v>
      </c>
      <c r="D1082" t="str">
        <f>Orders!E1082</f>
        <v>R014</v>
      </c>
      <c r="E1082" t="str">
        <f>IFERROR(VLOOKUP(Orders!D1082,Products!$A$2:$C$61,3,FALSE),"Unknown")</f>
        <v>Beauty</v>
      </c>
      <c r="F1082" t="str">
        <f>IFERROR(VLOOKUP(Orders!C1082,Customers!$A$2:$E$301,5,FALSE),"Unknown")</f>
        <v>Retail</v>
      </c>
      <c r="G1082">
        <f>IFERROR(VLOOKUP(Orders!C1082,Customers!$A$2:$C$301,3,FALSE),"")</f>
        <v>39</v>
      </c>
      <c r="H1082" t="str">
        <f>VLOOKUP(D1082,Sales_Reps!$A$2:$C$31,3,FALSE)</f>
        <v>South</v>
      </c>
      <c r="I1082" s="44">
        <f t="shared" si="35"/>
        <v>45536</v>
      </c>
      <c r="L1082" t="str">
        <f>Orders!K1082</f>
        <v>Chennai</v>
      </c>
      <c r="M1082">
        <f>Orders!G1082</f>
        <v>960</v>
      </c>
      <c r="N1082">
        <f>IFERROR(VLOOKUP(Orders!D1082,Products!$A$2:$D$61,4,FALSE),"")</f>
        <v>675</v>
      </c>
      <c r="O1082">
        <f t="shared" si="36"/>
        <v>0.296875</v>
      </c>
      <c r="Q1082" t="str">
        <f>Orders!D1082</f>
        <v>PROD-049</v>
      </c>
    </row>
    <row r="1083" spans="1:17" x14ac:dyDescent="0.3">
      <c r="A1083" t="str">
        <f>Orders!A1083</f>
        <v>ORD-01082</v>
      </c>
      <c r="B1083">
        <f>Orders!B1083</f>
        <v>45383</v>
      </c>
      <c r="C1083">
        <f>Orders!I1083</f>
        <v>1988.52</v>
      </c>
      <c r="D1083" t="str">
        <f>Orders!E1083</f>
        <v>R025</v>
      </c>
      <c r="E1083" t="str">
        <f>IFERROR(VLOOKUP(Orders!D1083,Products!$A$2:$C$61,3,FALSE),"Unknown")</f>
        <v>Grocery</v>
      </c>
      <c r="F1083" t="str">
        <f>IFERROR(VLOOKUP(Orders!C1083,Customers!$A$2:$E$301,5,FALSE),"Unknown")</f>
        <v>Retail</v>
      </c>
      <c r="G1083">
        <f>IFERROR(VLOOKUP(Orders!C1083,Customers!$A$2:$C$301,3,FALSE),"")</f>
        <v>41</v>
      </c>
      <c r="H1083" t="str">
        <f>VLOOKUP(D1083,Sales_Reps!$A$2:$C$31,3,FALSE)</f>
        <v>West</v>
      </c>
      <c r="I1083" s="44">
        <f t="shared" si="35"/>
        <v>45383</v>
      </c>
      <c r="L1083" t="str">
        <f>Orders!K1083</f>
        <v>Mumbai</v>
      </c>
      <c r="M1083">
        <f>Orders!G1083</f>
        <v>2270</v>
      </c>
      <c r="N1083">
        <f>IFERROR(VLOOKUP(Orders!D1083,Products!$A$2:$D$61,4,FALSE),"")</f>
        <v>1412</v>
      </c>
      <c r="O1083">
        <f t="shared" si="36"/>
        <v>0.37797356828193834</v>
      </c>
      <c r="Q1083" t="str">
        <f>Orders!D1083</f>
        <v>PROD-022</v>
      </c>
    </row>
    <row r="1084" spans="1:17" x14ac:dyDescent="0.3">
      <c r="A1084" t="str">
        <f>Orders!A1084</f>
        <v>ORD-01083</v>
      </c>
      <c r="B1084">
        <f>Orders!B1084</f>
        <v>45541</v>
      </c>
      <c r="C1084">
        <f>Orders!I1084</f>
        <v>19488</v>
      </c>
      <c r="D1084" t="str">
        <f>Orders!E1084</f>
        <v>R027</v>
      </c>
      <c r="E1084" t="str">
        <f>IFERROR(VLOOKUP(Orders!D1084,Products!$A$2:$C$61,3,FALSE),"Unknown")</f>
        <v>Home</v>
      </c>
      <c r="F1084" t="str">
        <f>IFERROR(VLOOKUP(Orders!C1084,Customers!$A$2:$E$301,5,FALSE),"Unknown")</f>
        <v>Corporate</v>
      </c>
      <c r="G1084">
        <f>IFERROR(VLOOKUP(Orders!C1084,Customers!$A$2:$C$301,3,FALSE),"")</f>
        <v>59</v>
      </c>
      <c r="H1084" t="str">
        <f>VLOOKUP(D1084,Sales_Reps!$A$2:$C$31,3,FALSE)</f>
        <v>West</v>
      </c>
      <c r="I1084" s="44">
        <f t="shared" si="35"/>
        <v>45536</v>
      </c>
      <c r="L1084" t="str">
        <f>Orders!K1084</f>
        <v>Bengaluru</v>
      </c>
      <c r="M1084">
        <f>Orders!G1084</f>
        <v>2030</v>
      </c>
      <c r="N1084">
        <f>IFERROR(VLOOKUP(Orders!D1084,Products!$A$2:$D$61,4,FALSE),"")</f>
        <v>1143</v>
      </c>
      <c r="O1084">
        <f t="shared" si="36"/>
        <v>0.43694581280788175</v>
      </c>
      <c r="Q1084" t="str">
        <f>Orders!D1084</f>
        <v>PROD-033</v>
      </c>
    </row>
    <row r="1085" spans="1:17" x14ac:dyDescent="0.3">
      <c r="A1085" t="str">
        <f>Orders!A1085</f>
        <v>ORD-01084</v>
      </c>
      <c r="B1085">
        <f>Orders!B1085</f>
        <v>45609</v>
      </c>
      <c r="C1085">
        <f>Orders!I1085</f>
        <v>7853.76</v>
      </c>
      <c r="D1085" t="str">
        <f>Orders!E1085</f>
        <v>R021</v>
      </c>
      <c r="E1085" t="str">
        <f>IFERROR(VLOOKUP(Orders!D1085,Products!$A$2:$C$61,3,FALSE),"Unknown")</f>
        <v>Home</v>
      </c>
      <c r="F1085" t="str">
        <f>IFERROR(VLOOKUP(Orders!C1085,Customers!$A$2:$E$301,5,FALSE),"Unknown")</f>
        <v>Retail</v>
      </c>
      <c r="G1085">
        <f>IFERROR(VLOOKUP(Orders!C1085,Customers!$A$2:$C$301,3,FALSE),"")</f>
        <v>37</v>
      </c>
      <c r="H1085" t="str">
        <f>VLOOKUP(D1085,Sales_Reps!$A$2:$C$31,3,FALSE)</f>
        <v>East</v>
      </c>
      <c r="I1085" s="44">
        <f t="shared" si="35"/>
        <v>45597</v>
      </c>
      <c r="L1085" t="str">
        <f>Orders!K1085</f>
        <v>Mumbai</v>
      </c>
      <c r="M1085">
        <f>Orders!G1085</f>
        <v>1080</v>
      </c>
      <c r="N1085">
        <f>IFERROR(VLOOKUP(Orders!D1085,Products!$A$2:$D$61,4,FALSE),"")</f>
        <v>519</v>
      </c>
      <c r="O1085">
        <f t="shared" si="36"/>
        <v>0.51944444444444449</v>
      </c>
      <c r="Q1085" t="str">
        <f>Orders!D1085</f>
        <v>PROD-040</v>
      </c>
    </row>
    <row r="1086" spans="1:17" x14ac:dyDescent="0.3">
      <c r="A1086" t="str">
        <f>Orders!A1086</f>
        <v>ORD-01085</v>
      </c>
      <c r="B1086">
        <f>Orders!B1086</f>
        <v>45463</v>
      </c>
      <c r="C1086">
        <f>Orders!I1086</f>
        <v>10725</v>
      </c>
      <c r="D1086" t="str">
        <f>Orders!E1086</f>
        <v>R025</v>
      </c>
      <c r="E1086" t="str">
        <f>IFERROR(VLOOKUP(Orders!D1086,Products!$A$2:$C$61,3,FALSE),"Unknown")</f>
        <v>Sports</v>
      </c>
      <c r="F1086" t="str">
        <f>IFERROR(VLOOKUP(Orders!C1086,Customers!$A$2:$E$301,5,FALSE),"Unknown")</f>
        <v>Retail</v>
      </c>
      <c r="G1086">
        <f>IFERROR(VLOOKUP(Orders!C1086,Customers!$A$2:$C$301,3,FALSE),"")</f>
        <v>50</v>
      </c>
      <c r="H1086" t="str">
        <f>VLOOKUP(D1086,Sales_Reps!$A$2:$C$31,3,FALSE)</f>
        <v>West</v>
      </c>
      <c r="I1086" s="44">
        <f t="shared" si="35"/>
        <v>45444</v>
      </c>
      <c r="L1086" t="str">
        <f>Orders!K1086</f>
        <v>Pune</v>
      </c>
      <c r="M1086">
        <f>Orders!G1086</f>
        <v>2860</v>
      </c>
      <c r="N1086">
        <f>IFERROR(VLOOKUP(Orders!D1086,Products!$A$2:$D$61,4,FALSE),"")</f>
        <v>2028</v>
      </c>
      <c r="O1086">
        <f t="shared" si="36"/>
        <v>0.29090909090909089</v>
      </c>
      <c r="Q1086" t="str">
        <f>Orders!D1086</f>
        <v>PROD-055</v>
      </c>
    </row>
    <row r="1087" spans="1:17" x14ac:dyDescent="0.3">
      <c r="A1087" t="str">
        <f>Orders!A1087</f>
        <v>ORD-01086</v>
      </c>
      <c r="B1087">
        <f>Orders!B1087</f>
        <v>45588</v>
      </c>
      <c r="C1087">
        <f>Orders!I1087</f>
        <v>12353.34</v>
      </c>
      <c r="D1087" t="str">
        <f>Orders!E1087</f>
        <v>R012</v>
      </c>
      <c r="E1087" t="str">
        <f>IFERROR(VLOOKUP(Orders!D1087,Products!$A$2:$C$61,3,FALSE),"Unknown")</f>
        <v>Grocery</v>
      </c>
      <c r="F1087" t="str">
        <f>IFERROR(VLOOKUP(Orders!C1087,Customers!$A$2:$E$301,5,FALSE),"Unknown")</f>
        <v>Corporate</v>
      </c>
      <c r="G1087">
        <f>IFERROR(VLOOKUP(Orders!C1087,Customers!$A$2:$C$301,3,FALSE),"")</f>
        <v>46</v>
      </c>
      <c r="H1087" t="str">
        <f>VLOOKUP(D1087,Sales_Reps!$A$2:$C$31,3,FALSE)</f>
        <v>South</v>
      </c>
      <c r="I1087" s="44">
        <f t="shared" si="35"/>
        <v>45566</v>
      </c>
      <c r="L1087" t="str">
        <f>Orders!K1087</f>
        <v>Delhi</v>
      </c>
      <c r="M1087">
        <f>Orders!G1087</f>
        <v>2270</v>
      </c>
      <c r="N1087">
        <f>IFERROR(VLOOKUP(Orders!D1087,Products!$A$2:$D$61,4,FALSE),"")</f>
        <v>1203</v>
      </c>
      <c r="O1087">
        <f t="shared" si="36"/>
        <v>0.47004405286343615</v>
      </c>
      <c r="Q1087" t="str">
        <f>Orders!D1087</f>
        <v>PROD-024</v>
      </c>
    </row>
    <row r="1088" spans="1:17" x14ac:dyDescent="0.3">
      <c r="A1088" t="str">
        <f>Orders!A1088</f>
        <v>ORD-01087</v>
      </c>
      <c r="B1088">
        <f>Orders!B1088</f>
        <v>45328</v>
      </c>
      <c r="C1088">
        <f>Orders!I1088</f>
        <v>2306.56</v>
      </c>
      <c r="D1088" t="str">
        <f>Orders!E1088</f>
        <v>R024</v>
      </c>
      <c r="E1088" t="str">
        <f>IFERROR(VLOOKUP(Orders!D1088,Products!$A$2:$C$61,3,FALSE),"Unknown")</f>
        <v>Apparel</v>
      </c>
      <c r="F1088" t="str">
        <f>IFERROR(VLOOKUP(Orders!C1088,Customers!$A$2:$E$301,5,FALSE),"Unknown")</f>
        <v>Retail</v>
      </c>
      <c r="G1088">
        <f>IFERROR(VLOOKUP(Orders!C1088,Customers!$A$2:$C$301,3,FALSE),"")</f>
        <v>49</v>
      </c>
      <c r="H1088" t="str">
        <f>VLOOKUP(D1088,Sales_Reps!$A$2:$C$31,3,FALSE)</f>
        <v>West</v>
      </c>
      <c r="I1088" s="44">
        <f t="shared" si="35"/>
        <v>45323</v>
      </c>
      <c r="L1088" t="str">
        <f>Orders!K1088</f>
        <v>Delhi</v>
      </c>
      <c r="M1088">
        <f>Orders!G1088</f>
        <v>2720</v>
      </c>
      <c r="N1088">
        <f>IFERROR(VLOOKUP(Orders!D1088,Products!$A$2:$D$61,4,FALSE),"")</f>
        <v>1962</v>
      </c>
      <c r="O1088">
        <f t="shared" si="36"/>
        <v>0.2786764705882353</v>
      </c>
      <c r="Q1088" t="str">
        <f>Orders!D1088</f>
        <v>PROD-015</v>
      </c>
    </row>
    <row r="1089" spans="1:17" x14ac:dyDescent="0.3">
      <c r="A1089" t="str">
        <f>Orders!A1089</f>
        <v>ORD-01088</v>
      </c>
      <c r="B1089">
        <f>Orders!B1089</f>
        <v>45638</v>
      </c>
      <c r="C1089">
        <f>Orders!I1089</f>
        <v>36803.699999999997</v>
      </c>
      <c r="D1089" t="str">
        <f>Orders!E1089</f>
        <v>R005</v>
      </c>
      <c r="E1089" t="str">
        <f>IFERROR(VLOOKUP(Orders!D1089,Products!$A$2:$C$61,3,FALSE),"Unknown")</f>
        <v>Electronics</v>
      </c>
      <c r="F1089" t="str">
        <f>IFERROR(VLOOKUP(Orders!C1089,Customers!$A$2:$E$301,5,FALSE),"Unknown")</f>
        <v>Corporate</v>
      </c>
      <c r="G1089">
        <f>IFERROR(VLOOKUP(Orders!C1089,Customers!$A$2:$C$301,3,FALSE),"")</f>
        <v>55</v>
      </c>
      <c r="H1089" t="str">
        <f>VLOOKUP(D1089,Sales_Reps!$A$2:$C$31,3,FALSE)</f>
        <v>North</v>
      </c>
      <c r="I1089" s="44">
        <f t="shared" si="35"/>
        <v>45627</v>
      </c>
      <c r="L1089" t="str">
        <f>Orders!K1089</f>
        <v>Bengaluru</v>
      </c>
      <c r="M1089">
        <f>Orders!G1089</f>
        <v>3870</v>
      </c>
      <c r="N1089">
        <f>IFERROR(VLOOKUP(Orders!D1089,Products!$A$2:$D$61,4,FALSE),"")</f>
        <v>1559</v>
      </c>
      <c r="O1089">
        <f t="shared" si="36"/>
        <v>0.59715762273901807</v>
      </c>
      <c r="Q1089" t="str">
        <f>Orders!D1089</f>
        <v>PROD-004</v>
      </c>
    </row>
    <row r="1090" spans="1:17" x14ac:dyDescent="0.3">
      <c r="A1090" t="str">
        <f>Orders!A1090</f>
        <v>ORD-01089</v>
      </c>
      <c r="B1090">
        <f>Orders!B1090</f>
        <v>45332</v>
      </c>
      <c r="C1090">
        <f>Orders!I1090</f>
        <v>21914.400000000001</v>
      </c>
      <c r="D1090" t="str">
        <f>Orders!E1090</f>
        <v>R019</v>
      </c>
      <c r="E1090" t="str">
        <f>IFERROR(VLOOKUP(Orders!D1090,Products!$A$2:$C$61,3,FALSE),"Unknown")</f>
        <v>Apparel</v>
      </c>
      <c r="F1090" t="str">
        <f>IFERROR(VLOOKUP(Orders!C1090,Customers!$A$2:$E$301,5,FALSE),"Unknown")</f>
        <v>Corporate</v>
      </c>
      <c r="G1090">
        <f>IFERROR(VLOOKUP(Orders!C1090,Customers!$A$2:$C$301,3,FALSE),"")</f>
        <v>60</v>
      </c>
      <c r="H1090" t="str">
        <f>VLOOKUP(D1090,Sales_Reps!$A$2:$C$31,3,FALSE)</f>
        <v>East</v>
      </c>
      <c r="I1090" s="44">
        <f t="shared" si="35"/>
        <v>45323</v>
      </c>
      <c r="L1090" t="str">
        <f>Orders!K1090</f>
        <v>Hyderabad</v>
      </c>
      <c r="M1090">
        <f>Orders!G1090</f>
        <v>3450</v>
      </c>
      <c r="N1090">
        <f>IFERROR(VLOOKUP(Orders!D1090,Products!$A$2:$D$61,4,FALSE),"")</f>
        <v>1748</v>
      </c>
      <c r="O1090">
        <f t="shared" si="36"/>
        <v>0.49333333333333335</v>
      </c>
      <c r="Q1090" t="str">
        <f>Orders!D1090</f>
        <v>PROD-011</v>
      </c>
    </row>
    <row r="1091" spans="1:17" x14ac:dyDescent="0.3">
      <c r="A1091" t="str">
        <f>Orders!A1091</f>
        <v>ORD-01090</v>
      </c>
      <c r="B1091">
        <f>Orders!B1091</f>
        <v>45406</v>
      </c>
      <c r="C1091">
        <f>Orders!I1091</f>
        <v>444.62</v>
      </c>
      <c r="D1091" t="str">
        <f>Orders!E1091</f>
        <v>R002</v>
      </c>
      <c r="E1091" t="str">
        <f>IFERROR(VLOOKUP(Orders!D1091,Products!$A$2:$C$61,3,FALSE),"Unknown")</f>
        <v>Sports</v>
      </c>
      <c r="F1091" t="str">
        <f>IFERROR(VLOOKUP(Orders!C1091,Customers!$A$2:$E$301,5,FALSE),"Unknown")</f>
        <v>Retail</v>
      </c>
      <c r="G1091">
        <f>IFERROR(VLOOKUP(Orders!C1091,Customers!$A$2:$C$301,3,FALSE),"")</f>
        <v>40</v>
      </c>
      <c r="H1091" t="str">
        <f>VLOOKUP(D1091,Sales_Reps!$A$2:$C$31,3,FALSE)</f>
        <v>North</v>
      </c>
      <c r="I1091" s="44">
        <f t="shared" ref="I1091:I1154" si="37">DATE(YEAR(B1091),MONTH(B1091),1)</f>
        <v>45383</v>
      </c>
      <c r="L1091" t="str">
        <f>Orders!K1091</f>
        <v>Mumbai</v>
      </c>
      <c r="M1091">
        <f>Orders!G1091</f>
        <v>470</v>
      </c>
      <c r="N1091">
        <f>IFERROR(VLOOKUP(Orders!D1091,Products!$A$2:$D$61,4,FALSE),"")</f>
        <v>302</v>
      </c>
      <c r="O1091">
        <f t="shared" ref="O1091:O1154" si="38">IF(OR(N1091="",M1091&lt;=0),"",(M1091-N1091)/M1091)</f>
        <v>0.35744680851063831</v>
      </c>
      <c r="Q1091" t="str">
        <f>Orders!D1091</f>
        <v>PROD-053</v>
      </c>
    </row>
    <row r="1092" spans="1:17" x14ac:dyDescent="0.3">
      <c r="A1092" t="str">
        <f>Orders!A1092</f>
        <v>ORD-01091</v>
      </c>
      <c r="B1092">
        <f>Orders!B1092</f>
        <v>45405</v>
      </c>
      <c r="C1092">
        <f>Orders!I1092</f>
        <v>18698.7</v>
      </c>
      <c r="D1092" t="str">
        <f>Orders!E1092</f>
        <v>R009</v>
      </c>
      <c r="E1092" t="str">
        <f>IFERROR(VLOOKUP(Orders!D1092,Products!$A$2:$C$61,3,FALSE),"Unknown")</f>
        <v>Electronics</v>
      </c>
      <c r="F1092" t="str">
        <f>IFERROR(VLOOKUP(Orders!C1092,Customers!$A$2:$E$301,5,FALSE),"Unknown")</f>
        <v>Retail</v>
      </c>
      <c r="G1092">
        <f>IFERROR(VLOOKUP(Orders!C1092,Customers!$A$2:$C$301,3,FALSE),"")</f>
        <v>28</v>
      </c>
      <c r="H1092" t="str">
        <f>VLOOKUP(D1092,Sales_Reps!$A$2:$C$31,3,FALSE)</f>
        <v>South</v>
      </c>
      <c r="I1092" s="44">
        <f t="shared" si="37"/>
        <v>45383</v>
      </c>
      <c r="L1092" t="str">
        <f>Orders!K1092</f>
        <v>Hyderabad</v>
      </c>
      <c r="M1092">
        <f>Orders!G1092</f>
        <v>3970</v>
      </c>
      <c r="N1092">
        <f>IFERROR(VLOOKUP(Orders!D1092,Products!$A$2:$D$61,4,FALSE),"")</f>
        <v>2865</v>
      </c>
      <c r="O1092">
        <f t="shared" si="38"/>
        <v>0.27833753148614609</v>
      </c>
      <c r="Q1092" t="str">
        <f>Orders!D1092</f>
        <v>PROD-006</v>
      </c>
    </row>
    <row r="1093" spans="1:17" x14ac:dyDescent="0.3">
      <c r="A1093" t="str">
        <f>Orders!A1093</f>
        <v>ORD-01092</v>
      </c>
      <c r="B1093">
        <f>Orders!B1093</f>
        <v>45469</v>
      </c>
      <c r="C1093">
        <f>Orders!I1093</f>
        <v>8170.2</v>
      </c>
      <c r="D1093" t="str">
        <f>Orders!E1093</f>
        <v>R012</v>
      </c>
      <c r="E1093" t="str">
        <f>IFERROR(VLOOKUP(Orders!D1093,Products!$A$2:$C$61,3,FALSE),"Unknown")</f>
        <v>Beauty</v>
      </c>
      <c r="F1093" t="str">
        <f>IFERROR(VLOOKUP(Orders!C1093,Customers!$A$2:$E$301,5,FALSE),"Unknown")</f>
        <v>SMB</v>
      </c>
      <c r="G1093">
        <f>IFERROR(VLOOKUP(Orders!C1093,Customers!$A$2:$C$301,3,FALSE),"")</f>
        <v>44</v>
      </c>
      <c r="H1093" t="str">
        <f>VLOOKUP(D1093,Sales_Reps!$A$2:$C$31,3,FALSE)</f>
        <v>South</v>
      </c>
      <c r="I1093" s="44">
        <f t="shared" si="37"/>
        <v>45444</v>
      </c>
      <c r="L1093" t="str">
        <f>Orders!K1093</f>
        <v>Bengaluru</v>
      </c>
      <c r="M1093">
        <f>Orders!G1093</f>
        <v>5100</v>
      </c>
      <c r="N1093">
        <f>IFERROR(VLOOKUP(Orders!D1093,Products!$A$2:$D$61,4,FALSE),"")</f>
        <v>2237</v>
      </c>
      <c r="O1093">
        <f t="shared" si="38"/>
        <v>0.56137254901960787</v>
      </c>
      <c r="Q1093" t="str">
        <f>Orders!D1093</f>
        <v>PROD-048</v>
      </c>
    </row>
    <row r="1094" spans="1:17" x14ac:dyDescent="0.3">
      <c r="A1094" t="str">
        <f>Orders!A1094</f>
        <v>ORD-01093</v>
      </c>
      <c r="B1094">
        <f>Orders!B1094</f>
        <v>45656</v>
      </c>
      <c r="C1094">
        <f>Orders!I1094</f>
        <v>18009</v>
      </c>
      <c r="D1094" t="str">
        <f>Orders!E1094</f>
        <v>R001</v>
      </c>
      <c r="E1094" t="str">
        <f>IFERROR(VLOOKUP(Orders!D1094,Products!$A$2:$C$61,3,FALSE),"Unknown")</f>
        <v>Beauty</v>
      </c>
      <c r="F1094" t="str">
        <f>IFERROR(VLOOKUP(Orders!C1094,Customers!$A$2:$E$301,5,FALSE),"Unknown")</f>
        <v>Retail</v>
      </c>
      <c r="G1094">
        <f>IFERROR(VLOOKUP(Orders!C1094,Customers!$A$2:$C$301,3,FALSE),"")</f>
        <v>57</v>
      </c>
      <c r="H1094" t="str">
        <f>VLOOKUP(D1094,Sales_Reps!$A$2:$C$31,3,FALSE)</f>
        <v>North</v>
      </c>
      <c r="I1094" s="44">
        <f t="shared" si="37"/>
        <v>45627</v>
      </c>
      <c r="L1094" t="str">
        <f>Orders!K1094</f>
        <v>Pune</v>
      </c>
      <c r="M1094">
        <f>Orders!G1094</f>
        <v>3450</v>
      </c>
      <c r="N1094">
        <f>IFERROR(VLOOKUP(Orders!D1094,Products!$A$2:$D$61,4,FALSE),"")</f>
        <v>2420</v>
      </c>
      <c r="O1094">
        <f t="shared" si="38"/>
        <v>0.29855072463768118</v>
      </c>
      <c r="Q1094" t="str">
        <f>Orders!D1094</f>
        <v>PROD-047</v>
      </c>
    </row>
    <row r="1095" spans="1:17" x14ac:dyDescent="0.3">
      <c r="A1095" t="str">
        <f>Orders!A1095</f>
        <v>ORD-01094</v>
      </c>
      <c r="B1095">
        <f>Orders!B1095</f>
        <v>45653</v>
      </c>
      <c r="C1095">
        <f>Orders!I1095</f>
        <v>28366.65</v>
      </c>
      <c r="D1095" t="str">
        <f>Orders!E1095</f>
        <v>R012</v>
      </c>
      <c r="E1095" t="str">
        <f>IFERROR(VLOOKUP(Orders!D1095,Products!$A$2:$C$61,3,FALSE),"Unknown")</f>
        <v>Home</v>
      </c>
      <c r="F1095" t="str">
        <f>IFERROR(VLOOKUP(Orders!C1095,Customers!$A$2:$E$301,5,FALSE),"Unknown")</f>
        <v>Retail</v>
      </c>
      <c r="G1095">
        <f>IFERROR(VLOOKUP(Orders!C1095,Customers!$A$2:$C$301,3,FALSE),"")</f>
        <v>26</v>
      </c>
      <c r="H1095" t="str">
        <f>VLOOKUP(D1095,Sales_Reps!$A$2:$C$31,3,FALSE)</f>
        <v>South</v>
      </c>
      <c r="I1095" s="44">
        <f t="shared" si="37"/>
        <v>45627</v>
      </c>
      <c r="L1095" t="str">
        <f>Orders!K1095</f>
        <v>Chennai</v>
      </c>
      <c r="M1095">
        <f>Orders!G1095</f>
        <v>3730</v>
      </c>
      <c r="N1095">
        <f>IFERROR(VLOOKUP(Orders!D1095,Products!$A$2:$D$61,4,FALSE),"")</f>
        <v>2135</v>
      </c>
      <c r="O1095">
        <f t="shared" si="38"/>
        <v>0.42761394101876676</v>
      </c>
      <c r="Q1095" t="str">
        <f>Orders!D1095</f>
        <v>PROD-031</v>
      </c>
    </row>
    <row r="1096" spans="1:17" x14ac:dyDescent="0.3">
      <c r="A1096" t="str">
        <f>Orders!A1096</f>
        <v>ORD-01095</v>
      </c>
      <c r="B1096">
        <f>Orders!B1096</f>
        <v>45440</v>
      </c>
      <c r="C1096">
        <f>Orders!I1096</f>
        <v>4353.6000000000004</v>
      </c>
      <c r="D1096" t="str">
        <f>Orders!E1096</f>
        <v>R020</v>
      </c>
      <c r="E1096" t="str">
        <f>IFERROR(VLOOKUP(Orders!D1096,Products!$A$2:$C$61,3,FALSE),"Unknown")</f>
        <v>Beauty</v>
      </c>
      <c r="F1096" t="str">
        <f>IFERROR(VLOOKUP(Orders!C1096,Customers!$A$2:$E$301,5,FALSE),"Unknown")</f>
        <v>Corporate</v>
      </c>
      <c r="G1096">
        <f>IFERROR(VLOOKUP(Orders!C1096,Customers!$A$2:$C$301,3,FALSE),"")</f>
        <v>60</v>
      </c>
      <c r="H1096" t="str">
        <f>VLOOKUP(D1096,Sales_Reps!$A$2:$C$31,3,FALSE)</f>
        <v>East</v>
      </c>
      <c r="I1096" s="44">
        <f t="shared" si="37"/>
        <v>45413</v>
      </c>
      <c r="L1096" t="str">
        <f>Orders!K1096</f>
        <v>Hyderabad</v>
      </c>
      <c r="M1096">
        <f>Orders!G1096</f>
        <v>960</v>
      </c>
      <c r="N1096">
        <f>IFERROR(VLOOKUP(Orders!D1096,Products!$A$2:$D$61,4,FALSE),"")</f>
        <v>675</v>
      </c>
      <c r="O1096">
        <f t="shared" si="38"/>
        <v>0.296875</v>
      </c>
      <c r="Q1096" t="str">
        <f>Orders!D1096</f>
        <v>PROD-049</v>
      </c>
    </row>
    <row r="1097" spans="1:17" x14ac:dyDescent="0.3">
      <c r="A1097" t="str">
        <f>Orders!A1097</f>
        <v>ORD-01096</v>
      </c>
      <c r="B1097">
        <f>Orders!B1097</f>
        <v>45511</v>
      </c>
      <c r="C1097">
        <f>Orders!I1097</f>
        <v>12588.24</v>
      </c>
      <c r="D1097" t="str">
        <f>Orders!E1097</f>
        <v>R008</v>
      </c>
      <c r="E1097" t="str">
        <f>IFERROR(VLOOKUP(Orders!D1097,Products!$A$2:$C$61,3,FALSE),"Unknown")</f>
        <v>Home</v>
      </c>
      <c r="F1097" t="str">
        <f>IFERROR(VLOOKUP(Orders!C1097,Customers!$A$2:$E$301,5,FALSE),"Unknown")</f>
        <v>SMB</v>
      </c>
      <c r="G1097">
        <f>IFERROR(VLOOKUP(Orders!C1097,Customers!$A$2:$C$301,3,FALSE),"")</f>
        <v>29</v>
      </c>
      <c r="H1097" t="str">
        <f>VLOOKUP(D1097,Sales_Reps!$A$2:$C$31,3,FALSE)</f>
        <v>North</v>
      </c>
      <c r="I1097" s="44">
        <f t="shared" si="37"/>
        <v>45505</v>
      </c>
      <c r="L1097" t="str">
        <f>Orders!K1097</f>
        <v>Delhi</v>
      </c>
      <c r="M1097">
        <f>Orders!G1097</f>
        <v>5080</v>
      </c>
      <c r="N1097">
        <f>IFERROR(VLOOKUP(Orders!D1097,Products!$A$2:$D$61,4,FALSE),"")</f>
        <v>2459</v>
      </c>
      <c r="O1097">
        <f t="shared" si="38"/>
        <v>0.51594488188976373</v>
      </c>
      <c r="Q1097" t="str">
        <f>Orders!D1097</f>
        <v>PROD-034</v>
      </c>
    </row>
    <row r="1098" spans="1:17" x14ac:dyDescent="0.3">
      <c r="A1098" t="str">
        <f>Orders!A1098</f>
        <v>ORD-01097</v>
      </c>
      <c r="B1098">
        <f>Orders!B1098</f>
        <v>45300</v>
      </c>
      <c r="C1098">
        <f>Orders!I1098</f>
        <v>12306.6</v>
      </c>
      <c r="D1098" t="str">
        <f>Orders!E1098</f>
        <v>R003</v>
      </c>
      <c r="E1098" t="str">
        <f>IFERROR(VLOOKUP(Orders!D1098,Products!$A$2:$C$61,3,FALSE),"Unknown")</f>
        <v>Electronics</v>
      </c>
      <c r="F1098" t="str">
        <f>IFERROR(VLOOKUP(Orders!C1098,Customers!$A$2:$E$301,5,FALSE),"Unknown")</f>
        <v>Retail</v>
      </c>
      <c r="G1098">
        <f>IFERROR(VLOOKUP(Orders!C1098,Customers!$A$2:$C$301,3,FALSE),"")</f>
        <v>65</v>
      </c>
      <c r="H1098" t="str">
        <f>VLOOKUP(D1098,Sales_Reps!$A$2:$C$31,3,FALSE)</f>
        <v>North</v>
      </c>
      <c r="I1098" s="44">
        <f t="shared" si="37"/>
        <v>45292</v>
      </c>
      <c r="L1098" t="str">
        <f>Orders!K1098</f>
        <v>PUNE</v>
      </c>
      <c r="M1098">
        <f>Orders!G1098</f>
        <v>3870</v>
      </c>
      <c r="N1098">
        <f>IFERROR(VLOOKUP(Orders!D1098,Products!$A$2:$D$61,4,FALSE),"")</f>
        <v>1559</v>
      </c>
      <c r="O1098">
        <f t="shared" si="38"/>
        <v>0.59715762273901807</v>
      </c>
      <c r="Q1098" t="str">
        <f>Orders!D1098</f>
        <v>PROD-004</v>
      </c>
    </row>
    <row r="1099" spans="1:17" x14ac:dyDescent="0.3">
      <c r="A1099" t="str">
        <f>Orders!A1099</f>
        <v>ORD-01098</v>
      </c>
      <c r="B1099">
        <f>Orders!B1099</f>
        <v>45528</v>
      </c>
      <c r="C1099">
        <f>Orders!I1099</f>
        <v>2967.3</v>
      </c>
      <c r="D1099" t="str">
        <f>Orders!E1099</f>
        <v>R024</v>
      </c>
      <c r="E1099" t="str">
        <f>IFERROR(VLOOKUP(Orders!D1099,Products!$A$2:$C$61,3,FALSE),"Unknown")</f>
        <v>Sports</v>
      </c>
      <c r="F1099" t="str">
        <f>IFERROR(VLOOKUP(Orders!C1099,Customers!$A$2:$E$301,5,FALSE),"Unknown")</f>
        <v>Corporate</v>
      </c>
      <c r="G1099">
        <f>IFERROR(VLOOKUP(Orders!C1099,Customers!$A$2:$C$301,3,FALSE),"")</f>
        <v>48</v>
      </c>
      <c r="H1099" t="str">
        <f>VLOOKUP(D1099,Sales_Reps!$A$2:$C$31,3,FALSE)</f>
        <v>West</v>
      </c>
      <c r="I1099" s="44">
        <f t="shared" si="37"/>
        <v>45505</v>
      </c>
      <c r="L1099" t="str">
        <f>Orders!K1099</f>
        <v>Pune</v>
      </c>
      <c r="M1099">
        <f>Orders!G1099</f>
        <v>3780</v>
      </c>
      <c r="N1099">
        <f>IFERROR(VLOOKUP(Orders!D1099,Products!$A$2:$D$61,4,FALSE),"")</f>
        <v>1860</v>
      </c>
      <c r="O1099">
        <f t="shared" si="38"/>
        <v>0.50793650793650791</v>
      </c>
      <c r="Q1099" t="str">
        <f>Orders!D1099</f>
        <v>PROD-059</v>
      </c>
    </row>
    <row r="1100" spans="1:17" x14ac:dyDescent="0.3">
      <c r="A1100" t="str">
        <f>Orders!A1100</f>
        <v>ORD-01099</v>
      </c>
      <c r="B1100">
        <f>Orders!B1100</f>
        <v>45622</v>
      </c>
      <c r="C1100">
        <f>Orders!I1100</f>
        <v>9067.41</v>
      </c>
      <c r="D1100" t="str">
        <f>Orders!E1100</f>
        <v>R017</v>
      </c>
      <c r="E1100" t="str">
        <f>IFERROR(VLOOKUP(Orders!D1100,Products!$A$2:$C$61,3,FALSE),"Unknown")</f>
        <v>Electronics</v>
      </c>
      <c r="F1100" t="str">
        <f>IFERROR(VLOOKUP(Orders!C1100,Customers!$A$2:$E$301,5,FALSE),"Unknown")</f>
        <v>Retail</v>
      </c>
      <c r="G1100">
        <f>IFERROR(VLOOKUP(Orders!C1100,Customers!$A$2:$C$301,3,FALSE),"")</f>
        <v>27</v>
      </c>
      <c r="H1100" t="str">
        <f>VLOOKUP(D1100,Sales_Reps!$A$2:$C$31,3,FALSE)</f>
        <v>East</v>
      </c>
      <c r="I1100" s="44">
        <f t="shared" si="37"/>
        <v>45597</v>
      </c>
      <c r="L1100" t="str">
        <f>Orders!K1100</f>
        <v>Bengaluru</v>
      </c>
      <c r="M1100">
        <f>Orders!G1100</f>
        <v>3870</v>
      </c>
      <c r="N1100">
        <f>IFERROR(VLOOKUP(Orders!D1100,Products!$A$2:$D$61,4,FALSE),"")</f>
        <v>1559</v>
      </c>
      <c r="O1100">
        <f t="shared" si="38"/>
        <v>0.59715762273901807</v>
      </c>
      <c r="Q1100" t="str">
        <f>Orders!D1100</f>
        <v>PROD-004</v>
      </c>
    </row>
    <row r="1101" spans="1:17" x14ac:dyDescent="0.3">
      <c r="A1101" t="str">
        <f>Orders!A1101</f>
        <v>ORD-01100</v>
      </c>
      <c r="B1101">
        <f>Orders!B1101</f>
        <v>45463</v>
      </c>
      <c r="C1101">
        <f>Orders!I1101</f>
        <v>6219.92</v>
      </c>
      <c r="D1101" t="str">
        <f>Orders!E1101</f>
        <v>R009</v>
      </c>
      <c r="E1101" t="str">
        <f>IFERROR(VLOOKUP(Orders!D1101,Products!$A$2:$C$61,3,FALSE),"Unknown")</f>
        <v>Home</v>
      </c>
      <c r="F1101" t="str">
        <f>IFERROR(VLOOKUP(Orders!C1101,Customers!$A$2:$E$301,5,FALSE),"Unknown")</f>
        <v>SMB</v>
      </c>
      <c r="G1101">
        <f>IFERROR(VLOOKUP(Orders!C1101,Customers!$A$2:$C$301,3,FALSE),"")</f>
        <v>29</v>
      </c>
      <c r="H1101" t="str">
        <f>VLOOKUP(D1101,Sales_Reps!$A$2:$C$31,3,FALSE)</f>
        <v>South</v>
      </c>
      <c r="I1101" s="44">
        <f t="shared" si="37"/>
        <v>45444</v>
      </c>
      <c r="L1101" t="str">
        <f>Orders!K1101</f>
        <v>Pune</v>
      </c>
      <c r="M1101">
        <f>Orders!G1101</f>
        <v>2030</v>
      </c>
      <c r="N1101">
        <f>IFERROR(VLOOKUP(Orders!D1101,Products!$A$2:$D$61,4,FALSE),"")</f>
        <v>1143</v>
      </c>
      <c r="O1101">
        <f t="shared" si="38"/>
        <v>0.43694581280788175</v>
      </c>
      <c r="Q1101" t="str">
        <f>Orders!D1101</f>
        <v>PROD-033</v>
      </c>
    </row>
    <row r="1102" spans="1:17" x14ac:dyDescent="0.3">
      <c r="A1102" t="str">
        <f>Orders!A1102</f>
        <v>ORD-01101</v>
      </c>
      <c r="B1102">
        <f>Orders!B1102</f>
        <v>45407</v>
      </c>
      <c r="C1102">
        <f>Orders!I1102</f>
        <v>12053.34</v>
      </c>
      <c r="D1102" t="str">
        <f>Orders!E1102</f>
        <v>R003</v>
      </c>
      <c r="E1102" t="str">
        <f>IFERROR(VLOOKUP(Orders!D1102,Products!$A$2:$C$61,3,FALSE),"Unknown")</f>
        <v>Grocery</v>
      </c>
      <c r="F1102" t="str">
        <f>IFERROR(VLOOKUP(Orders!C1102,Customers!$A$2:$E$301,5,FALSE),"Unknown")</f>
        <v>SMB</v>
      </c>
      <c r="G1102">
        <f>IFERROR(VLOOKUP(Orders!C1102,Customers!$A$2:$C$301,3,FALSE),"")</f>
        <v>48</v>
      </c>
      <c r="H1102" t="str">
        <f>VLOOKUP(D1102,Sales_Reps!$A$2:$C$31,3,FALSE)</f>
        <v>North</v>
      </c>
      <c r="I1102" s="44">
        <f t="shared" si="37"/>
        <v>45383</v>
      </c>
      <c r="L1102" t="str">
        <f>Orders!K1102</f>
        <v>Delhi</v>
      </c>
      <c r="M1102">
        <f>Orders!G1102</f>
        <v>2210</v>
      </c>
      <c r="N1102">
        <f>IFERROR(VLOOKUP(Orders!D1102,Products!$A$2:$D$61,4,FALSE),"")</f>
        <v>1010</v>
      </c>
      <c r="O1102">
        <f t="shared" si="38"/>
        <v>0.54298642533936647</v>
      </c>
      <c r="Q1102" t="str">
        <f>Orders!D1102</f>
        <v>PROD-029</v>
      </c>
    </row>
    <row r="1103" spans="1:17" x14ac:dyDescent="0.3">
      <c r="A1103" t="str">
        <f>Orders!A1103</f>
        <v>ORD-01102</v>
      </c>
      <c r="B1103">
        <f>Orders!B1103</f>
        <v>45627</v>
      </c>
      <c r="C1103">
        <f>Orders!I1103</f>
        <v>6306.3</v>
      </c>
      <c r="D1103" t="str">
        <f>Orders!E1103</f>
        <v>R017</v>
      </c>
      <c r="E1103" t="str">
        <f>IFERROR(VLOOKUP(Orders!D1103,Products!$A$2:$C$61,3,FALSE),"Unknown")</f>
        <v>Beauty</v>
      </c>
      <c r="F1103" t="str">
        <f>IFERROR(VLOOKUP(Orders!C1103,Customers!$A$2:$E$301,5,FALSE),"Unknown")</f>
        <v>Corporate</v>
      </c>
      <c r="G1103">
        <f>IFERROR(VLOOKUP(Orders!C1103,Customers!$A$2:$C$301,3,FALSE),"")</f>
        <v>44</v>
      </c>
      <c r="H1103" t="str">
        <f>VLOOKUP(D1103,Sales_Reps!$A$2:$C$31,3,FALSE)</f>
        <v>East</v>
      </c>
      <c r="I1103" s="44">
        <f t="shared" si="37"/>
        <v>45627</v>
      </c>
      <c r="L1103" t="str">
        <f>Orders!K1103</f>
        <v>Chennai</v>
      </c>
      <c r="M1103">
        <f>Orders!G1103</f>
        <v>1540</v>
      </c>
      <c r="N1103">
        <f>IFERROR(VLOOKUP(Orders!D1103,Products!$A$2:$D$61,4,FALSE),"")</f>
        <v>647</v>
      </c>
      <c r="O1103">
        <f t="shared" si="38"/>
        <v>0.57987012987012987</v>
      </c>
      <c r="Q1103" t="str">
        <f>Orders!D1103</f>
        <v>PROD-041</v>
      </c>
    </row>
    <row r="1104" spans="1:17" x14ac:dyDescent="0.3">
      <c r="A1104" t="str">
        <f>Orders!A1104</f>
        <v>ORD-01103</v>
      </c>
      <c r="B1104">
        <f>Orders!B1104</f>
        <v>45393</v>
      </c>
      <c r="C1104">
        <f>Orders!I1104</f>
        <v>936.27</v>
      </c>
      <c r="D1104" t="str">
        <f>Orders!E1104</f>
        <v>R011</v>
      </c>
      <c r="E1104" t="str">
        <f>IFERROR(VLOOKUP(Orders!D1104,Products!$A$2:$C$61,3,FALSE),"Unknown")</f>
        <v>Sports</v>
      </c>
      <c r="F1104" t="str">
        <f>IFERROR(VLOOKUP(Orders!C1104,Customers!$A$2:$E$301,5,FALSE),"Unknown")</f>
        <v>Retail</v>
      </c>
      <c r="G1104">
        <f>IFERROR(VLOOKUP(Orders!C1104,Customers!$A$2:$C$301,3,FALSE),"")</f>
        <v>43</v>
      </c>
      <c r="H1104" t="str">
        <f>VLOOKUP(D1104,Sales_Reps!$A$2:$C$31,3,FALSE)</f>
        <v>South</v>
      </c>
      <c r="I1104" s="44">
        <f t="shared" si="37"/>
        <v>45383</v>
      </c>
      <c r="L1104" t="str">
        <f>Orders!K1104</f>
        <v>Delhi</v>
      </c>
      <c r="M1104">
        <f>Orders!G1104</f>
        <v>1010</v>
      </c>
      <c r="N1104">
        <f>IFERROR(VLOOKUP(Orders!D1104,Products!$A$2:$D$61,4,FALSE),"")</f>
        <v>516</v>
      </c>
      <c r="O1104">
        <f t="shared" si="38"/>
        <v>0.4891089108910891</v>
      </c>
      <c r="Q1104" t="str">
        <f>Orders!D1104</f>
        <v>PROD-054</v>
      </c>
    </row>
    <row r="1105" spans="1:17" x14ac:dyDescent="0.3">
      <c r="A1105" t="str">
        <f>Orders!A1105</f>
        <v>ORD-01104</v>
      </c>
      <c r="B1105">
        <f>Orders!B1105</f>
        <v>45360</v>
      </c>
      <c r="C1105">
        <f>Orders!I1105</f>
        <v>38749.1</v>
      </c>
      <c r="D1105" t="str">
        <f>Orders!E1105</f>
        <v>R015</v>
      </c>
      <c r="E1105" t="str">
        <f>IFERROR(VLOOKUP(Orders!D1105,Products!$A$2:$C$61,3,FALSE),"Unknown")</f>
        <v>Electronics</v>
      </c>
      <c r="F1105" t="str">
        <f>IFERROR(VLOOKUP(Orders!C1105,Customers!$A$2:$E$301,5,FALSE),"Unknown")</f>
        <v>SMB</v>
      </c>
      <c r="G1105">
        <f>IFERROR(VLOOKUP(Orders!C1105,Customers!$A$2:$C$301,3,FALSE),"")</f>
        <v>35</v>
      </c>
      <c r="H1105" t="str">
        <f>VLOOKUP(D1105,Sales_Reps!$A$2:$C$31,3,FALSE)</f>
        <v>South</v>
      </c>
      <c r="I1105" s="44">
        <f t="shared" si="37"/>
        <v>45352</v>
      </c>
      <c r="L1105" t="str">
        <f>Orders!K1105</f>
        <v>Pune</v>
      </c>
      <c r="M1105">
        <f>Orders!G1105</f>
        <v>5330</v>
      </c>
      <c r="N1105">
        <f>IFERROR(VLOOKUP(Orders!D1105,Products!$A$2:$D$61,4,FALSE),"")</f>
        <v>2405</v>
      </c>
      <c r="O1105">
        <f t="shared" si="38"/>
        <v>0.54878048780487809</v>
      </c>
      <c r="Q1105" t="str">
        <f>Orders!D1105</f>
        <v>PROD-001</v>
      </c>
    </row>
    <row r="1106" spans="1:17" x14ac:dyDescent="0.3">
      <c r="A1106" t="str">
        <f>Orders!A1106</f>
        <v>ORD-01105</v>
      </c>
      <c r="B1106">
        <f>Orders!B1106</f>
        <v>45548</v>
      </c>
      <c r="C1106">
        <f>Orders!I1106</f>
        <v>18917.43</v>
      </c>
      <c r="D1106" t="str">
        <f>Orders!E1106</f>
        <v>R022</v>
      </c>
      <c r="E1106" t="str">
        <f>IFERROR(VLOOKUP(Orders!D1106,Products!$A$2:$C$61,3,FALSE),"Unknown")</f>
        <v>Electronics</v>
      </c>
      <c r="F1106" t="str">
        <f>IFERROR(VLOOKUP(Orders!C1106,Customers!$A$2:$E$301,5,FALSE),"Unknown")</f>
        <v>Corporate</v>
      </c>
      <c r="G1106">
        <f>IFERROR(VLOOKUP(Orders!C1106,Customers!$A$2:$C$301,3,FALSE),"")</f>
        <v>24</v>
      </c>
      <c r="H1106" t="str">
        <f>VLOOKUP(D1106,Sales_Reps!$A$2:$C$31,3,FALSE)</f>
        <v>East</v>
      </c>
      <c r="I1106" s="44">
        <f t="shared" si="37"/>
        <v>45536</v>
      </c>
      <c r="L1106" t="str">
        <f>Orders!K1106</f>
        <v>Chennai</v>
      </c>
      <c r="M1106">
        <f>Orders!G1106</f>
        <v>3570</v>
      </c>
      <c r="N1106">
        <f>IFERROR(VLOOKUP(Orders!D1106,Products!$A$2:$D$61,4,FALSE),"")</f>
        <v>1665</v>
      </c>
      <c r="O1106">
        <f t="shared" si="38"/>
        <v>0.53361344537815125</v>
      </c>
      <c r="Q1106" t="str">
        <f>Orders!D1106</f>
        <v>PROD-003</v>
      </c>
    </row>
    <row r="1107" spans="1:17" x14ac:dyDescent="0.3">
      <c r="A1107" t="str">
        <f>Orders!A1107</f>
        <v>ORD-01106</v>
      </c>
      <c r="B1107">
        <f>Orders!B1107</f>
        <v>45569</v>
      </c>
      <c r="C1107">
        <f>Orders!I1107</f>
        <v>2850.85</v>
      </c>
      <c r="D1107" t="str">
        <f>Orders!E1107</f>
        <v>R017</v>
      </c>
      <c r="E1107" t="str">
        <f>IFERROR(VLOOKUP(Orders!D1107,Products!$A$2:$C$61,3,FALSE),"Unknown")</f>
        <v>Beauty</v>
      </c>
      <c r="F1107" t="str">
        <f>IFERROR(VLOOKUP(Orders!C1107,Customers!$A$2:$E$301,5,FALSE),"Unknown")</f>
        <v>SMB</v>
      </c>
      <c r="G1107">
        <f>IFERROR(VLOOKUP(Orders!C1107,Customers!$A$2:$C$301,3,FALSE),"")</f>
        <v>62</v>
      </c>
      <c r="H1107" t="str">
        <f>VLOOKUP(D1107,Sales_Reps!$A$2:$C$31,3,FALSE)</f>
        <v>East</v>
      </c>
      <c r="I1107" s="44">
        <f t="shared" si="37"/>
        <v>45566</v>
      </c>
      <c r="L1107" t="str">
        <f>Orders!K1107</f>
        <v>Chennai</v>
      </c>
      <c r="M1107">
        <f>Orders!G1107</f>
        <v>3350</v>
      </c>
      <c r="N1107">
        <f>IFERROR(VLOOKUP(Orders!D1107,Products!$A$2:$D$61,4,FALSE),"")</f>
        <v>1728</v>
      </c>
      <c r="O1107">
        <f t="shared" si="38"/>
        <v>0.48417910447761192</v>
      </c>
      <c r="Q1107" t="str">
        <f>Orders!D1107</f>
        <v>PROD-043</v>
      </c>
    </row>
    <row r="1108" spans="1:17" x14ac:dyDescent="0.3">
      <c r="A1108" t="str">
        <f>Orders!A1108</f>
        <v>ORD-01107</v>
      </c>
      <c r="B1108">
        <f>Orders!B1108</f>
        <v>45541</v>
      </c>
      <c r="C1108">
        <f>Orders!I1108</f>
        <v>4487.88</v>
      </c>
      <c r="D1108" t="str">
        <f>Orders!E1108</f>
        <v>R023</v>
      </c>
      <c r="E1108" t="str">
        <f>IFERROR(VLOOKUP(Orders!D1108,Products!$A$2:$C$61,3,FALSE),"Unknown")</f>
        <v>Apparel</v>
      </c>
      <c r="F1108" t="str">
        <f>IFERROR(VLOOKUP(Orders!C1108,Customers!$A$2:$E$301,5,FALSE),"Unknown")</f>
        <v>Retail</v>
      </c>
      <c r="G1108">
        <f>IFERROR(VLOOKUP(Orders!C1108,Customers!$A$2:$C$301,3,FALSE),"")</f>
        <v>53</v>
      </c>
      <c r="H1108" t="str">
        <f>VLOOKUP(D1108,Sales_Reps!$A$2:$C$31,3,FALSE)</f>
        <v>East</v>
      </c>
      <c r="I1108" s="44">
        <f t="shared" si="37"/>
        <v>45536</v>
      </c>
      <c r="L1108" t="str">
        <f>Orders!K1108</f>
        <v>Mumbai</v>
      </c>
      <c r="M1108">
        <f>Orders!G1108</f>
        <v>2510</v>
      </c>
      <c r="N1108">
        <f>IFERROR(VLOOKUP(Orders!D1108,Products!$A$2:$D$61,4,FALSE),"")</f>
        <v>1075</v>
      </c>
      <c r="O1108">
        <f t="shared" si="38"/>
        <v>0.57171314741035861</v>
      </c>
      <c r="Q1108" t="str">
        <f>Orders!D1108</f>
        <v>PROD-017</v>
      </c>
    </row>
    <row r="1109" spans="1:17" x14ac:dyDescent="0.3">
      <c r="A1109" t="str">
        <f>Orders!A1109</f>
        <v>ORD-01108</v>
      </c>
      <c r="B1109">
        <f>Orders!B1109</f>
        <v>45369</v>
      </c>
      <c r="C1109">
        <f>Orders!I1109</f>
        <v>4520.2</v>
      </c>
      <c r="D1109" t="str">
        <f>Orders!E1109</f>
        <v>R025</v>
      </c>
      <c r="E1109" t="str">
        <f>IFERROR(VLOOKUP(Orders!D1109,Products!$A$2:$C$61,3,FALSE),"Unknown")</f>
        <v>Grocery</v>
      </c>
      <c r="F1109" t="str">
        <f>IFERROR(VLOOKUP(Orders!C1109,Customers!$A$2:$E$301,5,FALSE),"Unknown")</f>
        <v>Retail</v>
      </c>
      <c r="G1109">
        <f>IFERROR(VLOOKUP(Orders!C1109,Customers!$A$2:$C$301,3,FALSE),"")</f>
        <v>54</v>
      </c>
      <c r="H1109" t="str">
        <f>VLOOKUP(D1109,Sales_Reps!$A$2:$C$31,3,FALSE)</f>
        <v>West</v>
      </c>
      <c r="I1109" s="44">
        <f t="shared" si="37"/>
        <v>45352</v>
      </c>
      <c r="L1109" t="str">
        <f>Orders!K1109</f>
        <v>Mumbai</v>
      </c>
      <c r="M1109">
        <f>Orders!G1109</f>
        <v>970</v>
      </c>
      <c r="N1109">
        <f>IFERROR(VLOOKUP(Orders!D1109,Products!$A$2:$D$61,4,FALSE),"")</f>
        <v>434</v>
      </c>
      <c r="O1109">
        <f t="shared" si="38"/>
        <v>0.5525773195876289</v>
      </c>
      <c r="Q1109" t="str">
        <f>Orders!D1109</f>
        <v>PROD-030</v>
      </c>
    </row>
    <row r="1110" spans="1:17" x14ac:dyDescent="0.3">
      <c r="A1110" t="str">
        <f>Orders!A1110</f>
        <v>ORD-01109</v>
      </c>
      <c r="B1110">
        <f>Orders!B1110</f>
        <v>45519</v>
      </c>
      <c r="C1110">
        <f>Orders!I1110</f>
        <v>15762.6</v>
      </c>
      <c r="D1110" t="str">
        <f>Orders!E1110</f>
        <v>R002</v>
      </c>
      <c r="E1110" t="str">
        <f>IFERROR(VLOOKUP(Orders!D1110,Products!$A$2:$C$61,3,FALSE),"Unknown")</f>
        <v>Grocery</v>
      </c>
      <c r="F1110" t="str">
        <f>IFERROR(VLOOKUP(Orders!C1110,Customers!$A$2:$E$301,5,FALSE),"Unknown")</f>
        <v>SMB</v>
      </c>
      <c r="G1110">
        <f>IFERROR(VLOOKUP(Orders!C1110,Customers!$A$2:$C$301,3,FALSE),"")</f>
        <v>64</v>
      </c>
      <c r="H1110" t="str">
        <f>VLOOKUP(D1110,Sales_Reps!$A$2:$C$31,3,FALSE)</f>
        <v>North</v>
      </c>
      <c r="I1110" s="44">
        <f t="shared" si="37"/>
        <v>45505</v>
      </c>
      <c r="L1110" t="str">
        <f>Orders!K1110</f>
        <v>Bengaluru</v>
      </c>
      <c r="M1110">
        <f>Orders!G1110</f>
        <v>3780</v>
      </c>
      <c r="N1110">
        <f>IFERROR(VLOOKUP(Orders!D1110,Products!$A$2:$D$61,4,FALSE),"")</f>
        <v>2436</v>
      </c>
      <c r="O1110">
        <f t="shared" si="38"/>
        <v>0.35555555555555557</v>
      </c>
      <c r="Q1110" t="str">
        <f>Orders!D1110</f>
        <v>PROD-027</v>
      </c>
    </row>
    <row r="1111" spans="1:17" x14ac:dyDescent="0.3">
      <c r="A1111" t="str">
        <f>Orders!A1111</f>
        <v>ORD-01110</v>
      </c>
      <c r="B1111">
        <f>Orders!B1111</f>
        <v>45379</v>
      </c>
      <c r="C1111">
        <f>Orders!I1111</f>
        <v>5655.03</v>
      </c>
      <c r="D1111" t="str">
        <f>Orders!E1111</f>
        <v>R007</v>
      </c>
      <c r="E1111" t="str">
        <f>IFERROR(VLOOKUP(Orders!D1111,Products!$A$2:$C$61,3,FALSE),"Unknown")</f>
        <v>Apparel</v>
      </c>
      <c r="F1111" t="str">
        <f>IFERROR(VLOOKUP(Orders!C1111,Customers!$A$2:$E$301,5,FALSE),"Unknown")</f>
        <v>SMB</v>
      </c>
      <c r="G1111">
        <f>IFERROR(VLOOKUP(Orders!C1111,Customers!$A$2:$C$301,3,FALSE),"")</f>
        <v>35</v>
      </c>
      <c r="H1111" t="str">
        <f>VLOOKUP(D1111,Sales_Reps!$A$2:$C$31,3,FALSE)</f>
        <v>North</v>
      </c>
      <c r="I1111" s="44">
        <f t="shared" si="37"/>
        <v>45352</v>
      </c>
      <c r="L1111" t="str">
        <f>Orders!K1111</f>
        <v>Pune</v>
      </c>
      <c r="M1111">
        <f>Orders!G1111</f>
        <v>2510</v>
      </c>
      <c r="N1111">
        <f>IFERROR(VLOOKUP(Orders!D1111,Products!$A$2:$D$61,4,FALSE),"")</f>
        <v>1075</v>
      </c>
      <c r="O1111">
        <f t="shared" si="38"/>
        <v>0.57171314741035861</v>
      </c>
      <c r="Q1111" t="str">
        <f>Orders!D1111</f>
        <v>PROD-017</v>
      </c>
    </row>
    <row r="1112" spans="1:17" x14ac:dyDescent="0.3">
      <c r="A1112" t="str">
        <f>Orders!A1112</f>
        <v>ORD-01111</v>
      </c>
      <c r="B1112">
        <f>Orders!B1112</f>
        <v>45548</v>
      </c>
      <c r="C1112">
        <f>Orders!I1112</f>
        <v>5858.58</v>
      </c>
      <c r="D1112" t="str">
        <f>Orders!E1112</f>
        <v>R008</v>
      </c>
      <c r="E1112" t="str">
        <f>IFERROR(VLOOKUP(Orders!D1112,Products!$A$2:$C$61,3,FALSE),"Unknown")</f>
        <v>Home</v>
      </c>
      <c r="F1112" t="str">
        <f>IFERROR(VLOOKUP(Orders!C1112,Customers!$A$2:$E$301,5,FALSE),"Unknown")</f>
        <v>Retail</v>
      </c>
      <c r="G1112">
        <f>IFERROR(VLOOKUP(Orders!C1112,Customers!$A$2:$C$301,3,FALSE),"")</f>
        <v>34</v>
      </c>
      <c r="H1112" t="str">
        <f>VLOOKUP(D1112,Sales_Reps!$A$2:$C$31,3,FALSE)</f>
        <v>North</v>
      </c>
      <c r="I1112" s="44">
        <f t="shared" si="37"/>
        <v>45536</v>
      </c>
      <c r="L1112" t="str">
        <f>Orders!K1112</f>
        <v>Chennai</v>
      </c>
      <c r="M1112">
        <f>Orders!G1112</f>
        <v>2030</v>
      </c>
      <c r="N1112">
        <f>IFERROR(VLOOKUP(Orders!D1112,Products!$A$2:$D$61,4,FALSE),"")</f>
        <v>1143</v>
      </c>
      <c r="O1112">
        <f t="shared" si="38"/>
        <v>0.43694581280788175</v>
      </c>
      <c r="Q1112" t="str">
        <f>Orders!D1112</f>
        <v>PROD-033</v>
      </c>
    </row>
    <row r="1113" spans="1:17" x14ac:dyDescent="0.3">
      <c r="A1113" t="str">
        <f>Orders!A1113</f>
        <v>ORD-01112</v>
      </c>
      <c r="B1113">
        <f>Orders!B1113</f>
        <v>45478</v>
      </c>
      <c r="C1113">
        <f>Orders!I1113</f>
        <v>1617.66</v>
      </c>
      <c r="D1113" t="str">
        <f>Orders!E1113</f>
        <v>R014</v>
      </c>
      <c r="E1113" t="str">
        <f>IFERROR(VLOOKUP(Orders!D1113,Products!$A$2:$C$61,3,FALSE),"Unknown")</f>
        <v>Sports</v>
      </c>
      <c r="F1113" t="str">
        <f>IFERROR(VLOOKUP(Orders!C1113,Customers!$A$2:$E$301,5,FALSE),"Unknown")</f>
        <v>Retail</v>
      </c>
      <c r="G1113">
        <f>IFERROR(VLOOKUP(Orders!C1113,Customers!$A$2:$C$301,3,FALSE),"")</f>
        <v>40</v>
      </c>
      <c r="H1113" t="str">
        <f>VLOOKUP(D1113,Sales_Reps!$A$2:$C$31,3,FALSE)</f>
        <v>South</v>
      </c>
      <c r="I1113" s="44">
        <f t="shared" si="37"/>
        <v>45474</v>
      </c>
      <c r="L1113" t="str">
        <f>Orders!K1113</f>
        <v>Mumbai</v>
      </c>
      <c r="M1113">
        <f>Orders!G1113</f>
        <v>190</v>
      </c>
      <c r="N1113">
        <f>IFERROR(VLOOKUP(Orders!D1113,Products!$A$2:$D$61,4,FALSE),"")</f>
        <v>147</v>
      </c>
      <c r="O1113">
        <f t="shared" si="38"/>
        <v>0.22631578947368422</v>
      </c>
      <c r="Q1113" t="str">
        <f>Orders!D1113</f>
        <v>PROD-060</v>
      </c>
    </row>
    <row r="1114" spans="1:17" x14ac:dyDescent="0.3">
      <c r="A1114" t="str">
        <f>Orders!A1114</f>
        <v>ORD-01113</v>
      </c>
      <c r="B1114">
        <f>Orders!B1114</f>
        <v>45338</v>
      </c>
      <c r="C1114">
        <f>Orders!I1114</f>
        <v>9361.56</v>
      </c>
      <c r="D1114" t="str">
        <f>Orders!E1114</f>
        <v>R020</v>
      </c>
      <c r="E1114" t="str">
        <f>IFERROR(VLOOKUP(Orders!D1114,Products!$A$2:$C$61,3,FALSE),"Unknown")</f>
        <v>Grocery</v>
      </c>
      <c r="F1114" t="str">
        <f>IFERROR(VLOOKUP(Orders!C1114,Customers!$A$2:$E$301,5,FALSE),"Unknown")</f>
        <v>Corporate</v>
      </c>
      <c r="G1114">
        <f>IFERROR(VLOOKUP(Orders!C1114,Customers!$A$2:$C$301,3,FALSE),"")</f>
        <v>38</v>
      </c>
      <c r="H1114" t="str">
        <f>VLOOKUP(D1114,Sales_Reps!$A$2:$C$31,3,FALSE)</f>
        <v>East</v>
      </c>
      <c r="I1114" s="44">
        <f t="shared" si="37"/>
        <v>45323</v>
      </c>
      <c r="L1114" t="str">
        <f>Orders!K1114</f>
        <v>Chennai</v>
      </c>
      <c r="M1114">
        <f>Orders!G1114</f>
        <v>2210</v>
      </c>
      <c r="N1114">
        <f>IFERROR(VLOOKUP(Orders!D1114,Products!$A$2:$D$61,4,FALSE),"")</f>
        <v>1010</v>
      </c>
      <c r="O1114">
        <f t="shared" si="38"/>
        <v>0.54298642533936647</v>
      </c>
      <c r="Q1114" t="str">
        <f>Orders!D1114</f>
        <v>PROD-029</v>
      </c>
    </row>
    <row r="1115" spans="1:17" x14ac:dyDescent="0.3">
      <c r="A1115" t="str">
        <f>Orders!A1115</f>
        <v>ORD-01114</v>
      </c>
      <c r="B1115">
        <f>Orders!B1115</f>
        <v>45546</v>
      </c>
      <c r="C1115">
        <f>Orders!I1115</f>
        <v>14472.64</v>
      </c>
      <c r="D1115" t="str">
        <f>Orders!E1115</f>
        <v>R005</v>
      </c>
      <c r="E1115" t="str">
        <f>IFERROR(VLOOKUP(Orders!D1115,Products!$A$2:$C$61,3,FALSE),"Unknown")</f>
        <v>Apparel</v>
      </c>
      <c r="F1115" t="str">
        <f>IFERROR(VLOOKUP(Orders!C1115,Customers!$A$2:$E$301,5,FALSE),"Unknown")</f>
        <v>Retail</v>
      </c>
      <c r="G1115">
        <f>IFERROR(VLOOKUP(Orders!C1115,Customers!$A$2:$C$301,3,FALSE),"")</f>
        <v>44</v>
      </c>
      <c r="H1115" t="str">
        <f>VLOOKUP(D1115,Sales_Reps!$A$2:$C$31,3,FALSE)</f>
        <v>North</v>
      </c>
      <c r="I1115" s="44">
        <f t="shared" si="37"/>
        <v>45536</v>
      </c>
      <c r="L1115" t="str">
        <f>Orders!K1115</f>
        <v>Delhi</v>
      </c>
      <c r="M1115">
        <f>Orders!G1115</f>
        <v>3640</v>
      </c>
      <c r="N1115">
        <f>IFERROR(VLOOKUP(Orders!D1115,Products!$A$2:$D$61,4,FALSE),"")</f>
        <v>2611</v>
      </c>
      <c r="O1115">
        <f t="shared" si="38"/>
        <v>0.28269230769230769</v>
      </c>
      <c r="Q1115" t="str">
        <f>Orders!D1115</f>
        <v>PROD-013</v>
      </c>
    </row>
    <row r="1116" spans="1:17" x14ac:dyDescent="0.3">
      <c r="A1116" t="str">
        <f>Orders!A1116</f>
        <v>ORD-01115</v>
      </c>
      <c r="B1116">
        <f>Orders!B1116</f>
        <v>45626</v>
      </c>
      <c r="C1116">
        <f>Orders!I1116</f>
        <v>8333.82</v>
      </c>
      <c r="D1116" t="str">
        <f>Orders!E1116</f>
        <v>R009</v>
      </c>
      <c r="E1116" t="str">
        <f>IFERROR(VLOOKUP(Orders!D1116,Products!$A$2:$C$61,3,FALSE),"Unknown")</f>
        <v>Electronics</v>
      </c>
      <c r="F1116" t="str">
        <f>IFERROR(VLOOKUP(Orders!C1116,Customers!$A$2:$E$301,5,FALSE),"Unknown")</f>
        <v>Retail</v>
      </c>
      <c r="G1116">
        <f>IFERROR(VLOOKUP(Orders!C1116,Customers!$A$2:$C$301,3,FALSE),"")</f>
        <v>35</v>
      </c>
      <c r="H1116" t="str">
        <f>VLOOKUP(D1116,Sales_Reps!$A$2:$C$31,3,FALSE)</f>
        <v>South</v>
      </c>
      <c r="I1116" s="44">
        <f t="shared" si="37"/>
        <v>45597</v>
      </c>
      <c r="L1116" t="str">
        <f>Orders!K1116</f>
        <v>Bengaluru</v>
      </c>
      <c r="M1116">
        <f>Orders!G1116</f>
        <v>1220</v>
      </c>
      <c r="N1116">
        <f>IFERROR(VLOOKUP(Orders!D1116,Products!$A$2:$D$61,4,FALSE),"")</f>
        <v>517</v>
      </c>
      <c r="O1116">
        <f t="shared" si="38"/>
        <v>0.57622950819672136</v>
      </c>
      <c r="Q1116" t="str">
        <f>Orders!D1116</f>
        <v>PROD-009</v>
      </c>
    </row>
    <row r="1117" spans="1:17" x14ac:dyDescent="0.3">
      <c r="A1117" t="str">
        <f>Orders!A1117</f>
        <v>ORD-01116</v>
      </c>
      <c r="B1117">
        <f>Orders!B1117</f>
        <v>45402</v>
      </c>
      <c r="C1117">
        <f>Orders!I1117</f>
        <v>10132.4</v>
      </c>
      <c r="D1117" t="str">
        <f>Orders!E1117</f>
        <v>R009</v>
      </c>
      <c r="E1117" t="str">
        <f>IFERROR(VLOOKUP(Orders!D1117,Products!$A$2:$C$61,3,FALSE),"Unknown")</f>
        <v>Sports</v>
      </c>
      <c r="F1117" t="str">
        <f>IFERROR(VLOOKUP(Orders!C1117,Customers!$A$2:$E$301,5,FALSE),"Unknown")</f>
        <v>Retail</v>
      </c>
      <c r="G1117">
        <f>IFERROR(VLOOKUP(Orders!C1117,Customers!$A$2:$C$301,3,FALSE),"")</f>
        <v>26</v>
      </c>
      <c r="H1117" t="str">
        <f>VLOOKUP(D1117,Sales_Reps!$A$2:$C$31,3,FALSE)</f>
        <v>South</v>
      </c>
      <c r="I1117" s="44">
        <f t="shared" si="37"/>
        <v>45383</v>
      </c>
      <c r="L1117" t="str">
        <f>Orders!K1117</f>
        <v>Chennai</v>
      </c>
      <c r="M1117">
        <f>Orders!G1117</f>
        <v>6940</v>
      </c>
      <c r="N1117">
        <f>IFERROR(VLOOKUP(Orders!D1117,Products!$A$2:$D$61,4,FALSE),"")</f>
        <v>2827</v>
      </c>
      <c r="O1117">
        <f t="shared" si="38"/>
        <v>0.5926512968299712</v>
      </c>
      <c r="Q1117" t="str">
        <f>Orders!D1117</f>
        <v>PROD-056</v>
      </c>
    </row>
    <row r="1118" spans="1:17" x14ac:dyDescent="0.3">
      <c r="A1118" t="str">
        <f>Orders!A1118</f>
        <v>ORD-01117</v>
      </c>
      <c r="B1118">
        <f>Orders!B1118</f>
        <v>45604</v>
      </c>
      <c r="C1118">
        <f>Orders!I1118</f>
        <v>16027.44</v>
      </c>
      <c r="D1118" t="str">
        <f>Orders!E1118</f>
        <v>R010</v>
      </c>
      <c r="E1118" t="str">
        <f>IFERROR(VLOOKUP(Orders!D1118,Products!$A$2:$C$61,3,FALSE),"Unknown")</f>
        <v>Sports</v>
      </c>
      <c r="F1118" t="str">
        <f>IFERROR(VLOOKUP(Orders!C1118,Customers!$A$2:$E$301,5,FALSE),"Unknown")</f>
        <v>SMB</v>
      </c>
      <c r="G1118">
        <f>IFERROR(VLOOKUP(Orders!C1118,Customers!$A$2:$C$301,3,FALSE),"")</f>
        <v>38</v>
      </c>
      <c r="H1118" t="str">
        <f>VLOOKUP(D1118,Sales_Reps!$A$2:$C$31,3,FALSE)</f>
        <v>South</v>
      </c>
      <c r="I1118" s="44">
        <f t="shared" si="37"/>
        <v>45597</v>
      </c>
      <c r="L1118" t="str">
        <f>Orders!K1118</f>
        <v>Delhi</v>
      </c>
      <c r="M1118">
        <f>Orders!G1118</f>
        <v>2860</v>
      </c>
      <c r="N1118">
        <f>IFERROR(VLOOKUP(Orders!D1118,Products!$A$2:$D$61,4,FALSE),"")</f>
        <v>2028</v>
      </c>
      <c r="O1118">
        <f t="shared" si="38"/>
        <v>0.29090909090909089</v>
      </c>
      <c r="Q1118" t="str">
        <f>Orders!D1118</f>
        <v>PROD-055</v>
      </c>
    </row>
    <row r="1119" spans="1:17" x14ac:dyDescent="0.3">
      <c r="A1119" t="str">
        <f>Orders!A1119</f>
        <v>ORD-01118</v>
      </c>
      <c r="B1119">
        <f>Orders!B1119</f>
        <v>45545</v>
      </c>
      <c r="C1119">
        <f>Orders!I1119</f>
        <v>10689.6</v>
      </c>
      <c r="D1119" t="str">
        <f>Orders!E1119</f>
        <v>R018</v>
      </c>
      <c r="E1119" t="str">
        <f>IFERROR(VLOOKUP(Orders!D1119,Products!$A$2:$C$61,3,FALSE),"Unknown")</f>
        <v>Apparel</v>
      </c>
      <c r="F1119" t="str">
        <f>IFERROR(VLOOKUP(Orders!C1119,Customers!$A$2:$E$301,5,FALSE),"Unknown")</f>
        <v>SMB</v>
      </c>
      <c r="G1119">
        <f>IFERROR(VLOOKUP(Orders!C1119,Customers!$A$2:$C$301,3,FALSE),"")</f>
        <v>52</v>
      </c>
      <c r="H1119" t="str">
        <f>VLOOKUP(D1119,Sales_Reps!$A$2:$C$31,3,FALSE)</f>
        <v>East</v>
      </c>
      <c r="I1119" s="44">
        <f t="shared" si="37"/>
        <v>45536</v>
      </c>
      <c r="L1119" t="str">
        <f>Orders!K1119</f>
        <v>Chennai</v>
      </c>
      <c r="M1119">
        <f>Orders!G1119</f>
        <v>2720</v>
      </c>
      <c r="N1119">
        <f>IFERROR(VLOOKUP(Orders!D1119,Products!$A$2:$D$61,4,FALSE),"")</f>
        <v>1962</v>
      </c>
      <c r="O1119">
        <f t="shared" si="38"/>
        <v>0.2786764705882353</v>
      </c>
      <c r="Q1119" t="str">
        <f>Orders!D1119</f>
        <v>PROD-015</v>
      </c>
    </row>
    <row r="1120" spans="1:17" x14ac:dyDescent="0.3">
      <c r="A1120" t="str">
        <f>Orders!A1120</f>
        <v>ORD-01119</v>
      </c>
      <c r="B1120">
        <f>Orders!B1120</f>
        <v>45445</v>
      </c>
      <c r="C1120">
        <f>Orders!I1120</f>
        <v>2927.4</v>
      </c>
      <c r="D1120" t="str">
        <f>Orders!E1120</f>
        <v>R006</v>
      </c>
      <c r="E1120" t="str">
        <f>IFERROR(VLOOKUP(Orders!D1120,Products!$A$2:$C$61,3,FALSE),"Unknown")</f>
        <v>Apparel</v>
      </c>
      <c r="F1120" t="str">
        <f>IFERROR(VLOOKUP(Orders!C1120,Customers!$A$2:$E$301,5,FALSE),"Unknown")</f>
        <v>Retail</v>
      </c>
      <c r="G1120">
        <f>IFERROR(VLOOKUP(Orders!C1120,Customers!$A$2:$C$301,3,FALSE),"")</f>
        <v>40</v>
      </c>
      <c r="H1120" t="str">
        <f>VLOOKUP(D1120,Sales_Reps!$A$2:$C$31,3,FALSE)</f>
        <v>North</v>
      </c>
      <c r="I1120" s="44">
        <f t="shared" si="37"/>
        <v>45444</v>
      </c>
      <c r="L1120" t="str">
        <f>Orders!K1120</f>
        <v>Mumbai</v>
      </c>
      <c r="M1120">
        <f>Orders!G1120</f>
        <v>820</v>
      </c>
      <c r="N1120">
        <f>IFERROR(VLOOKUP(Orders!D1120,Products!$A$2:$D$61,4,FALSE),"")</f>
        <v>391</v>
      </c>
      <c r="O1120">
        <f t="shared" si="38"/>
        <v>0.52317073170731709</v>
      </c>
      <c r="Q1120" t="str">
        <f>Orders!D1120</f>
        <v>PROD-020</v>
      </c>
    </row>
    <row r="1121" spans="1:17" x14ac:dyDescent="0.3">
      <c r="A1121" t="str">
        <f>Orders!A1121</f>
        <v>ORD-01120</v>
      </c>
      <c r="B1121">
        <f>Orders!B1121</f>
        <v>45489</v>
      </c>
      <c r="C1121">
        <f>Orders!I1121</f>
        <v>11156.88</v>
      </c>
      <c r="D1121" t="str">
        <f>Orders!E1121</f>
        <v>R022</v>
      </c>
      <c r="E1121" t="str">
        <f>IFERROR(VLOOKUP(Orders!D1121,Products!$A$2:$C$61,3,FALSE),"Unknown")</f>
        <v>Beauty</v>
      </c>
      <c r="F1121" t="str">
        <f>IFERROR(VLOOKUP(Orders!C1121,Customers!$A$2:$E$301,5,FALSE),"Unknown")</f>
        <v>SMB</v>
      </c>
      <c r="G1121">
        <f>IFERROR(VLOOKUP(Orders!C1121,Customers!$A$2:$C$301,3,FALSE),"")</f>
        <v>51</v>
      </c>
      <c r="H1121" t="str">
        <f>VLOOKUP(D1121,Sales_Reps!$A$2:$C$31,3,FALSE)</f>
        <v>East</v>
      </c>
      <c r="I1121" s="44">
        <f t="shared" si="37"/>
        <v>45474</v>
      </c>
      <c r="L1121" t="str">
        <f>Orders!K1121</f>
        <v>Chennai</v>
      </c>
      <c r="M1121">
        <f>Orders!G1121</f>
        <v>2290</v>
      </c>
      <c r="N1121">
        <f>IFERROR(VLOOKUP(Orders!D1121,Products!$A$2:$D$61,4,FALSE),"")</f>
        <v>1219</v>
      </c>
      <c r="O1121">
        <f t="shared" si="38"/>
        <v>0.46768558951965067</v>
      </c>
      <c r="Q1121" t="str">
        <f>Orders!D1121</f>
        <v>PROD-042</v>
      </c>
    </row>
    <row r="1122" spans="1:17" x14ac:dyDescent="0.3">
      <c r="A1122" t="str">
        <f>Orders!A1122</f>
        <v>ORD-01121</v>
      </c>
      <c r="B1122">
        <f>Orders!B1122</f>
        <v>45394</v>
      </c>
      <c r="C1122">
        <f>Orders!I1122</f>
        <v>14821.2</v>
      </c>
      <c r="D1122" t="str">
        <f>Orders!E1122</f>
        <v>R021</v>
      </c>
      <c r="E1122" t="str">
        <f>IFERROR(VLOOKUP(Orders!D1122,Products!$A$2:$C$61,3,FALSE),"Unknown")</f>
        <v>Beauty</v>
      </c>
      <c r="F1122" t="str">
        <f>IFERROR(VLOOKUP(Orders!C1122,Customers!$A$2:$E$301,5,FALSE),"Unknown")</f>
        <v>Retail</v>
      </c>
      <c r="G1122">
        <f>IFERROR(VLOOKUP(Orders!C1122,Customers!$A$2:$C$301,3,FALSE),"")</f>
        <v>28</v>
      </c>
      <c r="H1122" t="str">
        <f>VLOOKUP(D1122,Sales_Reps!$A$2:$C$31,3,FALSE)</f>
        <v>East</v>
      </c>
      <c r="I1122" s="44">
        <f t="shared" si="37"/>
        <v>45383</v>
      </c>
      <c r="L1122" t="str">
        <f>Orders!K1122</f>
        <v>Hyderabad</v>
      </c>
      <c r="M1122">
        <f>Orders!G1122</f>
        <v>3450</v>
      </c>
      <c r="N1122">
        <f>IFERROR(VLOOKUP(Orders!D1122,Products!$A$2:$D$61,4,FALSE),"")</f>
        <v>2420</v>
      </c>
      <c r="O1122">
        <f t="shared" si="38"/>
        <v>0.29855072463768118</v>
      </c>
      <c r="Q1122" t="str">
        <f>Orders!D1122</f>
        <v>PROD-047</v>
      </c>
    </row>
    <row r="1123" spans="1:17" x14ac:dyDescent="0.3">
      <c r="A1123" t="str">
        <f>Orders!A1123</f>
        <v>ORD-01122</v>
      </c>
      <c r="B1123">
        <f>Orders!B1123</f>
        <v>45340</v>
      </c>
      <c r="C1123">
        <f>Orders!I1123</f>
        <v>18676</v>
      </c>
      <c r="D1123" t="str">
        <f>Orders!E1123</f>
        <v>R002</v>
      </c>
      <c r="E1123" t="str">
        <f>IFERROR(VLOOKUP(Orders!D1123,Products!$A$2:$C$61,3,FALSE),"Unknown")</f>
        <v>Home</v>
      </c>
      <c r="F1123" t="str">
        <f>IFERROR(VLOOKUP(Orders!C1123,Customers!$A$2:$E$301,5,FALSE),"Unknown")</f>
        <v>Retail</v>
      </c>
      <c r="G1123">
        <f>IFERROR(VLOOKUP(Orders!C1123,Customers!$A$2:$C$301,3,FALSE),"")</f>
        <v>42</v>
      </c>
      <c r="H1123" t="str">
        <f>VLOOKUP(D1123,Sales_Reps!$A$2:$C$31,3,FALSE)</f>
        <v>North</v>
      </c>
      <c r="I1123" s="44">
        <f t="shared" si="37"/>
        <v>45323</v>
      </c>
      <c r="L1123" t="str">
        <f>Orders!K1123</f>
        <v>Bengaluru</v>
      </c>
      <c r="M1123">
        <f>Orders!G1123</f>
        <v>2030</v>
      </c>
      <c r="N1123">
        <f>IFERROR(VLOOKUP(Orders!D1123,Products!$A$2:$D$61,4,FALSE),"")</f>
        <v>1143</v>
      </c>
      <c r="O1123">
        <f t="shared" si="38"/>
        <v>0.43694581280788175</v>
      </c>
      <c r="Q1123" t="str">
        <f>Orders!D1123</f>
        <v>PROD-033</v>
      </c>
    </row>
    <row r="1124" spans="1:17" x14ac:dyDescent="0.3">
      <c r="A1124" t="str">
        <f>Orders!A1124</f>
        <v>ORD-01123</v>
      </c>
      <c r="B1124">
        <f>Orders!B1124</f>
        <v>45378</v>
      </c>
      <c r="C1124">
        <f>Orders!I1124</f>
        <v>2167.1999999999998</v>
      </c>
      <c r="D1124" t="str">
        <f>Orders!E1124</f>
        <v>R022</v>
      </c>
      <c r="E1124" t="str">
        <f>IFERROR(VLOOKUP(Orders!D1124,Products!$A$2:$C$61,3,FALSE),"Unknown")</f>
        <v>Sports</v>
      </c>
      <c r="F1124" t="str">
        <f>IFERROR(VLOOKUP(Orders!C1124,Customers!$A$2:$E$301,5,FALSE),"Unknown")</f>
        <v>SMB</v>
      </c>
      <c r="G1124">
        <f>IFERROR(VLOOKUP(Orders!C1124,Customers!$A$2:$C$301,3,FALSE),"")</f>
        <v>65</v>
      </c>
      <c r="H1124" t="str">
        <f>VLOOKUP(D1124,Sales_Reps!$A$2:$C$31,3,FALSE)</f>
        <v>East</v>
      </c>
      <c r="I1124" s="44">
        <f t="shared" si="37"/>
        <v>45352</v>
      </c>
      <c r="L1124" t="str">
        <f>Orders!K1124</f>
        <v>Mumbai</v>
      </c>
      <c r="M1124">
        <f>Orders!G1124</f>
        <v>2400</v>
      </c>
      <c r="N1124">
        <f>IFERROR(VLOOKUP(Orders!D1124,Products!$A$2:$D$61,4,FALSE),"")</f>
        <v>974</v>
      </c>
      <c r="O1124">
        <f t="shared" si="38"/>
        <v>0.59416666666666662</v>
      </c>
      <c r="Q1124" t="str">
        <f>Orders!D1124</f>
        <v>PROD-058</v>
      </c>
    </row>
    <row r="1125" spans="1:17" x14ac:dyDescent="0.3">
      <c r="A1125" t="str">
        <f>Orders!A1125</f>
        <v>ORD-01124</v>
      </c>
      <c r="B1125">
        <f>Orders!B1125</f>
        <v>45369</v>
      </c>
      <c r="C1125">
        <f>Orders!I1125</f>
        <v>6106.24</v>
      </c>
      <c r="D1125" t="str">
        <f>Orders!E1125</f>
        <v>R014</v>
      </c>
      <c r="E1125" t="str">
        <f>IFERROR(VLOOKUP(Orders!D1125,Products!$A$2:$C$61,3,FALSE),"Unknown")</f>
        <v>Home</v>
      </c>
      <c r="F1125" t="str">
        <f>IFERROR(VLOOKUP(Orders!C1125,Customers!$A$2:$E$301,5,FALSE),"Unknown")</f>
        <v>SMB</v>
      </c>
      <c r="G1125">
        <f>IFERROR(VLOOKUP(Orders!C1125,Customers!$A$2:$C$301,3,FALSE),"")</f>
        <v>27</v>
      </c>
      <c r="H1125" t="str">
        <f>VLOOKUP(D1125,Sales_Reps!$A$2:$C$31,3,FALSE)</f>
        <v>South</v>
      </c>
      <c r="I1125" s="44">
        <f t="shared" si="37"/>
        <v>45352</v>
      </c>
      <c r="L1125" t="str">
        <f>Orders!K1125</f>
        <v>Mumbai</v>
      </c>
      <c r="M1125">
        <f>Orders!G1125</f>
        <v>2030</v>
      </c>
      <c r="N1125">
        <f>IFERROR(VLOOKUP(Orders!D1125,Products!$A$2:$D$61,4,FALSE),"")</f>
        <v>1143</v>
      </c>
      <c r="O1125">
        <f t="shared" si="38"/>
        <v>0.43694581280788175</v>
      </c>
      <c r="Q1125" t="str">
        <f>Orders!D1125</f>
        <v>PROD-033</v>
      </c>
    </row>
    <row r="1126" spans="1:17" x14ac:dyDescent="0.3">
      <c r="A1126" t="str">
        <f>Orders!A1126</f>
        <v>ORD-01125</v>
      </c>
      <c r="B1126">
        <f>Orders!B1126</f>
        <v>45513</v>
      </c>
      <c r="C1126">
        <f>Orders!I1126</f>
        <v>18452.7</v>
      </c>
      <c r="D1126" t="str">
        <f>Orders!E1126</f>
        <v>R002</v>
      </c>
      <c r="E1126" t="str">
        <f>IFERROR(VLOOKUP(Orders!D1126,Products!$A$2:$C$61,3,FALSE),"Unknown")</f>
        <v>Grocery</v>
      </c>
      <c r="F1126" t="str">
        <f>IFERROR(VLOOKUP(Orders!C1126,Customers!$A$2:$E$301,5,FALSE),"Unknown")</f>
        <v>Corporate</v>
      </c>
      <c r="G1126">
        <f>IFERROR(VLOOKUP(Orders!C1126,Customers!$A$2:$C$301,3,FALSE),"")</f>
        <v>55</v>
      </c>
      <c r="H1126" t="str">
        <f>VLOOKUP(D1126,Sales_Reps!$A$2:$C$31,3,FALSE)</f>
        <v>North</v>
      </c>
      <c r="I1126" s="44">
        <f t="shared" si="37"/>
        <v>45505</v>
      </c>
      <c r="L1126" t="str">
        <f>Orders!K1126</f>
        <v>Chennai</v>
      </c>
      <c r="M1126">
        <f>Orders!G1126</f>
        <v>4060</v>
      </c>
      <c r="N1126">
        <f>IFERROR(VLOOKUP(Orders!D1126,Products!$A$2:$D$61,4,FALSE),"")</f>
        <v>2911</v>
      </c>
      <c r="O1126">
        <f t="shared" si="38"/>
        <v>0.28300492610837441</v>
      </c>
      <c r="Q1126" t="str">
        <f>Orders!D1126</f>
        <v>PROD-025</v>
      </c>
    </row>
    <row r="1127" spans="1:17" x14ac:dyDescent="0.3">
      <c r="A1127" t="str">
        <f>Orders!A1127</f>
        <v>ORD-01126</v>
      </c>
      <c r="B1127">
        <f>Orders!B1127</f>
        <v>45438</v>
      </c>
      <c r="C1127">
        <f>Orders!I1127</f>
        <v>15365.07</v>
      </c>
      <c r="D1127" t="str">
        <f>Orders!E1127</f>
        <v>R013</v>
      </c>
      <c r="E1127" t="str">
        <f>IFERROR(VLOOKUP(Orders!D1127,Products!$A$2:$C$61,3,FALSE),"Unknown")</f>
        <v>Home</v>
      </c>
      <c r="F1127" t="str">
        <f>IFERROR(VLOOKUP(Orders!C1127,Customers!$A$2:$E$301,5,FALSE),"Unknown")</f>
        <v>SMB</v>
      </c>
      <c r="G1127">
        <f>IFERROR(VLOOKUP(Orders!C1127,Customers!$A$2:$C$301,3,FALSE),"")</f>
        <v>53</v>
      </c>
      <c r="H1127" t="str">
        <f>VLOOKUP(D1127,Sales_Reps!$A$2:$C$31,3,FALSE)</f>
        <v>South</v>
      </c>
      <c r="I1127" s="44">
        <f t="shared" si="37"/>
        <v>45413</v>
      </c>
      <c r="L1127" t="str">
        <f>Orders!K1127</f>
        <v>Pune</v>
      </c>
      <c r="M1127">
        <f>Orders!G1127</f>
        <v>2030</v>
      </c>
      <c r="N1127">
        <f>IFERROR(VLOOKUP(Orders!D1127,Products!$A$2:$D$61,4,FALSE),"")</f>
        <v>1143</v>
      </c>
      <c r="O1127">
        <f t="shared" si="38"/>
        <v>0.43694581280788175</v>
      </c>
      <c r="Q1127" t="str">
        <f>Orders!D1127</f>
        <v>PROD-033</v>
      </c>
    </row>
    <row r="1128" spans="1:17" x14ac:dyDescent="0.3">
      <c r="A1128" t="str">
        <f>Orders!A1128</f>
        <v>ORD-01127</v>
      </c>
      <c r="B1128">
        <f>Orders!B1128</f>
        <v>45529</v>
      </c>
      <c r="C1128">
        <f>Orders!I1128</f>
        <v>2572.8000000000002</v>
      </c>
      <c r="D1128" t="str">
        <f>Orders!E1128</f>
        <v>R014</v>
      </c>
      <c r="E1128" t="str">
        <f>IFERROR(VLOOKUP(Orders!D1128,Products!$A$2:$C$61,3,FALSE),"Unknown")</f>
        <v>Beauty</v>
      </c>
      <c r="F1128" t="str">
        <f>IFERROR(VLOOKUP(Orders!C1128,Customers!$A$2:$E$301,5,FALSE),"Unknown")</f>
        <v>Retail</v>
      </c>
      <c r="G1128">
        <f>IFERROR(VLOOKUP(Orders!C1128,Customers!$A$2:$C$301,3,FALSE),"")</f>
        <v>36</v>
      </c>
      <c r="H1128" t="str">
        <f>VLOOKUP(D1128,Sales_Reps!$A$2:$C$31,3,FALSE)</f>
        <v>South</v>
      </c>
      <c r="I1128" s="44">
        <f t="shared" si="37"/>
        <v>45505</v>
      </c>
      <c r="L1128" t="str">
        <f>Orders!K1128</f>
        <v>Pune</v>
      </c>
      <c r="M1128">
        <f>Orders!G1128</f>
        <v>3350</v>
      </c>
      <c r="N1128">
        <f>IFERROR(VLOOKUP(Orders!D1128,Products!$A$2:$D$61,4,FALSE),"")</f>
        <v>1728</v>
      </c>
      <c r="O1128">
        <f t="shared" si="38"/>
        <v>0.48417910447761192</v>
      </c>
      <c r="Q1128" t="str">
        <f>Orders!D1128</f>
        <v>PROD-043</v>
      </c>
    </row>
    <row r="1129" spans="1:17" x14ac:dyDescent="0.3">
      <c r="A1129" t="str">
        <f>Orders!A1129</f>
        <v>ORD-01128</v>
      </c>
      <c r="B1129">
        <f>Orders!B1129</f>
        <v>45634</v>
      </c>
      <c r="C1129">
        <f>Orders!I1129</f>
        <v>1924.56</v>
      </c>
      <c r="D1129" t="str">
        <f>Orders!E1129</f>
        <v>R006</v>
      </c>
      <c r="E1129" t="str">
        <f>IFERROR(VLOOKUP(Orders!D1129,Products!$A$2:$C$61,3,FALSE),"Unknown")</f>
        <v>Home</v>
      </c>
      <c r="F1129" t="str">
        <f>IFERROR(VLOOKUP(Orders!C1129,Customers!$A$2:$E$301,5,FALSE),"Unknown")</f>
        <v>Corporate</v>
      </c>
      <c r="G1129">
        <f>IFERROR(VLOOKUP(Orders!C1129,Customers!$A$2:$C$301,3,FALSE),"")</f>
        <v>43</v>
      </c>
      <c r="H1129" t="str">
        <f>VLOOKUP(D1129,Sales_Reps!$A$2:$C$31,3,FALSE)</f>
        <v>North</v>
      </c>
      <c r="I1129" s="44">
        <f t="shared" si="37"/>
        <v>45627</v>
      </c>
      <c r="L1129" t="str">
        <f>Orders!K1129</f>
        <v>Hyderabad</v>
      </c>
      <c r="M1129">
        <f>Orders!G1129</f>
        <v>660</v>
      </c>
      <c r="N1129">
        <f>IFERROR(VLOOKUP(Orders!D1129,Products!$A$2:$D$61,4,FALSE),"")</f>
        <v>329</v>
      </c>
      <c r="O1129">
        <f t="shared" si="38"/>
        <v>0.50151515151515147</v>
      </c>
      <c r="Q1129" t="str">
        <f>Orders!D1129</f>
        <v>PROD-037</v>
      </c>
    </row>
    <row r="1130" spans="1:17" x14ac:dyDescent="0.3">
      <c r="A1130" t="str">
        <f>Orders!A1130</f>
        <v>ORD-01129</v>
      </c>
      <c r="B1130">
        <f>Orders!B1130</f>
        <v>45441</v>
      </c>
      <c r="C1130">
        <f>Orders!I1130</f>
        <v>8407.68</v>
      </c>
      <c r="D1130" t="str">
        <f>Orders!E1130</f>
        <v>R014</v>
      </c>
      <c r="E1130" t="str">
        <f>IFERROR(VLOOKUP(Orders!D1130,Products!$A$2:$C$61,3,FALSE),"Unknown")</f>
        <v>Beauty</v>
      </c>
      <c r="F1130" t="str">
        <f>IFERROR(VLOOKUP(Orders!C1130,Customers!$A$2:$E$301,5,FALSE),"Unknown")</f>
        <v>Retail</v>
      </c>
      <c r="G1130">
        <f>IFERROR(VLOOKUP(Orders!C1130,Customers!$A$2:$C$301,3,FALSE),"")</f>
        <v>54</v>
      </c>
      <c r="H1130" t="str">
        <f>VLOOKUP(D1130,Sales_Reps!$A$2:$C$31,3,FALSE)</f>
        <v>South</v>
      </c>
      <c r="I1130" s="44">
        <f t="shared" si="37"/>
        <v>45413</v>
      </c>
      <c r="L1130" t="str">
        <f>Orders!K1130</f>
        <v>Delhi</v>
      </c>
      <c r="M1130">
        <f>Orders!G1130</f>
        <v>3020</v>
      </c>
      <c r="N1130">
        <f>IFERROR(VLOOKUP(Orders!D1130,Products!$A$2:$D$61,4,FALSE),"")</f>
        <v>1626</v>
      </c>
      <c r="O1130">
        <f t="shared" si="38"/>
        <v>0.46158940397350995</v>
      </c>
      <c r="Q1130" t="str">
        <f>Orders!D1130</f>
        <v>PROD-045</v>
      </c>
    </row>
    <row r="1131" spans="1:17" x14ac:dyDescent="0.3">
      <c r="A1131" t="str">
        <f>Orders!A1131</f>
        <v>ORD-01130</v>
      </c>
      <c r="B1131">
        <f>Orders!B1131</f>
        <v>45409</v>
      </c>
      <c r="C1131">
        <f>Orders!I1131</f>
        <v>7964.04</v>
      </c>
      <c r="D1131" t="str">
        <f>Orders!E1131</f>
        <v>R006</v>
      </c>
      <c r="E1131" t="str">
        <f>IFERROR(VLOOKUP(Orders!D1131,Products!$A$2:$C$61,3,FALSE),"Unknown")</f>
        <v>Electronics</v>
      </c>
      <c r="F1131" t="str">
        <f>IFERROR(VLOOKUP(Orders!C1131,Customers!$A$2:$E$301,5,FALSE),"Unknown")</f>
        <v>SMB</v>
      </c>
      <c r="G1131">
        <f>IFERROR(VLOOKUP(Orders!C1131,Customers!$A$2:$C$301,3,FALSE),"")</f>
        <v>61</v>
      </c>
      <c r="H1131" t="str">
        <f>VLOOKUP(D1131,Sales_Reps!$A$2:$C$31,3,FALSE)</f>
        <v>North</v>
      </c>
      <c r="I1131" s="44">
        <f t="shared" si="37"/>
        <v>45383</v>
      </c>
      <c r="L1131" t="str">
        <f>Orders!K1131</f>
        <v>Mumbai</v>
      </c>
      <c r="M1131">
        <f>Orders!G1131</f>
        <v>2660</v>
      </c>
      <c r="N1131">
        <f>IFERROR(VLOOKUP(Orders!D1131,Products!$A$2:$D$61,4,FALSE),"")</f>
        <v>1259</v>
      </c>
      <c r="O1131">
        <f t="shared" si="38"/>
        <v>0.52669172932330832</v>
      </c>
      <c r="Q1131" t="str">
        <f>Orders!D1131</f>
        <v>PROD-008</v>
      </c>
    </row>
    <row r="1132" spans="1:17" x14ac:dyDescent="0.3">
      <c r="A1132" t="str">
        <f>Orders!A1132</f>
        <v>ORD-01131</v>
      </c>
      <c r="B1132">
        <f>Orders!B1132</f>
        <v>45650</v>
      </c>
      <c r="C1132">
        <f>Orders!I1132</f>
        <v>3914.76</v>
      </c>
      <c r="D1132" t="str">
        <f>Orders!E1132</f>
        <v>R006</v>
      </c>
      <c r="E1132" t="str">
        <f>IFERROR(VLOOKUP(Orders!D1132,Products!$A$2:$C$61,3,FALSE),"Unknown")</f>
        <v>Sports</v>
      </c>
      <c r="F1132" t="str">
        <f>IFERROR(VLOOKUP(Orders!C1132,Customers!$A$2:$E$301,5,FALSE),"Unknown")</f>
        <v>Retail</v>
      </c>
      <c r="G1132">
        <f>IFERROR(VLOOKUP(Orders!C1132,Customers!$A$2:$C$301,3,FALSE),"")</f>
        <v>49</v>
      </c>
      <c r="H1132" t="str">
        <f>VLOOKUP(D1132,Sales_Reps!$A$2:$C$31,3,FALSE)</f>
        <v>North</v>
      </c>
      <c r="I1132" s="44">
        <f t="shared" si="37"/>
        <v>45627</v>
      </c>
      <c r="L1132" t="str">
        <f>Orders!K1132</f>
        <v>Mumbai</v>
      </c>
      <c r="M1132">
        <f>Orders!G1132</f>
        <v>1010</v>
      </c>
      <c r="N1132">
        <f>IFERROR(VLOOKUP(Orders!D1132,Products!$A$2:$D$61,4,FALSE),"")</f>
        <v>516</v>
      </c>
      <c r="O1132">
        <f t="shared" si="38"/>
        <v>0.4891089108910891</v>
      </c>
      <c r="Q1132" t="str">
        <f>Orders!D1132</f>
        <v>PROD-054</v>
      </c>
    </row>
    <row r="1133" spans="1:17" x14ac:dyDescent="0.3">
      <c r="A1133" t="str">
        <f>Orders!A1133</f>
        <v>ORD-01132</v>
      </c>
      <c r="B1133">
        <f>Orders!B1133</f>
        <v>45380</v>
      </c>
      <c r="C1133">
        <f>Orders!I1133</f>
        <v>26461.8</v>
      </c>
      <c r="D1133" t="str">
        <f>Orders!E1133</f>
        <v>R017</v>
      </c>
      <c r="E1133" t="str">
        <f>IFERROR(VLOOKUP(Orders!D1133,Products!$A$2:$C$61,3,FALSE),"Unknown")</f>
        <v>Home</v>
      </c>
      <c r="F1133" t="str">
        <f>IFERROR(VLOOKUP(Orders!C1133,Customers!$A$2:$E$301,5,FALSE),"Unknown")</f>
        <v>Retail</v>
      </c>
      <c r="G1133">
        <f>IFERROR(VLOOKUP(Orders!C1133,Customers!$A$2:$C$301,3,FALSE),"")</f>
        <v>35</v>
      </c>
      <c r="H1133" t="str">
        <f>VLOOKUP(D1133,Sales_Reps!$A$2:$C$31,3,FALSE)</f>
        <v>East</v>
      </c>
      <c r="I1133" s="44">
        <f t="shared" si="37"/>
        <v>45352</v>
      </c>
      <c r="L1133" t="str">
        <f>Orders!K1133</f>
        <v>Hyderabad</v>
      </c>
      <c r="M1133">
        <f>Orders!G1133</f>
        <v>5490</v>
      </c>
      <c r="N1133">
        <f>IFERROR(VLOOKUP(Orders!D1133,Products!$A$2:$D$61,4,FALSE),"")</f>
        <v>2549</v>
      </c>
      <c r="O1133">
        <f t="shared" si="38"/>
        <v>0.53570127504553733</v>
      </c>
      <c r="Q1133" t="str">
        <f>Orders!D1133</f>
        <v>PROD-038</v>
      </c>
    </row>
    <row r="1134" spans="1:17" x14ac:dyDescent="0.3">
      <c r="A1134" t="str">
        <f>Orders!A1134</f>
        <v>ORD-01133</v>
      </c>
      <c r="B1134">
        <f>Orders!B1134</f>
        <v>45322</v>
      </c>
      <c r="C1134">
        <f>Orders!I1134</f>
        <v>1816.8</v>
      </c>
      <c r="D1134" t="str">
        <f>Orders!E1134</f>
        <v>R019</v>
      </c>
      <c r="E1134" t="str">
        <f>IFERROR(VLOOKUP(Orders!D1134,Products!$A$2:$C$61,3,FALSE),"Unknown")</f>
        <v>Sports</v>
      </c>
      <c r="F1134" t="str">
        <f>IFERROR(VLOOKUP(Orders!C1134,Customers!$A$2:$E$301,5,FALSE),"Unknown")</f>
        <v>Retail</v>
      </c>
      <c r="G1134">
        <f>IFERROR(VLOOKUP(Orders!C1134,Customers!$A$2:$C$301,3,FALSE),"")</f>
        <v>54</v>
      </c>
      <c r="H1134" t="str">
        <f>VLOOKUP(D1134,Sales_Reps!$A$2:$C$31,3,FALSE)</f>
        <v>East</v>
      </c>
      <c r="I1134" s="44">
        <f t="shared" si="37"/>
        <v>45292</v>
      </c>
      <c r="L1134" t="str">
        <f>Orders!K1134</f>
        <v>Mumbai</v>
      </c>
      <c r="M1134">
        <f>Orders!G1134</f>
        <v>2400</v>
      </c>
      <c r="N1134">
        <f>IFERROR(VLOOKUP(Orders!D1134,Products!$A$2:$D$61,4,FALSE),"")</f>
        <v>974</v>
      </c>
      <c r="O1134">
        <f t="shared" si="38"/>
        <v>0.59416666666666662</v>
      </c>
      <c r="Q1134" t="str">
        <f>Orders!D1134</f>
        <v>PROD-058</v>
      </c>
    </row>
    <row r="1135" spans="1:17" x14ac:dyDescent="0.3">
      <c r="A1135" t="str">
        <f>Orders!A1135</f>
        <v>ORD-01134</v>
      </c>
      <c r="B1135">
        <f>Orders!B1135</f>
        <v>45532</v>
      </c>
      <c r="C1135">
        <f>Orders!I1135</f>
        <v>4234.5600000000004</v>
      </c>
      <c r="D1135" t="str">
        <f>Orders!E1135</f>
        <v>R009</v>
      </c>
      <c r="E1135" t="str">
        <f>IFERROR(VLOOKUP(Orders!D1135,Products!$A$2:$C$61,3,FALSE),"Unknown")</f>
        <v>Home</v>
      </c>
      <c r="F1135" t="str">
        <f>IFERROR(VLOOKUP(Orders!C1135,Customers!$A$2:$E$301,5,FALSE),"Unknown")</f>
        <v>SMB</v>
      </c>
      <c r="G1135">
        <f>IFERROR(VLOOKUP(Orders!C1135,Customers!$A$2:$C$301,3,FALSE),"")</f>
        <v>28</v>
      </c>
      <c r="H1135" t="str">
        <f>VLOOKUP(D1135,Sales_Reps!$A$2:$C$31,3,FALSE)</f>
        <v>South</v>
      </c>
      <c r="I1135" s="44">
        <f t="shared" si="37"/>
        <v>45505</v>
      </c>
      <c r="L1135" t="str">
        <f>Orders!K1135</f>
        <v>Delhi</v>
      </c>
      <c r="M1135">
        <f>Orders!G1135</f>
        <v>660</v>
      </c>
      <c r="N1135">
        <f>IFERROR(VLOOKUP(Orders!D1135,Products!$A$2:$D$61,4,FALSE),"")</f>
        <v>329</v>
      </c>
      <c r="O1135">
        <f t="shared" si="38"/>
        <v>0.50151515151515147</v>
      </c>
      <c r="Q1135" t="str">
        <f>Orders!D1135</f>
        <v>PROD-037</v>
      </c>
    </row>
    <row r="1136" spans="1:17" x14ac:dyDescent="0.3">
      <c r="A1136" t="str">
        <f>Orders!A1136</f>
        <v>ORD-01135</v>
      </c>
      <c r="B1136">
        <f>Orders!B1136</f>
        <v>45504</v>
      </c>
      <c r="C1136">
        <f>Orders!I1136</f>
        <v>40054.949999999997</v>
      </c>
      <c r="D1136" t="str">
        <f>Orders!E1136</f>
        <v>R016</v>
      </c>
      <c r="E1136" t="str">
        <f>IFERROR(VLOOKUP(Orders!D1136,Products!$A$2:$C$61,3,FALSE),"Unknown")</f>
        <v>Electronics</v>
      </c>
      <c r="F1136" t="str">
        <f>IFERROR(VLOOKUP(Orders!C1136,Customers!$A$2:$E$301,5,FALSE),"Unknown")</f>
        <v>SMB</v>
      </c>
      <c r="G1136">
        <f>IFERROR(VLOOKUP(Orders!C1136,Customers!$A$2:$C$301,3,FALSE),"")</f>
        <v>43</v>
      </c>
      <c r="H1136" t="str">
        <f>VLOOKUP(D1136,Sales_Reps!$A$2:$C$31,3,FALSE)</f>
        <v>South</v>
      </c>
      <c r="I1136" s="44">
        <f t="shared" si="37"/>
        <v>45474</v>
      </c>
      <c r="L1136" t="str">
        <f>Orders!K1136</f>
        <v>Chennai</v>
      </c>
      <c r="M1136">
        <f>Orders!G1136</f>
        <v>5330</v>
      </c>
      <c r="N1136">
        <f>IFERROR(VLOOKUP(Orders!D1136,Products!$A$2:$D$61,4,FALSE),"")</f>
        <v>2405</v>
      </c>
      <c r="O1136">
        <f t="shared" si="38"/>
        <v>0.54878048780487809</v>
      </c>
      <c r="Q1136" t="str">
        <f>Orders!D1136</f>
        <v>PROD-001</v>
      </c>
    </row>
    <row r="1137" spans="1:17" x14ac:dyDescent="0.3">
      <c r="A1137" t="str">
        <f>Orders!A1137</f>
        <v>ORD-01136</v>
      </c>
      <c r="B1137">
        <f>Orders!B1137</f>
        <v>45516</v>
      </c>
      <c r="C1137">
        <f>Orders!I1137</f>
        <v>12961</v>
      </c>
      <c r="D1137" t="str">
        <f>Orders!E1137</f>
        <v>R007</v>
      </c>
      <c r="E1137" t="str">
        <f>IFERROR(VLOOKUP(Orders!D1137,Products!$A$2:$C$61,3,FALSE),"Unknown")</f>
        <v>Electronics</v>
      </c>
      <c r="F1137" t="str">
        <f>IFERROR(VLOOKUP(Orders!C1137,Customers!$A$2:$E$301,5,FALSE),"Unknown")</f>
        <v>Corporate</v>
      </c>
      <c r="G1137">
        <f>IFERROR(VLOOKUP(Orders!C1137,Customers!$A$2:$C$301,3,FALSE),"")</f>
        <v>30</v>
      </c>
      <c r="H1137" t="str">
        <f>VLOOKUP(D1137,Sales_Reps!$A$2:$C$31,3,FALSE)</f>
        <v>North</v>
      </c>
      <c r="I1137" s="44">
        <f t="shared" si="37"/>
        <v>45505</v>
      </c>
      <c r="L1137" t="str">
        <f>Orders!K1137</f>
        <v>Chennai</v>
      </c>
      <c r="M1137">
        <f>Orders!G1137</f>
        <v>2600</v>
      </c>
      <c r="N1137">
        <f>IFERROR(VLOOKUP(Orders!D1137,Products!$A$2:$D$61,4,FALSE),"")</f>
        <v>1052</v>
      </c>
      <c r="O1137">
        <f t="shared" si="38"/>
        <v>0.5953846153846154</v>
      </c>
      <c r="Q1137" t="str">
        <f>Orders!D1137</f>
        <v>PROD-002</v>
      </c>
    </row>
    <row r="1138" spans="1:17" x14ac:dyDescent="0.3">
      <c r="A1138" t="str">
        <f>Orders!A1138</f>
        <v>ORD-01137</v>
      </c>
      <c r="B1138">
        <f>Orders!B1138</f>
        <v>45462</v>
      </c>
      <c r="C1138">
        <f>Orders!I1138</f>
        <v>17515.84</v>
      </c>
      <c r="D1138" t="str">
        <f>Orders!E1138</f>
        <v>R018</v>
      </c>
      <c r="E1138" t="str">
        <f>IFERROR(VLOOKUP(Orders!D1138,Products!$A$2:$C$61,3,FALSE),"Unknown")</f>
        <v>Home</v>
      </c>
      <c r="F1138" t="str">
        <f>IFERROR(VLOOKUP(Orders!C1138,Customers!$A$2:$E$301,5,FALSE),"Unknown")</f>
        <v>Retail</v>
      </c>
      <c r="G1138">
        <f>IFERROR(VLOOKUP(Orders!C1138,Customers!$A$2:$C$301,3,FALSE),"")</f>
        <v>53</v>
      </c>
      <c r="H1138" t="str">
        <f>VLOOKUP(D1138,Sales_Reps!$A$2:$C$31,3,FALSE)</f>
        <v>East</v>
      </c>
      <c r="I1138" s="44">
        <f t="shared" si="37"/>
        <v>45444</v>
      </c>
      <c r="L1138" t="str">
        <f>Orders!K1138</f>
        <v>Bengaluru</v>
      </c>
      <c r="M1138">
        <f>Orders!G1138</f>
        <v>5080</v>
      </c>
      <c r="N1138">
        <f>IFERROR(VLOOKUP(Orders!D1138,Products!$A$2:$D$61,4,FALSE),"")</f>
        <v>2459</v>
      </c>
      <c r="O1138">
        <f t="shared" si="38"/>
        <v>0.51594488188976373</v>
      </c>
      <c r="Q1138" t="str">
        <f>Orders!D1138</f>
        <v>PROD-034</v>
      </c>
    </row>
    <row r="1139" spans="1:17" x14ac:dyDescent="0.3">
      <c r="A1139" t="str">
        <f>Orders!A1139</f>
        <v>ORD-01138</v>
      </c>
      <c r="B1139">
        <f>Orders!B1139</f>
        <v>45597</v>
      </c>
      <c r="C1139">
        <f>Orders!I1139</f>
        <v>14077.7</v>
      </c>
      <c r="D1139" t="str">
        <f>Orders!E1139</f>
        <v>R002</v>
      </c>
      <c r="E1139" t="str">
        <f>IFERROR(VLOOKUP(Orders!D1139,Products!$A$2:$C$61,3,FALSE),"Unknown")</f>
        <v>Grocery</v>
      </c>
      <c r="F1139" t="str">
        <f>IFERROR(VLOOKUP(Orders!C1139,Customers!$A$2:$E$301,5,FALSE),"Unknown")</f>
        <v>Retail</v>
      </c>
      <c r="G1139">
        <f>IFERROR(VLOOKUP(Orders!C1139,Customers!$A$2:$C$301,3,FALSE),"")</f>
        <v>44</v>
      </c>
      <c r="H1139" t="str">
        <f>VLOOKUP(D1139,Sales_Reps!$A$2:$C$31,3,FALSE)</f>
        <v>North</v>
      </c>
      <c r="I1139" s="44">
        <f t="shared" si="37"/>
        <v>45597</v>
      </c>
      <c r="L1139" t="str">
        <f>Orders!K1139</f>
        <v>Pune</v>
      </c>
      <c r="M1139">
        <f>Orders!G1139</f>
        <v>2380</v>
      </c>
      <c r="N1139">
        <f>IFERROR(VLOOKUP(Orders!D1139,Products!$A$2:$D$61,4,FALSE),"")</f>
        <v>1182</v>
      </c>
      <c r="O1139">
        <f t="shared" si="38"/>
        <v>0.50336134453781511</v>
      </c>
      <c r="Q1139" t="str">
        <f>Orders!D1139</f>
        <v>PROD-023</v>
      </c>
    </row>
    <row r="1140" spans="1:17" x14ac:dyDescent="0.3">
      <c r="A1140" t="str">
        <f>Orders!A1140</f>
        <v>ORD-01139</v>
      </c>
      <c r="B1140">
        <f>Orders!B1140</f>
        <v>45648</v>
      </c>
      <c r="C1140">
        <f>Orders!I1140</f>
        <v>13746.96</v>
      </c>
      <c r="D1140" t="str">
        <f>Orders!E1140</f>
        <v>R006</v>
      </c>
      <c r="E1140" t="str">
        <f>IFERROR(VLOOKUP(Orders!D1140,Products!$A$2:$C$61,3,FALSE),"Unknown")</f>
        <v>Beauty</v>
      </c>
      <c r="F1140" t="str">
        <f>IFERROR(VLOOKUP(Orders!C1140,Customers!$A$2:$E$301,5,FALSE),"Unknown")</f>
        <v>Retail</v>
      </c>
      <c r="G1140">
        <f>IFERROR(VLOOKUP(Orders!C1140,Customers!$A$2:$C$301,3,FALSE),"")</f>
        <v>34</v>
      </c>
      <c r="H1140" t="str">
        <f>VLOOKUP(D1140,Sales_Reps!$A$2:$C$31,3,FALSE)</f>
        <v>North</v>
      </c>
      <c r="I1140" s="44">
        <f t="shared" si="37"/>
        <v>45627</v>
      </c>
      <c r="L1140" t="str">
        <f>Orders!K1140</f>
        <v>Bengaluru</v>
      </c>
      <c r="M1140">
        <f>Orders!G1140</f>
        <v>4880</v>
      </c>
      <c r="N1140">
        <f>IFERROR(VLOOKUP(Orders!D1140,Products!$A$2:$D$61,4,FALSE),"")</f>
        <v>2768</v>
      </c>
      <c r="O1140">
        <f t="shared" si="38"/>
        <v>0.43278688524590164</v>
      </c>
      <c r="Q1140" t="str">
        <f>Orders!D1140</f>
        <v>PROD-046</v>
      </c>
    </row>
    <row r="1141" spans="1:17" x14ac:dyDescent="0.3">
      <c r="A1141" t="str">
        <f>Orders!A1141</f>
        <v>ORD-01140</v>
      </c>
      <c r="B1141">
        <f>Orders!B1141</f>
        <v>45355</v>
      </c>
      <c r="C1141">
        <f>Orders!I1141</f>
        <v>5547.6</v>
      </c>
      <c r="D1141" t="str">
        <f>Orders!E1141</f>
        <v>R009</v>
      </c>
      <c r="E1141" t="str">
        <f>IFERROR(VLOOKUP(Orders!D1141,Products!$A$2:$C$61,3,FALSE),"Unknown")</f>
        <v>Beauty</v>
      </c>
      <c r="F1141" t="str">
        <f>IFERROR(VLOOKUP(Orders!C1141,Customers!$A$2:$E$301,5,FALSE),"Unknown")</f>
        <v>SMB</v>
      </c>
      <c r="G1141">
        <f>IFERROR(VLOOKUP(Orders!C1141,Customers!$A$2:$C$301,3,FALSE),"")</f>
        <v>26</v>
      </c>
      <c r="H1141" t="str">
        <f>VLOOKUP(D1141,Sales_Reps!$A$2:$C$31,3,FALSE)</f>
        <v>South</v>
      </c>
      <c r="I1141" s="44">
        <f t="shared" si="37"/>
        <v>45352</v>
      </c>
      <c r="L1141" t="str">
        <f>Orders!K1141</f>
        <v>Chennai</v>
      </c>
      <c r="M1141">
        <f>Orders!G1141</f>
        <v>3350</v>
      </c>
      <c r="N1141">
        <f>IFERROR(VLOOKUP(Orders!D1141,Products!$A$2:$D$61,4,FALSE),"")</f>
        <v>1728</v>
      </c>
      <c r="O1141">
        <f t="shared" si="38"/>
        <v>0.48417910447761192</v>
      </c>
      <c r="Q1141" t="str">
        <f>Orders!D1141</f>
        <v>PROD-043</v>
      </c>
    </row>
    <row r="1142" spans="1:17" x14ac:dyDescent="0.3">
      <c r="A1142" t="str">
        <f>Orders!A1142</f>
        <v>ORD-01141</v>
      </c>
      <c r="B1142">
        <f>Orders!B1142</f>
        <v>45331</v>
      </c>
      <c r="C1142">
        <f>Orders!I1142</f>
        <v>3705.4</v>
      </c>
      <c r="D1142" t="str">
        <f>Orders!E1142</f>
        <v>R024</v>
      </c>
      <c r="E1142" t="str">
        <f>IFERROR(VLOOKUP(Orders!D1142,Products!$A$2:$C$61,3,FALSE),"Unknown")</f>
        <v>Grocery</v>
      </c>
      <c r="F1142" t="str">
        <f>IFERROR(VLOOKUP(Orders!C1142,Customers!$A$2:$E$301,5,FALSE),"Unknown")</f>
        <v>Retail</v>
      </c>
      <c r="G1142">
        <f>IFERROR(VLOOKUP(Orders!C1142,Customers!$A$2:$C$301,3,FALSE),"")</f>
        <v>35</v>
      </c>
      <c r="H1142" t="str">
        <f>VLOOKUP(D1142,Sales_Reps!$A$2:$C$31,3,FALSE)</f>
        <v>West</v>
      </c>
      <c r="I1142" s="44">
        <f t="shared" si="37"/>
        <v>45323</v>
      </c>
      <c r="L1142" t="str">
        <f>Orders!K1142</f>
        <v>Chennai</v>
      </c>
      <c r="M1142">
        <f>Orders!G1142</f>
        <v>970</v>
      </c>
      <c r="N1142">
        <f>IFERROR(VLOOKUP(Orders!D1142,Products!$A$2:$D$61,4,FALSE),"")</f>
        <v>434</v>
      </c>
      <c r="O1142">
        <f t="shared" si="38"/>
        <v>0.5525773195876289</v>
      </c>
      <c r="Q1142" t="str">
        <f>Orders!D1142</f>
        <v>PROD-030</v>
      </c>
    </row>
    <row r="1143" spans="1:17" x14ac:dyDescent="0.3">
      <c r="A1143" t="str">
        <f>Orders!A1143</f>
        <v>ORD-01142</v>
      </c>
      <c r="B1143">
        <f>Orders!B1143</f>
        <v>45632</v>
      </c>
      <c r="C1143">
        <f>Orders!I1143</f>
        <v>1443</v>
      </c>
      <c r="D1143" t="str">
        <f>Orders!E1143</f>
        <v>R022</v>
      </c>
      <c r="E1143" t="str">
        <f>IFERROR(VLOOKUP(Orders!D1143,Products!$A$2:$C$61,3,FALSE),"Unknown")</f>
        <v>Electronics</v>
      </c>
      <c r="F1143" t="str">
        <f>IFERROR(VLOOKUP(Orders!C1143,Customers!$A$2:$E$301,5,FALSE),"Unknown")</f>
        <v>SMB</v>
      </c>
      <c r="G1143">
        <f>IFERROR(VLOOKUP(Orders!C1143,Customers!$A$2:$C$301,3,FALSE),"")</f>
        <v>57</v>
      </c>
      <c r="H1143" t="str">
        <f>VLOOKUP(D1143,Sales_Reps!$A$2:$C$31,3,FALSE)</f>
        <v>East</v>
      </c>
      <c r="I1143" s="44">
        <f t="shared" si="37"/>
        <v>45627</v>
      </c>
      <c r="L1143" t="str">
        <f>Orders!K1143</f>
        <v>Chennai</v>
      </c>
      <c r="M1143">
        <f>Orders!G1143</f>
        <v>300</v>
      </c>
      <c r="N1143">
        <f>IFERROR(VLOOKUP(Orders!D1143,Products!$A$2:$D$61,4,FALSE),"")</f>
        <v>128</v>
      </c>
      <c r="O1143">
        <f t="shared" si="38"/>
        <v>0.57333333333333336</v>
      </c>
      <c r="Q1143" t="str">
        <f>Orders!D1143</f>
        <v>PROD-005</v>
      </c>
    </row>
    <row r="1144" spans="1:17" x14ac:dyDescent="0.3">
      <c r="A1144" t="str">
        <f>Orders!A1144</f>
        <v>ORD-01143</v>
      </c>
      <c r="B1144">
        <f>Orders!B1144</f>
        <v>45358</v>
      </c>
      <c r="C1144">
        <f>Orders!I1144</f>
        <v>35444.160000000003</v>
      </c>
      <c r="D1144" t="str">
        <f>Orders!E1144</f>
        <v>R005</v>
      </c>
      <c r="E1144" t="str">
        <f>IFERROR(VLOOKUP(Orders!D1144,Products!$A$2:$C$61,3,FALSE),"Unknown")</f>
        <v>Electronics</v>
      </c>
      <c r="F1144" t="str">
        <f>IFERROR(VLOOKUP(Orders!C1144,Customers!$A$2:$E$301,5,FALSE),"Unknown")</f>
        <v>Retail</v>
      </c>
      <c r="G1144">
        <f>IFERROR(VLOOKUP(Orders!C1144,Customers!$A$2:$C$301,3,FALSE),"")</f>
        <v>62</v>
      </c>
      <c r="H1144" t="str">
        <f>VLOOKUP(D1144,Sales_Reps!$A$2:$C$31,3,FALSE)</f>
        <v>North</v>
      </c>
      <c r="I1144" s="44">
        <f t="shared" si="37"/>
        <v>45352</v>
      </c>
      <c r="L1144" t="str">
        <f>Orders!K1144</f>
        <v>Pune</v>
      </c>
      <c r="M1144">
        <f>Orders!G1144</f>
        <v>3970</v>
      </c>
      <c r="N1144">
        <f>IFERROR(VLOOKUP(Orders!D1144,Products!$A$2:$D$61,4,FALSE),"")</f>
        <v>2865</v>
      </c>
      <c r="O1144">
        <f t="shared" si="38"/>
        <v>0.27833753148614609</v>
      </c>
      <c r="Q1144" t="str">
        <f>Orders!D1144</f>
        <v>PROD-006</v>
      </c>
    </row>
    <row r="1145" spans="1:17" x14ac:dyDescent="0.3">
      <c r="A1145" t="str">
        <f>Orders!A1145</f>
        <v>ORD-01144</v>
      </c>
      <c r="B1145">
        <f>Orders!B1145</f>
        <v>45440</v>
      </c>
      <c r="C1145">
        <f>Orders!I1145</f>
        <v>9498.24</v>
      </c>
      <c r="D1145" t="str">
        <f>Orders!E1145</f>
        <v>R013</v>
      </c>
      <c r="E1145" t="str">
        <f>IFERROR(VLOOKUP(Orders!D1145,Products!$A$2:$C$61,3,FALSE),"Unknown")</f>
        <v>Apparel</v>
      </c>
      <c r="F1145" t="str">
        <f>IFERROR(VLOOKUP(Orders!C1145,Customers!$A$2:$E$301,5,FALSE),"Unknown")</f>
        <v>Corporate</v>
      </c>
      <c r="G1145">
        <f>IFERROR(VLOOKUP(Orders!C1145,Customers!$A$2:$C$301,3,FALSE),"")</f>
        <v>46</v>
      </c>
      <c r="H1145" t="str">
        <f>VLOOKUP(D1145,Sales_Reps!$A$2:$C$31,3,FALSE)</f>
        <v>South</v>
      </c>
      <c r="I1145" s="44">
        <f t="shared" si="37"/>
        <v>45413</v>
      </c>
      <c r="L1145" t="str">
        <f>Orders!K1145</f>
        <v>Mumbai</v>
      </c>
      <c r="M1145">
        <f>Orders!G1145</f>
        <v>2720</v>
      </c>
      <c r="N1145">
        <f>IFERROR(VLOOKUP(Orders!D1145,Products!$A$2:$D$61,4,FALSE),"")</f>
        <v>1962</v>
      </c>
      <c r="O1145">
        <f t="shared" si="38"/>
        <v>0.2786764705882353</v>
      </c>
      <c r="Q1145" t="str">
        <f>Orders!D1145</f>
        <v>PROD-015</v>
      </c>
    </row>
    <row r="1146" spans="1:17" x14ac:dyDescent="0.3">
      <c r="A1146" t="str">
        <f>Orders!A1146</f>
        <v>ORD-01145</v>
      </c>
      <c r="B1146">
        <f>Orders!B1146</f>
        <v>45412</v>
      </c>
      <c r="C1146">
        <f>Orders!I1146</f>
        <v>1757.7</v>
      </c>
      <c r="D1146" t="str">
        <f>Orders!E1146</f>
        <v>R021</v>
      </c>
      <c r="E1146" t="str">
        <f>IFERROR(VLOOKUP(Orders!D1146,Products!$A$2:$C$61,3,FALSE),"Unknown")</f>
        <v>Apparel</v>
      </c>
      <c r="F1146" t="str">
        <f>IFERROR(VLOOKUP(Orders!C1146,Customers!$A$2:$E$301,5,FALSE),"Unknown")</f>
        <v>Retail</v>
      </c>
      <c r="G1146">
        <f>IFERROR(VLOOKUP(Orders!C1146,Customers!$A$2:$C$301,3,FALSE),"")</f>
        <v>44</v>
      </c>
      <c r="H1146" t="str">
        <f>VLOOKUP(D1146,Sales_Reps!$A$2:$C$31,3,FALSE)</f>
        <v>East</v>
      </c>
      <c r="I1146" s="44">
        <f t="shared" si="37"/>
        <v>45383</v>
      </c>
      <c r="L1146" t="str">
        <f>Orders!K1146</f>
        <v>Pune</v>
      </c>
      <c r="M1146">
        <f>Orders!G1146</f>
        <v>620</v>
      </c>
      <c r="N1146">
        <f>IFERROR(VLOOKUP(Orders!D1146,Products!$A$2:$D$61,4,FALSE),"")</f>
        <v>396</v>
      </c>
      <c r="O1146">
        <f t="shared" si="38"/>
        <v>0.36129032258064514</v>
      </c>
      <c r="Q1146" t="str">
        <f>Orders!D1146</f>
        <v>PROD-016</v>
      </c>
    </row>
    <row r="1147" spans="1:17" x14ac:dyDescent="0.3">
      <c r="A1147" t="str">
        <f>Orders!A1147</f>
        <v>ORD-01146</v>
      </c>
      <c r="B1147">
        <f>Orders!B1147</f>
        <v>45479</v>
      </c>
      <c r="C1147">
        <f>Orders!I1147</f>
        <v>3012.24</v>
      </c>
      <c r="D1147" t="str">
        <f>Orders!E1147</f>
        <v>R024</v>
      </c>
      <c r="E1147" t="str">
        <f>IFERROR(VLOOKUP(Orders!D1147,Products!$A$2:$C$61,3,FALSE),"Unknown")</f>
        <v>Beauty</v>
      </c>
      <c r="F1147" t="str">
        <f>IFERROR(VLOOKUP(Orders!C1147,Customers!$A$2:$E$301,5,FALSE),"Unknown")</f>
        <v>Corporate</v>
      </c>
      <c r="G1147">
        <f>IFERROR(VLOOKUP(Orders!C1147,Customers!$A$2:$C$301,3,FALSE),"")</f>
        <v>55</v>
      </c>
      <c r="H1147" t="str">
        <f>VLOOKUP(D1147,Sales_Reps!$A$2:$C$31,3,FALSE)</f>
        <v>West</v>
      </c>
      <c r="I1147" s="44">
        <f t="shared" si="37"/>
        <v>45474</v>
      </c>
      <c r="L1147" t="str">
        <f>Orders!K1147</f>
        <v>Chennai</v>
      </c>
      <c r="M1147">
        <f>Orders!G1147</f>
        <v>1540</v>
      </c>
      <c r="N1147">
        <f>IFERROR(VLOOKUP(Orders!D1147,Products!$A$2:$D$61,4,FALSE),"")</f>
        <v>647</v>
      </c>
      <c r="O1147">
        <f t="shared" si="38"/>
        <v>0.57987012987012987</v>
      </c>
      <c r="Q1147" t="str">
        <f>Orders!D1147</f>
        <v>PROD-041</v>
      </c>
    </row>
    <row r="1148" spans="1:17" x14ac:dyDescent="0.3">
      <c r="A1148" t="str">
        <f>Orders!A1148</f>
        <v>ORD-01147</v>
      </c>
      <c r="B1148">
        <f>Orders!B1148</f>
        <v>45534</v>
      </c>
      <c r="C1148">
        <f>Orders!I1148</f>
        <v>1731.24</v>
      </c>
      <c r="D1148" t="str">
        <f>Orders!E1148</f>
        <v>R026</v>
      </c>
      <c r="E1148" t="str">
        <f>IFERROR(VLOOKUP(Orders!D1148,Products!$A$2:$C$61,3,FALSE),"Unknown")</f>
        <v>Beauty</v>
      </c>
      <c r="F1148" t="str">
        <f>IFERROR(VLOOKUP(Orders!C1148,Customers!$A$2:$E$301,5,FALSE),"Unknown")</f>
        <v>Retail</v>
      </c>
      <c r="G1148">
        <f>IFERROR(VLOOKUP(Orders!C1148,Customers!$A$2:$C$301,3,FALSE),"")</f>
        <v>46</v>
      </c>
      <c r="H1148" t="str">
        <f>VLOOKUP(D1148,Sales_Reps!$A$2:$C$31,3,FALSE)</f>
        <v>West</v>
      </c>
      <c r="I1148" s="44">
        <f t="shared" si="37"/>
        <v>45505</v>
      </c>
      <c r="L1148" t="str">
        <f>Orders!K1148</f>
        <v>Hyderabad</v>
      </c>
      <c r="M1148">
        <f>Orders!G1148</f>
        <v>2290</v>
      </c>
      <c r="N1148">
        <f>IFERROR(VLOOKUP(Orders!D1148,Products!$A$2:$D$61,4,FALSE),"")</f>
        <v>1219</v>
      </c>
      <c r="O1148">
        <f t="shared" si="38"/>
        <v>0.46768558951965067</v>
      </c>
      <c r="Q1148" t="str">
        <f>Orders!D1148</f>
        <v>PROD-042</v>
      </c>
    </row>
    <row r="1149" spans="1:17" x14ac:dyDescent="0.3">
      <c r="A1149" t="str">
        <f>Orders!A1149</f>
        <v>ORD-01148</v>
      </c>
      <c r="B1149">
        <f>Orders!B1149</f>
        <v>45313</v>
      </c>
      <c r="C1149">
        <f>Orders!I1149</f>
        <v>21390.080000000002</v>
      </c>
      <c r="D1149" t="str">
        <f>Orders!E1149</f>
        <v>R018</v>
      </c>
      <c r="E1149" t="str">
        <f>IFERROR(VLOOKUP(Orders!D1149,Products!$A$2:$C$61,3,FALSE),"Unknown")</f>
        <v>Apparel</v>
      </c>
      <c r="F1149" t="str">
        <f>IFERROR(VLOOKUP(Orders!C1149,Customers!$A$2:$E$301,5,FALSE),"Unknown")</f>
        <v>SMB</v>
      </c>
      <c r="G1149">
        <f>IFERROR(VLOOKUP(Orders!C1149,Customers!$A$2:$C$301,3,FALSE),"")</f>
        <v>26</v>
      </c>
      <c r="H1149" t="str">
        <f>VLOOKUP(D1149,Sales_Reps!$A$2:$C$31,3,FALSE)</f>
        <v>East</v>
      </c>
      <c r="I1149" s="44">
        <f t="shared" si="37"/>
        <v>45292</v>
      </c>
      <c r="L1149" t="str">
        <f>Orders!K1149</f>
        <v>Delhi</v>
      </c>
      <c r="M1149">
        <f>Orders!G1149</f>
        <v>2720</v>
      </c>
      <c r="N1149">
        <f>IFERROR(VLOOKUP(Orders!D1149,Products!$A$2:$D$61,4,FALSE),"")</f>
        <v>1962</v>
      </c>
      <c r="O1149">
        <f t="shared" si="38"/>
        <v>0.2786764705882353</v>
      </c>
      <c r="Q1149" t="str">
        <f>Orders!D1149</f>
        <v>PROD-015</v>
      </c>
    </row>
    <row r="1150" spans="1:17" x14ac:dyDescent="0.3">
      <c r="A1150" t="str">
        <f>Orders!A1150</f>
        <v>ORD-01149</v>
      </c>
      <c r="B1150">
        <f>Orders!B1150</f>
        <v>45390</v>
      </c>
      <c r="C1150">
        <f>Orders!I1150</f>
        <v>13056.96</v>
      </c>
      <c r="D1150" t="str">
        <f>Orders!E1150</f>
        <v>R023</v>
      </c>
      <c r="E1150" t="str">
        <f>IFERROR(VLOOKUP(Orders!D1150,Products!$A$2:$C$61,3,FALSE),"Unknown")</f>
        <v>Grocery</v>
      </c>
      <c r="F1150" t="str">
        <f>IFERROR(VLOOKUP(Orders!C1150,Customers!$A$2:$E$301,5,FALSE),"Unknown")</f>
        <v>Corporate</v>
      </c>
      <c r="G1150">
        <f>IFERROR(VLOOKUP(Orders!C1150,Customers!$A$2:$C$301,3,FALSE),"")</f>
        <v>25</v>
      </c>
      <c r="H1150" t="str">
        <f>VLOOKUP(D1150,Sales_Reps!$A$2:$C$31,3,FALSE)</f>
        <v>East</v>
      </c>
      <c r="I1150" s="44">
        <f t="shared" si="37"/>
        <v>45383</v>
      </c>
      <c r="L1150" t="str">
        <f>Orders!K1150</f>
        <v>Hyderabad</v>
      </c>
      <c r="M1150">
        <f>Orders!G1150</f>
        <v>4060</v>
      </c>
      <c r="N1150">
        <f>IFERROR(VLOOKUP(Orders!D1150,Products!$A$2:$D$61,4,FALSE),"")</f>
        <v>2911</v>
      </c>
      <c r="O1150">
        <f t="shared" si="38"/>
        <v>0.28300492610837441</v>
      </c>
      <c r="Q1150" t="str">
        <f>Orders!D1150</f>
        <v>PROD-025</v>
      </c>
    </row>
    <row r="1151" spans="1:17" x14ac:dyDescent="0.3">
      <c r="A1151" t="str">
        <f>Orders!A1151</f>
        <v>ORD-01150</v>
      </c>
      <c r="B1151">
        <f>Orders!B1151</f>
        <v>45370</v>
      </c>
      <c r="C1151">
        <f>Orders!I1151</f>
        <v>25475.52</v>
      </c>
      <c r="D1151" t="str">
        <f>Orders!E1151</f>
        <v>R016</v>
      </c>
      <c r="E1151" t="str">
        <f>IFERROR(VLOOKUP(Orders!D1151,Products!$A$2:$C$61,3,FALSE),"Unknown")</f>
        <v>Electronics</v>
      </c>
      <c r="F1151" t="str">
        <f>IFERROR(VLOOKUP(Orders!C1151,Customers!$A$2:$E$301,5,FALSE),"Unknown")</f>
        <v>Retail</v>
      </c>
      <c r="G1151">
        <f>IFERROR(VLOOKUP(Orders!C1151,Customers!$A$2:$C$301,3,FALSE),"")</f>
        <v>26</v>
      </c>
      <c r="H1151" t="str">
        <f>VLOOKUP(D1151,Sales_Reps!$A$2:$C$31,3,FALSE)</f>
        <v>South</v>
      </c>
      <c r="I1151" s="44">
        <f t="shared" si="37"/>
        <v>45352</v>
      </c>
      <c r="L1151" t="str">
        <f>Orders!K1151</f>
        <v>Chennai</v>
      </c>
      <c r="M1151">
        <f>Orders!G1151</f>
        <v>3570</v>
      </c>
      <c r="N1151">
        <f>IFERROR(VLOOKUP(Orders!D1151,Products!$A$2:$D$61,4,FALSE),"")</f>
        <v>1665</v>
      </c>
      <c r="O1151">
        <f t="shared" si="38"/>
        <v>0.53361344537815125</v>
      </c>
      <c r="Q1151" t="str">
        <f>Orders!D1151</f>
        <v>PROD-003</v>
      </c>
    </row>
    <row r="1152" spans="1:17" x14ac:dyDescent="0.3">
      <c r="A1152" t="str">
        <f>Orders!A1152</f>
        <v>ORD-01151</v>
      </c>
      <c r="B1152">
        <f>Orders!B1152</f>
        <v>45324</v>
      </c>
      <c r="C1152">
        <f>Orders!I1152</f>
        <v>29842.5</v>
      </c>
      <c r="D1152" t="str">
        <f>Orders!E1152</f>
        <v>R004</v>
      </c>
      <c r="E1152" t="str">
        <f>IFERROR(VLOOKUP(Orders!D1152,Products!$A$2:$C$61,3,FALSE),"Unknown")</f>
        <v>Sports</v>
      </c>
      <c r="F1152" t="str">
        <f>IFERROR(VLOOKUP(Orders!C1152,Customers!$A$2:$E$301,5,FALSE),"Unknown")</f>
        <v>Retail</v>
      </c>
      <c r="G1152">
        <f>IFERROR(VLOOKUP(Orders!C1152,Customers!$A$2:$C$301,3,FALSE),"")</f>
        <v>55</v>
      </c>
      <c r="H1152" t="str">
        <f>VLOOKUP(D1152,Sales_Reps!$A$2:$C$31,3,FALSE)</f>
        <v>North</v>
      </c>
      <c r="I1152" s="44">
        <f t="shared" si="37"/>
        <v>45323</v>
      </c>
      <c r="L1152" t="str">
        <f>Orders!K1152</f>
        <v>Bengaluru</v>
      </c>
      <c r="M1152">
        <f>Orders!G1152</f>
        <v>3450</v>
      </c>
      <c r="N1152">
        <f>IFERROR(VLOOKUP(Orders!D1152,Products!$A$2:$D$61,4,FALSE),"")</f>
        <v>2467</v>
      </c>
      <c r="O1152">
        <f t="shared" si="38"/>
        <v>0.28492753623188405</v>
      </c>
      <c r="Q1152" t="str">
        <f>Orders!D1152</f>
        <v>PROD-051</v>
      </c>
    </row>
    <row r="1153" spans="1:17" x14ac:dyDescent="0.3">
      <c r="A1153" t="str">
        <f>Orders!A1153</f>
        <v>ORD-01152</v>
      </c>
      <c r="B1153">
        <f>Orders!B1153</f>
        <v>45469</v>
      </c>
      <c r="C1153">
        <f>Orders!I1153</f>
        <v>18532.8</v>
      </c>
      <c r="D1153" t="str">
        <f>Orders!E1153</f>
        <v>R007</v>
      </c>
      <c r="E1153" t="str">
        <f>IFERROR(VLOOKUP(Orders!D1153,Products!$A$2:$C$61,3,FALSE),"Unknown")</f>
        <v>Electronics</v>
      </c>
      <c r="F1153" t="str">
        <f>IFERROR(VLOOKUP(Orders!C1153,Customers!$A$2:$E$301,5,FALSE),"Unknown")</f>
        <v>Retail</v>
      </c>
      <c r="G1153">
        <f>IFERROR(VLOOKUP(Orders!C1153,Customers!$A$2:$C$301,3,FALSE),"")</f>
        <v>44</v>
      </c>
      <c r="H1153" t="str">
        <f>VLOOKUP(D1153,Sales_Reps!$A$2:$C$31,3,FALSE)</f>
        <v>North</v>
      </c>
      <c r="I1153" s="44">
        <f t="shared" si="37"/>
        <v>45444</v>
      </c>
      <c r="L1153" t="str">
        <f>Orders!K1153</f>
        <v>Delhi</v>
      </c>
      <c r="M1153">
        <f>Orders!G1153</f>
        <v>2640</v>
      </c>
      <c r="N1153">
        <f>IFERROR(VLOOKUP(Orders!D1153,Products!$A$2:$D$61,4,FALSE),"")</f>
        <v>1149</v>
      </c>
      <c r="O1153">
        <f t="shared" si="38"/>
        <v>0.56477272727272732</v>
      </c>
      <c r="Q1153" t="str">
        <f>Orders!D1153</f>
        <v>PROD-010</v>
      </c>
    </row>
    <row r="1154" spans="1:17" x14ac:dyDescent="0.3">
      <c r="A1154" t="str">
        <f>Orders!A1154</f>
        <v>ORD-01153</v>
      </c>
      <c r="B1154">
        <f>Orders!B1154</f>
        <v>45619</v>
      </c>
      <c r="C1154">
        <f>Orders!I1154</f>
        <v>826.95</v>
      </c>
      <c r="D1154" t="str">
        <f>Orders!E1154</f>
        <v>R009</v>
      </c>
      <c r="E1154" t="str">
        <f>IFERROR(VLOOKUP(Orders!D1154,Products!$A$2:$C$61,3,FALSE),"Unknown")</f>
        <v>Home</v>
      </c>
      <c r="F1154" t="str">
        <f>IFERROR(VLOOKUP(Orders!C1154,Customers!$A$2:$E$301,5,FALSE),"Unknown")</f>
        <v>Retail</v>
      </c>
      <c r="G1154">
        <f>IFERROR(VLOOKUP(Orders!C1154,Customers!$A$2:$C$301,3,FALSE),"")</f>
        <v>24</v>
      </c>
      <c r="H1154" t="str">
        <f>VLOOKUP(D1154,Sales_Reps!$A$2:$C$31,3,FALSE)</f>
        <v>South</v>
      </c>
      <c r="I1154" s="44">
        <f t="shared" si="37"/>
        <v>45597</v>
      </c>
      <c r="L1154" t="str">
        <f>Orders!K1154</f>
        <v>Chennai</v>
      </c>
      <c r="M1154">
        <f>Orders!G1154</f>
        <v>370</v>
      </c>
      <c r="N1154">
        <f>IFERROR(VLOOKUP(Orders!D1154,Products!$A$2:$D$61,4,FALSE),"")</f>
        <v>288</v>
      </c>
      <c r="O1154">
        <f t="shared" si="38"/>
        <v>0.22162162162162163</v>
      </c>
      <c r="Q1154" t="str">
        <f>Orders!D1154</f>
        <v>PROD-032</v>
      </c>
    </row>
    <row r="1155" spans="1:17" x14ac:dyDescent="0.3">
      <c r="A1155" t="str">
        <f>Orders!A1155</f>
        <v>ORD-01154</v>
      </c>
      <c r="B1155">
        <f>Orders!B1155</f>
        <v>45627</v>
      </c>
      <c r="C1155">
        <f>Orders!I1155</f>
        <v>3378.18</v>
      </c>
      <c r="D1155" t="str">
        <f>Orders!E1155</f>
        <v>R030</v>
      </c>
      <c r="E1155" t="str">
        <f>IFERROR(VLOOKUP(Orders!D1155,Products!$A$2:$C$61,3,FALSE),"Unknown")</f>
        <v>Electronics</v>
      </c>
      <c r="F1155" t="str">
        <f>IFERROR(VLOOKUP(Orders!C1155,Customers!$A$2:$E$301,5,FALSE),"Unknown")</f>
        <v>Corporate</v>
      </c>
      <c r="G1155">
        <f>IFERROR(VLOOKUP(Orders!C1155,Customers!$A$2:$C$301,3,FALSE),"")</f>
        <v>36</v>
      </c>
      <c r="H1155" t="str">
        <f>VLOOKUP(D1155,Sales_Reps!$A$2:$C$31,3,FALSE)</f>
        <v>West</v>
      </c>
      <c r="I1155" s="44">
        <f t="shared" ref="I1155:I1218" si="39">DATE(YEAR(B1155),MONTH(B1155),1)</f>
        <v>45627</v>
      </c>
      <c r="L1155" t="str">
        <f>Orders!K1155</f>
        <v>Bengaluru</v>
      </c>
      <c r="M1155">
        <f>Orders!G1155</f>
        <v>1220</v>
      </c>
      <c r="N1155">
        <f>IFERROR(VLOOKUP(Orders!D1155,Products!$A$2:$D$61,4,FALSE),"")</f>
        <v>517</v>
      </c>
      <c r="O1155">
        <f t="shared" ref="O1155:O1218" si="40">IF(OR(N1155="",M1155&lt;=0),"",(M1155-N1155)/M1155)</f>
        <v>0.57622950819672136</v>
      </c>
      <c r="Q1155" t="str">
        <f>Orders!D1155</f>
        <v>PROD-009</v>
      </c>
    </row>
    <row r="1156" spans="1:17" x14ac:dyDescent="0.3">
      <c r="A1156" t="str">
        <f>Orders!A1156</f>
        <v>ORD-01155</v>
      </c>
      <c r="B1156">
        <f>Orders!B1156</f>
        <v>45499</v>
      </c>
      <c r="C1156">
        <f>Orders!I1156</f>
        <v>2016.96</v>
      </c>
      <c r="D1156" t="str">
        <f>Orders!E1156</f>
        <v>R022</v>
      </c>
      <c r="E1156" t="str">
        <f>IFERROR(VLOOKUP(Orders!D1156,Products!$A$2:$C$61,3,FALSE),"Unknown")</f>
        <v>Electronics</v>
      </c>
      <c r="F1156" t="str">
        <f>IFERROR(VLOOKUP(Orders!C1156,Customers!$A$2:$E$301,5,FALSE),"Unknown")</f>
        <v>Retail</v>
      </c>
      <c r="G1156">
        <f>IFERROR(VLOOKUP(Orders!C1156,Customers!$A$2:$C$301,3,FALSE),"")</f>
        <v>29</v>
      </c>
      <c r="H1156" t="str">
        <f>VLOOKUP(D1156,Sales_Reps!$A$2:$C$31,3,FALSE)</f>
        <v>East</v>
      </c>
      <c r="I1156" s="44">
        <f t="shared" si="39"/>
        <v>45474</v>
      </c>
      <c r="L1156" t="str">
        <f>Orders!K1156</f>
        <v>Pune</v>
      </c>
      <c r="M1156">
        <f>Orders!G1156</f>
        <v>2640</v>
      </c>
      <c r="N1156">
        <f>IFERROR(VLOOKUP(Orders!D1156,Products!$A$2:$D$61,4,FALSE),"")</f>
        <v>1149</v>
      </c>
      <c r="O1156">
        <f t="shared" si="40"/>
        <v>0.56477272727272732</v>
      </c>
      <c r="Q1156" t="str">
        <f>Orders!D1156</f>
        <v>PROD-010</v>
      </c>
    </row>
    <row r="1157" spans="1:17" x14ac:dyDescent="0.3">
      <c r="A1157" t="str">
        <f>Orders!A1157</f>
        <v>ORD-01156</v>
      </c>
      <c r="B1157">
        <f>Orders!B1157</f>
        <v>45563</v>
      </c>
      <c r="C1157">
        <f>Orders!I1157</f>
        <v>41539.5</v>
      </c>
      <c r="D1157" t="str">
        <f>Orders!E1157</f>
        <v>R011</v>
      </c>
      <c r="E1157" t="str">
        <f>IFERROR(VLOOKUP(Orders!D1157,Products!$A$2:$C$61,3,FALSE),"Unknown")</f>
        <v>Beauty</v>
      </c>
      <c r="F1157" t="str">
        <f>IFERROR(VLOOKUP(Orders!C1157,Customers!$A$2:$E$301,5,FALSE),"Unknown")</f>
        <v>Retail</v>
      </c>
      <c r="G1157">
        <f>IFERROR(VLOOKUP(Orders!C1157,Customers!$A$2:$C$301,3,FALSE),"")</f>
        <v>36</v>
      </c>
      <c r="H1157" t="str">
        <f>VLOOKUP(D1157,Sales_Reps!$A$2:$C$31,3,FALSE)</f>
        <v>South</v>
      </c>
      <c r="I1157" s="44">
        <f t="shared" si="39"/>
        <v>45536</v>
      </c>
      <c r="L1157" t="str">
        <f>Orders!K1157</f>
        <v>Mumbai</v>
      </c>
      <c r="M1157">
        <f>Orders!G1157</f>
        <v>5100</v>
      </c>
      <c r="N1157">
        <f>IFERROR(VLOOKUP(Orders!D1157,Products!$A$2:$D$61,4,FALSE),"")</f>
        <v>2237</v>
      </c>
      <c r="O1157">
        <f t="shared" si="40"/>
        <v>0.56137254901960787</v>
      </c>
      <c r="Q1157" t="str">
        <f>Orders!D1157</f>
        <v>PROD-048</v>
      </c>
    </row>
    <row r="1158" spans="1:17" x14ac:dyDescent="0.3">
      <c r="A1158" t="str">
        <f>Orders!A1158</f>
        <v>ORD-01157</v>
      </c>
      <c r="B1158">
        <f>Orders!B1158</f>
        <v>45435</v>
      </c>
      <c r="C1158">
        <f>Orders!I1158</f>
        <v>35112</v>
      </c>
      <c r="D1158" t="str">
        <f>Orders!E1158</f>
        <v>R008</v>
      </c>
      <c r="E1158" t="str">
        <f>IFERROR(VLOOKUP(Orders!D1158,Products!$A$2:$C$61,3,FALSE),"Unknown")</f>
        <v>Beauty</v>
      </c>
      <c r="F1158" t="str">
        <f>IFERROR(VLOOKUP(Orders!C1158,Customers!$A$2:$E$301,5,FALSE),"Unknown")</f>
        <v>SMB</v>
      </c>
      <c r="G1158">
        <f>IFERROR(VLOOKUP(Orders!C1158,Customers!$A$2:$C$301,3,FALSE),"")</f>
        <v>26</v>
      </c>
      <c r="H1158" t="str">
        <f>VLOOKUP(D1158,Sales_Reps!$A$2:$C$31,3,FALSE)</f>
        <v>North</v>
      </c>
      <c r="I1158" s="44">
        <f t="shared" si="39"/>
        <v>45413</v>
      </c>
      <c r="L1158" t="str">
        <f>Orders!K1158</f>
        <v>Chennai</v>
      </c>
      <c r="M1158">
        <f>Orders!G1158</f>
        <v>6080</v>
      </c>
      <c r="N1158">
        <f>IFERROR(VLOOKUP(Orders!D1158,Products!$A$2:$D$61,4,FALSE),"")</f>
        <v>2617</v>
      </c>
      <c r="O1158">
        <f t="shared" si="40"/>
        <v>0.56957236842105263</v>
      </c>
      <c r="Q1158" t="str">
        <f>Orders!D1158</f>
        <v>PROD-050</v>
      </c>
    </row>
    <row r="1159" spans="1:17" x14ac:dyDescent="0.3">
      <c r="A1159" t="str">
        <f>Orders!A1159</f>
        <v>ORD-01158</v>
      </c>
      <c r="B1159">
        <f>Orders!B1159</f>
        <v>45602</v>
      </c>
      <c r="C1159">
        <f>Orders!I1159</f>
        <v>219.3</v>
      </c>
      <c r="D1159" t="str">
        <f>Orders!E1159</f>
        <v>R026</v>
      </c>
      <c r="E1159" t="str">
        <f>IFERROR(VLOOKUP(Orders!D1159,Products!$A$2:$C$61,3,FALSE),"Unknown")</f>
        <v>Electronics</v>
      </c>
      <c r="F1159" t="str">
        <f>IFERROR(VLOOKUP(Orders!C1159,Customers!$A$2:$E$301,5,FALSE),"Unknown")</f>
        <v>Corporate</v>
      </c>
      <c r="G1159">
        <f>IFERROR(VLOOKUP(Orders!C1159,Customers!$A$2:$C$301,3,FALSE),"")</f>
        <v>29</v>
      </c>
      <c r="H1159" t="str">
        <f>VLOOKUP(D1159,Sales_Reps!$A$2:$C$31,3,FALSE)</f>
        <v>West</v>
      </c>
      <c r="I1159" s="44">
        <f t="shared" si="39"/>
        <v>45597</v>
      </c>
      <c r="L1159" t="str">
        <f>Orders!K1159</f>
        <v>Pune</v>
      </c>
      <c r="M1159">
        <f>Orders!G1159</f>
        <v>300</v>
      </c>
      <c r="N1159">
        <f>IFERROR(VLOOKUP(Orders!D1159,Products!$A$2:$D$61,4,FALSE),"")</f>
        <v>128</v>
      </c>
      <c r="O1159">
        <f t="shared" si="40"/>
        <v>0.57333333333333336</v>
      </c>
      <c r="Q1159" t="str">
        <f>Orders!D1159</f>
        <v>PROD-005</v>
      </c>
    </row>
    <row r="1160" spans="1:17" x14ac:dyDescent="0.3">
      <c r="A1160" t="str">
        <f>Orders!A1160</f>
        <v>ORD-01159</v>
      </c>
      <c r="B1160">
        <f>Orders!B1160</f>
        <v>45650</v>
      </c>
      <c r="C1160">
        <f>Orders!I1160</f>
        <v>12955.8</v>
      </c>
      <c r="D1160" t="str">
        <f>Orders!E1160</f>
        <v>R020</v>
      </c>
      <c r="E1160" t="str">
        <f>IFERROR(VLOOKUP(Orders!D1160,Products!$A$2:$C$61,3,FALSE),"Unknown")</f>
        <v>Beauty</v>
      </c>
      <c r="F1160" t="str">
        <f>IFERROR(VLOOKUP(Orders!C1160,Customers!$A$2:$E$301,5,FALSE),"Unknown")</f>
        <v>Retail</v>
      </c>
      <c r="G1160">
        <f>IFERROR(VLOOKUP(Orders!C1160,Customers!$A$2:$C$301,3,FALSE),"")</f>
        <v>44</v>
      </c>
      <c r="H1160" t="str">
        <f>VLOOKUP(D1160,Sales_Reps!$A$2:$C$31,3,FALSE)</f>
        <v>East</v>
      </c>
      <c r="I1160" s="44">
        <f t="shared" si="39"/>
        <v>45627</v>
      </c>
      <c r="L1160" t="str">
        <f>Orders!K1160</f>
        <v>Hyderabad</v>
      </c>
      <c r="M1160">
        <f>Orders!G1160</f>
        <v>3020</v>
      </c>
      <c r="N1160">
        <f>IFERROR(VLOOKUP(Orders!D1160,Products!$A$2:$D$61,4,FALSE),"")</f>
        <v>1626</v>
      </c>
      <c r="O1160">
        <f t="shared" si="40"/>
        <v>0.46158940397350995</v>
      </c>
      <c r="Q1160" t="str">
        <f>Orders!D1160</f>
        <v>PROD-045</v>
      </c>
    </row>
    <row r="1161" spans="1:17" x14ac:dyDescent="0.3">
      <c r="A1161" t="str">
        <f>Orders!A1161</f>
        <v>ORD-01160</v>
      </c>
      <c r="B1161">
        <f>Orders!B1161</f>
        <v>45294</v>
      </c>
      <c r="C1161">
        <f>Orders!I1161</f>
        <v>2371.1999999999998</v>
      </c>
      <c r="D1161" t="str">
        <f>Orders!E1161</f>
        <v>R018</v>
      </c>
      <c r="E1161" t="str">
        <f>IFERROR(VLOOKUP(Orders!D1161,Products!$A$2:$C$61,3,FALSE),"Unknown")</f>
        <v>Electronics</v>
      </c>
      <c r="F1161" t="str">
        <f>IFERROR(VLOOKUP(Orders!C1161,Customers!$A$2:$E$301,5,FALSE),"Unknown")</f>
        <v>SMB</v>
      </c>
      <c r="G1161">
        <f>IFERROR(VLOOKUP(Orders!C1161,Customers!$A$2:$C$301,3,FALSE),"")</f>
        <v>50</v>
      </c>
      <c r="H1161" t="str">
        <f>VLOOKUP(D1161,Sales_Reps!$A$2:$C$31,3,FALSE)</f>
        <v>East</v>
      </c>
      <c r="I1161" s="44">
        <f t="shared" si="39"/>
        <v>45292</v>
      </c>
      <c r="L1161" t="str">
        <f>Orders!K1161</f>
        <v>Delhi</v>
      </c>
      <c r="M1161">
        <f>Orders!G1161</f>
        <v>300</v>
      </c>
      <c r="N1161">
        <f>IFERROR(VLOOKUP(Orders!D1161,Products!$A$2:$D$61,4,FALSE),"")</f>
        <v>128</v>
      </c>
      <c r="O1161">
        <f t="shared" si="40"/>
        <v>0.57333333333333336</v>
      </c>
      <c r="Q1161" t="str">
        <f>Orders!D1161</f>
        <v>PROD-005</v>
      </c>
    </row>
    <row r="1162" spans="1:17" x14ac:dyDescent="0.3">
      <c r="A1162" t="str">
        <f>Orders!A1162</f>
        <v>ORD-01161</v>
      </c>
      <c r="B1162">
        <f>Orders!B1162</f>
        <v>45523</v>
      </c>
      <c r="C1162">
        <f>Orders!I1162</f>
        <v>29969.1</v>
      </c>
      <c r="D1162" t="str">
        <f>Orders!E1162</f>
        <v>R011</v>
      </c>
      <c r="E1162" t="str">
        <f>IFERROR(VLOOKUP(Orders!D1162,Products!$A$2:$C$61,3,FALSE),"Unknown")</f>
        <v>Beauty</v>
      </c>
      <c r="F1162" t="str">
        <f>IFERROR(VLOOKUP(Orders!C1162,Customers!$A$2:$E$301,5,FALSE),"Unknown")</f>
        <v>Retail</v>
      </c>
      <c r="G1162">
        <f>IFERROR(VLOOKUP(Orders!C1162,Customers!$A$2:$C$301,3,FALSE),"")</f>
        <v>37</v>
      </c>
      <c r="H1162" t="str">
        <f>VLOOKUP(D1162,Sales_Reps!$A$2:$C$31,3,FALSE)</f>
        <v>South</v>
      </c>
      <c r="I1162" s="44">
        <f t="shared" si="39"/>
        <v>45505</v>
      </c>
      <c r="L1162" t="str">
        <f>Orders!K1162</f>
        <v>Bengaluru</v>
      </c>
      <c r="M1162">
        <f>Orders!G1162</f>
        <v>3350</v>
      </c>
      <c r="N1162">
        <f>IFERROR(VLOOKUP(Orders!D1162,Products!$A$2:$D$61,4,FALSE),"")</f>
        <v>1728</v>
      </c>
      <c r="O1162">
        <f t="shared" si="40"/>
        <v>0.48417910447761192</v>
      </c>
      <c r="Q1162" t="str">
        <f>Orders!D1162</f>
        <v>PROD-043</v>
      </c>
    </row>
    <row r="1163" spans="1:17" x14ac:dyDescent="0.3">
      <c r="A1163" t="str">
        <f>Orders!A1163</f>
        <v>ORD-01162</v>
      </c>
      <c r="B1163">
        <f>Orders!B1163</f>
        <v>45479</v>
      </c>
      <c r="C1163">
        <f>Orders!I1163</f>
        <v>14635.72</v>
      </c>
      <c r="D1163" t="str">
        <f>Orders!E1163</f>
        <v>R024</v>
      </c>
      <c r="E1163" t="str">
        <f>IFERROR(VLOOKUP(Orders!D1163,Products!$A$2:$C$61,3,FALSE),"Unknown")</f>
        <v>Grocery</v>
      </c>
      <c r="F1163" t="str">
        <f>IFERROR(VLOOKUP(Orders!C1163,Customers!$A$2:$E$301,5,FALSE),"Unknown")</f>
        <v>SMB</v>
      </c>
      <c r="G1163">
        <f>IFERROR(VLOOKUP(Orders!C1163,Customers!$A$2:$C$301,3,FALSE),"")</f>
        <v>45</v>
      </c>
      <c r="H1163" t="str">
        <f>VLOOKUP(D1163,Sales_Reps!$A$2:$C$31,3,FALSE)</f>
        <v>West</v>
      </c>
      <c r="I1163" s="44">
        <f t="shared" si="39"/>
        <v>45474</v>
      </c>
      <c r="L1163" t="str">
        <f>Orders!K1163</f>
        <v>Delhi</v>
      </c>
      <c r="M1163">
        <f>Orders!G1163</f>
        <v>4070</v>
      </c>
      <c r="N1163">
        <f>IFERROR(VLOOKUP(Orders!D1163,Products!$A$2:$D$61,4,FALSE),"")</f>
        <v>2027</v>
      </c>
      <c r="O1163">
        <f t="shared" si="40"/>
        <v>0.50196560196560192</v>
      </c>
      <c r="Q1163" t="str">
        <f>Orders!D1163</f>
        <v>PROD-026</v>
      </c>
    </row>
    <row r="1164" spans="1:17" x14ac:dyDescent="0.3">
      <c r="A1164" t="str">
        <f>Orders!A1164</f>
        <v>ORD-01163</v>
      </c>
      <c r="B1164">
        <f>Orders!B1164</f>
        <v>45614</v>
      </c>
      <c r="C1164">
        <f>Orders!I1164</f>
        <v>24562.44</v>
      </c>
      <c r="D1164" t="str">
        <f>Orders!E1164</f>
        <v>R024</v>
      </c>
      <c r="E1164" t="str">
        <f>IFERROR(VLOOKUP(Orders!D1164,Products!$A$2:$C$61,3,FALSE),"Unknown")</f>
        <v>Sports</v>
      </c>
      <c r="F1164" t="str">
        <f>IFERROR(VLOOKUP(Orders!C1164,Customers!$A$2:$E$301,5,FALSE),"Unknown")</f>
        <v>SMB</v>
      </c>
      <c r="G1164">
        <f>IFERROR(VLOOKUP(Orders!C1164,Customers!$A$2:$C$301,3,FALSE),"")</f>
        <v>51</v>
      </c>
      <c r="H1164" t="str">
        <f>VLOOKUP(D1164,Sales_Reps!$A$2:$C$31,3,FALSE)</f>
        <v>West</v>
      </c>
      <c r="I1164" s="44">
        <f t="shared" si="39"/>
        <v>45597</v>
      </c>
      <c r="L1164" t="str">
        <f>Orders!K1164</f>
        <v>Chennai</v>
      </c>
      <c r="M1164">
        <f>Orders!G1164</f>
        <v>3780</v>
      </c>
      <c r="N1164">
        <f>IFERROR(VLOOKUP(Orders!D1164,Products!$A$2:$D$61,4,FALSE),"")</f>
        <v>1860</v>
      </c>
      <c r="O1164">
        <f t="shared" si="40"/>
        <v>0.50793650793650791</v>
      </c>
      <c r="Q1164" t="str">
        <f>Orders!D1164</f>
        <v>PROD-059</v>
      </c>
    </row>
    <row r="1165" spans="1:17" x14ac:dyDescent="0.3">
      <c r="A1165" t="str">
        <f>Orders!A1165</f>
        <v>ORD-01164</v>
      </c>
      <c r="B1165">
        <f>Orders!B1165</f>
        <v>45407</v>
      </c>
      <c r="C1165">
        <f>Orders!I1165</f>
        <v>5346</v>
      </c>
      <c r="D1165" t="str">
        <f>Orders!E1165</f>
        <v>R030</v>
      </c>
      <c r="E1165" t="str">
        <f>IFERROR(VLOOKUP(Orders!D1165,Products!$A$2:$C$61,3,FALSE),"Unknown")</f>
        <v>Home</v>
      </c>
      <c r="F1165" t="str">
        <f>IFERROR(VLOOKUP(Orders!C1165,Customers!$A$2:$E$301,5,FALSE),"Unknown")</f>
        <v>SMB</v>
      </c>
      <c r="G1165">
        <f>IFERROR(VLOOKUP(Orders!C1165,Customers!$A$2:$C$301,3,FALSE),"")</f>
        <v>44</v>
      </c>
      <c r="H1165" t="str">
        <f>VLOOKUP(D1165,Sales_Reps!$A$2:$C$31,3,FALSE)</f>
        <v>West</v>
      </c>
      <c r="I1165" s="44">
        <f t="shared" si="39"/>
        <v>45383</v>
      </c>
      <c r="L1165" t="str">
        <f>Orders!K1165</f>
        <v>Pune</v>
      </c>
      <c r="M1165">
        <f>Orders!G1165</f>
        <v>1080</v>
      </c>
      <c r="N1165">
        <f>IFERROR(VLOOKUP(Orders!D1165,Products!$A$2:$D$61,4,FALSE),"")</f>
        <v>519</v>
      </c>
      <c r="O1165">
        <f t="shared" si="40"/>
        <v>0.51944444444444449</v>
      </c>
      <c r="Q1165" t="str">
        <f>Orders!D1165</f>
        <v>PROD-040</v>
      </c>
    </row>
    <row r="1166" spans="1:17" x14ac:dyDescent="0.3">
      <c r="A1166" t="str">
        <f>Orders!A1166</f>
        <v>ORD-01165</v>
      </c>
      <c r="B1166">
        <f>Orders!B1166</f>
        <v>45603</v>
      </c>
      <c r="C1166">
        <f>Orders!I1166</f>
        <v>7651.8</v>
      </c>
      <c r="D1166" t="str">
        <f>Orders!E1166</f>
        <v>R023</v>
      </c>
      <c r="E1166" t="str">
        <f>IFERROR(VLOOKUP(Orders!D1166,Products!$A$2:$C$61,3,FALSE),"Unknown")</f>
        <v>Electronics</v>
      </c>
      <c r="F1166" t="str">
        <f>IFERROR(VLOOKUP(Orders!C1166,Customers!$A$2:$E$301,5,FALSE),"Unknown")</f>
        <v>Retail</v>
      </c>
      <c r="G1166">
        <f>IFERROR(VLOOKUP(Orders!C1166,Customers!$A$2:$C$301,3,FALSE),"")</f>
        <v>55</v>
      </c>
      <c r="H1166" t="str">
        <f>VLOOKUP(D1166,Sales_Reps!$A$2:$C$31,3,FALSE)</f>
        <v>East</v>
      </c>
      <c r="I1166" s="44">
        <f t="shared" si="39"/>
        <v>45597</v>
      </c>
      <c r="L1166" t="str">
        <f>Orders!K1166</f>
        <v>Bengaluru</v>
      </c>
      <c r="M1166">
        <f>Orders!G1166</f>
        <v>2600</v>
      </c>
      <c r="N1166">
        <f>IFERROR(VLOOKUP(Orders!D1166,Products!$A$2:$D$61,4,FALSE),"")</f>
        <v>1052</v>
      </c>
      <c r="O1166">
        <f t="shared" si="40"/>
        <v>0.5953846153846154</v>
      </c>
      <c r="Q1166" t="str">
        <f>Orders!D1166</f>
        <v>PROD-002</v>
      </c>
    </row>
    <row r="1167" spans="1:17" x14ac:dyDescent="0.3">
      <c r="A1167" t="str">
        <f>Orders!A1167</f>
        <v>ORD-01166</v>
      </c>
      <c r="B1167">
        <f>Orders!B1167</f>
        <v>45375</v>
      </c>
      <c r="C1167">
        <f>Orders!I1167</f>
        <v>13355.2</v>
      </c>
      <c r="D1167" t="str">
        <f>Orders!E1167</f>
        <v>R008</v>
      </c>
      <c r="E1167" t="str">
        <f>IFERROR(VLOOKUP(Orders!D1167,Products!$A$2:$C$61,3,FALSE),"Unknown")</f>
        <v>Apparel</v>
      </c>
      <c r="F1167" t="str">
        <f>IFERROR(VLOOKUP(Orders!C1167,Customers!$A$2:$E$301,5,FALSE),"Unknown")</f>
        <v>Retail</v>
      </c>
      <c r="G1167">
        <f>IFERROR(VLOOKUP(Orders!C1167,Customers!$A$2:$C$301,3,FALSE),"")</f>
        <v>63</v>
      </c>
      <c r="H1167" t="str">
        <f>VLOOKUP(D1167,Sales_Reps!$A$2:$C$31,3,FALSE)</f>
        <v>North</v>
      </c>
      <c r="I1167" s="44">
        <f t="shared" si="39"/>
        <v>45352</v>
      </c>
      <c r="L1167" t="str">
        <f>Orders!K1167</f>
        <v>Delhi</v>
      </c>
      <c r="M1167">
        <f>Orders!G1167</f>
        <v>2720</v>
      </c>
      <c r="N1167">
        <f>IFERROR(VLOOKUP(Orders!D1167,Products!$A$2:$D$61,4,FALSE),"")</f>
        <v>1962</v>
      </c>
      <c r="O1167">
        <f t="shared" si="40"/>
        <v>0.2786764705882353</v>
      </c>
      <c r="Q1167" t="str">
        <f>Orders!D1167</f>
        <v>PROD-015</v>
      </c>
    </row>
    <row r="1168" spans="1:17" x14ac:dyDescent="0.3">
      <c r="A1168" t="str">
        <f>Orders!A1168</f>
        <v>ORD-01167</v>
      </c>
      <c r="B1168">
        <f>Orders!B1168</f>
        <v>45485</v>
      </c>
      <c r="C1168">
        <f>Orders!I1168</f>
        <v>20642.400000000001</v>
      </c>
      <c r="D1168" t="str">
        <f>Orders!E1168</f>
        <v>R012</v>
      </c>
      <c r="E1168" t="str">
        <f>IFERROR(VLOOKUP(Orders!D1168,Products!$A$2:$C$61,3,FALSE),"Unknown")</f>
        <v>Grocery</v>
      </c>
      <c r="F1168" t="str">
        <f>IFERROR(VLOOKUP(Orders!C1168,Customers!$A$2:$E$301,5,FALSE),"Unknown")</f>
        <v>SMB</v>
      </c>
      <c r="G1168">
        <f>IFERROR(VLOOKUP(Orders!C1168,Customers!$A$2:$C$301,3,FALSE),"")</f>
        <v>53</v>
      </c>
      <c r="H1168" t="str">
        <f>VLOOKUP(D1168,Sales_Reps!$A$2:$C$31,3,FALSE)</f>
        <v>South</v>
      </c>
      <c r="I1168" s="44">
        <f t="shared" si="39"/>
        <v>45474</v>
      </c>
      <c r="L1168" t="str">
        <f>Orders!K1168</f>
        <v>Chennai</v>
      </c>
      <c r="M1168">
        <f>Orders!G1168</f>
        <v>3660</v>
      </c>
      <c r="N1168">
        <f>IFERROR(VLOOKUP(Orders!D1168,Products!$A$2:$D$61,4,FALSE),"")</f>
        <v>2214</v>
      </c>
      <c r="O1168">
        <f t="shared" si="40"/>
        <v>0.39508196721311473</v>
      </c>
      <c r="Q1168" t="str">
        <f>Orders!D1168</f>
        <v>PROD-028</v>
      </c>
    </row>
    <row r="1169" spans="1:17" x14ac:dyDescent="0.3">
      <c r="A1169" t="str">
        <f>Orders!A1169</f>
        <v>ORD-01168</v>
      </c>
      <c r="B1169">
        <f>Orders!B1169</f>
        <v>45567</v>
      </c>
      <c r="C1169">
        <f>Orders!I1169</f>
        <v>11909.7</v>
      </c>
      <c r="D1169" t="str">
        <f>Orders!E1169</f>
        <v>R005</v>
      </c>
      <c r="E1169" t="str">
        <f>IFERROR(VLOOKUP(Orders!D1169,Products!$A$2:$C$61,3,FALSE),"Unknown")</f>
        <v>Beauty</v>
      </c>
      <c r="F1169" t="str">
        <f>IFERROR(VLOOKUP(Orders!C1169,Customers!$A$2:$E$301,5,FALSE),"Unknown")</f>
        <v>Retail</v>
      </c>
      <c r="G1169">
        <f>IFERROR(VLOOKUP(Orders!C1169,Customers!$A$2:$C$301,3,FALSE),"")</f>
        <v>23</v>
      </c>
      <c r="H1169" t="str">
        <f>VLOOKUP(D1169,Sales_Reps!$A$2:$C$31,3,FALSE)</f>
        <v>North</v>
      </c>
      <c r="I1169" s="44">
        <f t="shared" si="39"/>
        <v>45566</v>
      </c>
      <c r="L1169" t="str">
        <f>Orders!K1169</f>
        <v>Bengaluru</v>
      </c>
      <c r="M1169">
        <f>Orders!G1169</f>
        <v>1650</v>
      </c>
      <c r="N1169">
        <f>IFERROR(VLOOKUP(Orders!D1169,Products!$A$2:$D$61,4,FALSE),"")</f>
        <v>1222</v>
      </c>
      <c r="O1169">
        <f t="shared" si="40"/>
        <v>0.2593939393939394</v>
      </c>
      <c r="Q1169" t="str">
        <f>Orders!D1169</f>
        <v>PROD-044</v>
      </c>
    </row>
    <row r="1170" spans="1:17" x14ac:dyDescent="0.3">
      <c r="A1170" t="str">
        <f>Orders!A1170</f>
        <v>ORD-01169</v>
      </c>
      <c r="B1170">
        <f>Orders!B1170</f>
        <v>45502</v>
      </c>
      <c r="C1170">
        <f>Orders!I1170</f>
        <v>6632.34</v>
      </c>
      <c r="D1170" t="str">
        <f>Orders!E1170</f>
        <v>R019</v>
      </c>
      <c r="E1170" t="str">
        <f>IFERROR(VLOOKUP(Orders!D1170,Products!$A$2:$C$61,3,FALSE),"Unknown")</f>
        <v>Sports</v>
      </c>
      <c r="F1170" t="str">
        <f>IFERROR(VLOOKUP(Orders!C1170,Customers!$A$2:$E$301,5,FALSE),"Unknown")</f>
        <v>SMB</v>
      </c>
      <c r="G1170">
        <f>IFERROR(VLOOKUP(Orders!C1170,Customers!$A$2:$C$301,3,FALSE),"")</f>
        <v>65</v>
      </c>
      <c r="H1170" t="str">
        <f>VLOOKUP(D1170,Sales_Reps!$A$2:$C$31,3,FALSE)</f>
        <v>East</v>
      </c>
      <c r="I1170" s="44">
        <f t="shared" si="39"/>
        <v>45474</v>
      </c>
      <c r="L1170" t="str">
        <f>Orders!K1170</f>
        <v>Hyderabad</v>
      </c>
      <c r="M1170">
        <f>Orders!G1170</f>
        <v>2860</v>
      </c>
      <c r="N1170">
        <f>IFERROR(VLOOKUP(Orders!D1170,Products!$A$2:$D$61,4,FALSE),"")</f>
        <v>2028</v>
      </c>
      <c r="O1170">
        <f t="shared" si="40"/>
        <v>0.29090909090909089</v>
      </c>
      <c r="Q1170" t="str">
        <f>Orders!D1170</f>
        <v>PROD-055</v>
      </c>
    </row>
    <row r="1171" spans="1:17" x14ac:dyDescent="0.3">
      <c r="A1171" t="str">
        <f>Orders!A1171</f>
        <v>ORD-01170</v>
      </c>
      <c r="B1171">
        <f>Orders!B1171</f>
        <v>45429</v>
      </c>
      <c r="C1171">
        <f>Orders!I1171</f>
        <v>12530.4</v>
      </c>
      <c r="D1171" t="str">
        <f>Orders!E1171</f>
        <v>R025</v>
      </c>
      <c r="E1171" t="str">
        <f>IFERROR(VLOOKUP(Orders!D1171,Products!$A$2:$C$61,3,FALSE),"Unknown")</f>
        <v>Sports</v>
      </c>
      <c r="F1171" t="str">
        <f>IFERROR(VLOOKUP(Orders!C1171,Customers!$A$2:$E$301,5,FALSE),"Unknown")</f>
        <v>Retail</v>
      </c>
      <c r="G1171">
        <f>IFERROR(VLOOKUP(Orders!C1171,Customers!$A$2:$C$301,3,FALSE),"")</f>
        <v>41</v>
      </c>
      <c r="H1171" t="str">
        <f>VLOOKUP(D1171,Sales_Reps!$A$2:$C$31,3,FALSE)</f>
        <v>West</v>
      </c>
      <c r="I1171" s="44">
        <f t="shared" si="39"/>
        <v>45413</v>
      </c>
      <c r="L1171" t="str">
        <f>Orders!K1171</f>
        <v>Hyderabad</v>
      </c>
      <c r="M1171">
        <f>Orders!G1171</f>
        <v>3450</v>
      </c>
      <c r="N1171">
        <f>IFERROR(VLOOKUP(Orders!D1171,Products!$A$2:$D$61,4,FALSE),"")</f>
        <v>2467</v>
      </c>
      <c r="O1171">
        <f t="shared" si="40"/>
        <v>0.28492753623188405</v>
      </c>
      <c r="Q1171" t="str">
        <f>Orders!D1171</f>
        <v>PROD-051</v>
      </c>
    </row>
    <row r="1172" spans="1:17" x14ac:dyDescent="0.3">
      <c r="A1172" t="str">
        <f>Orders!A1172</f>
        <v>ORD-01171</v>
      </c>
      <c r="B1172">
        <f>Orders!B1172</f>
        <v>45405</v>
      </c>
      <c r="C1172">
        <f>Orders!I1172</f>
        <v>6731.48</v>
      </c>
      <c r="D1172" t="str">
        <f>Orders!E1172</f>
        <v>R003</v>
      </c>
      <c r="E1172" t="str">
        <f>IFERROR(VLOOKUP(Orders!D1172,Products!$A$2:$C$61,3,FALSE),"Unknown")</f>
        <v>Home</v>
      </c>
      <c r="F1172" t="str">
        <f>IFERROR(VLOOKUP(Orders!C1172,Customers!$A$2:$E$301,5,FALSE),"Unknown")</f>
        <v>Retail</v>
      </c>
      <c r="G1172">
        <f>IFERROR(VLOOKUP(Orders!C1172,Customers!$A$2:$C$301,3,FALSE),"")</f>
        <v>44</v>
      </c>
      <c r="H1172" t="str">
        <f>VLOOKUP(D1172,Sales_Reps!$A$2:$C$31,3,FALSE)</f>
        <v>North</v>
      </c>
      <c r="I1172" s="44">
        <f t="shared" si="39"/>
        <v>45383</v>
      </c>
      <c r="L1172" t="str">
        <f>Orders!K1172</f>
        <v>Pune</v>
      </c>
      <c r="M1172">
        <f>Orders!G1172</f>
        <v>2030</v>
      </c>
      <c r="N1172">
        <f>IFERROR(VLOOKUP(Orders!D1172,Products!$A$2:$D$61,4,FALSE),"")</f>
        <v>1143</v>
      </c>
      <c r="O1172">
        <f t="shared" si="40"/>
        <v>0.43694581280788175</v>
      </c>
      <c r="Q1172" t="str">
        <f>Orders!D1172</f>
        <v>PROD-033</v>
      </c>
    </row>
    <row r="1173" spans="1:17" x14ac:dyDescent="0.3">
      <c r="A1173" t="str">
        <f>Orders!A1173</f>
        <v>ORD-01172</v>
      </c>
      <c r="B1173">
        <f>Orders!B1173</f>
        <v>45401</v>
      </c>
      <c r="C1173">
        <f>Orders!I1173</f>
        <v>6601.16</v>
      </c>
      <c r="D1173" t="str">
        <f>Orders!E1173</f>
        <v>R016</v>
      </c>
      <c r="E1173" t="str">
        <f>IFERROR(VLOOKUP(Orders!D1173,Products!$A$2:$C$61,3,FALSE),"Unknown")</f>
        <v>Grocery</v>
      </c>
      <c r="F1173" t="str">
        <f>IFERROR(VLOOKUP(Orders!C1173,Customers!$A$2:$E$301,5,FALSE),"Unknown")</f>
        <v>Retail</v>
      </c>
      <c r="G1173">
        <f>IFERROR(VLOOKUP(Orders!C1173,Customers!$A$2:$C$301,3,FALSE),"")</f>
        <v>22</v>
      </c>
      <c r="H1173" t="str">
        <f>VLOOKUP(D1173,Sales_Reps!$A$2:$C$31,3,FALSE)</f>
        <v>South</v>
      </c>
      <c r="I1173" s="44">
        <f t="shared" si="39"/>
        <v>45383</v>
      </c>
      <c r="L1173" t="str">
        <f>Orders!K1173</f>
        <v>Pune</v>
      </c>
      <c r="M1173">
        <f>Orders!G1173</f>
        <v>2270</v>
      </c>
      <c r="N1173">
        <f>IFERROR(VLOOKUP(Orders!D1173,Products!$A$2:$D$61,4,FALSE),"")</f>
        <v>1412</v>
      </c>
      <c r="O1173">
        <f t="shared" si="40"/>
        <v>0.37797356828193834</v>
      </c>
      <c r="Q1173" t="str">
        <f>Orders!D1173</f>
        <v>PROD-022</v>
      </c>
    </row>
    <row r="1174" spans="1:17" x14ac:dyDescent="0.3">
      <c r="A1174" t="str">
        <f>Orders!A1174</f>
        <v>ORD-01173</v>
      </c>
      <c r="B1174">
        <f>Orders!B1174</f>
        <v>45373</v>
      </c>
      <c r="C1174">
        <f>Orders!I1174</f>
        <v>40736.519999999997</v>
      </c>
      <c r="D1174" t="str">
        <f>Orders!E1174</f>
        <v>R013</v>
      </c>
      <c r="E1174" t="str">
        <f>IFERROR(VLOOKUP(Orders!D1174,Products!$A$2:$C$61,3,FALSE),"Unknown")</f>
        <v>Home</v>
      </c>
      <c r="F1174" t="str">
        <f>IFERROR(VLOOKUP(Orders!C1174,Customers!$A$2:$E$301,5,FALSE),"Unknown")</f>
        <v>Retail</v>
      </c>
      <c r="G1174">
        <f>IFERROR(VLOOKUP(Orders!C1174,Customers!$A$2:$C$301,3,FALSE),"")</f>
        <v>61</v>
      </c>
      <c r="H1174" t="str">
        <f>VLOOKUP(D1174,Sales_Reps!$A$2:$C$31,3,FALSE)</f>
        <v>South</v>
      </c>
      <c r="I1174" s="44">
        <f t="shared" si="39"/>
        <v>45352</v>
      </c>
      <c r="L1174" t="str">
        <f>Orders!K1174</f>
        <v>Mumbai</v>
      </c>
      <c r="M1174">
        <f>Orders!G1174</f>
        <v>5080</v>
      </c>
      <c r="N1174">
        <f>IFERROR(VLOOKUP(Orders!D1174,Products!$A$2:$D$61,4,FALSE),"")</f>
        <v>2459</v>
      </c>
      <c r="O1174">
        <f t="shared" si="40"/>
        <v>0.51594488188976373</v>
      </c>
      <c r="Q1174" t="str">
        <f>Orders!D1174</f>
        <v>PROD-034</v>
      </c>
    </row>
    <row r="1175" spans="1:17" x14ac:dyDescent="0.3">
      <c r="A1175" t="str">
        <f>Orders!A1175</f>
        <v>ORD-01174</v>
      </c>
      <c r="B1175">
        <f>Orders!B1175</f>
        <v>45602</v>
      </c>
      <c r="C1175">
        <f>Orders!I1175</f>
        <v>26796.880000000001</v>
      </c>
      <c r="D1175" t="str">
        <f>Orders!E1175</f>
        <v>R029</v>
      </c>
      <c r="E1175" t="str">
        <f>IFERROR(VLOOKUP(Orders!D1175,Products!$A$2:$C$61,3,FALSE),"Unknown")</f>
        <v>Grocery</v>
      </c>
      <c r="F1175" t="str">
        <f>IFERROR(VLOOKUP(Orders!C1175,Customers!$A$2:$E$301,5,FALSE),"Unknown")</f>
        <v>Retail</v>
      </c>
      <c r="G1175">
        <f>IFERROR(VLOOKUP(Orders!C1175,Customers!$A$2:$C$301,3,FALSE),"")</f>
        <v>31</v>
      </c>
      <c r="H1175" t="str">
        <f>VLOOKUP(D1175,Sales_Reps!$A$2:$C$31,3,FALSE)</f>
        <v>West</v>
      </c>
      <c r="I1175" s="44">
        <f t="shared" si="39"/>
        <v>45597</v>
      </c>
      <c r="L1175" t="str">
        <f>Orders!K1175</f>
        <v>Pune</v>
      </c>
      <c r="M1175">
        <f>Orders!G1175</f>
        <v>4070</v>
      </c>
      <c r="N1175">
        <f>IFERROR(VLOOKUP(Orders!D1175,Products!$A$2:$D$61,4,FALSE),"")</f>
        <v>2027</v>
      </c>
      <c r="O1175">
        <f t="shared" si="40"/>
        <v>0.50196560196560192</v>
      </c>
      <c r="Q1175" t="str">
        <f>Orders!D1175</f>
        <v>PROD-026</v>
      </c>
    </row>
    <row r="1176" spans="1:17" x14ac:dyDescent="0.3">
      <c r="A1176" t="str">
        <f>Orders!A1176</f>
        <v>ORD-01175</v>
      </c>
      <c r="B1176">
        <f>Orders!B1176</f>
        <v>45372</v>
      </c>
      <c r="C1176">
        <f>Orders!I1176</f>
        <v>1526.14</v>
      </c>
      <c r="D1176" t="str">
        <f>Orders!E1176</f>
        <v>R005</v>
      </c>
      <c r="E1176" t="str">
        <f>IFERROR(VLOOKUP(Orders!D1176,Products!$A$2:$C$61,3,FALSE),"Unknown")</f>
        <v>Beauty</v>
      </c>
      <c r="F1176" t="str">
        <f>IFERROR(VLOOKUP(Orders!C1176,Customers!$A$2:$E$301,5,FALSE),"Unknown")</f>
        <v>SMB</v>
      </c>
      <c r="G1176">
        <f>IFERROR(VLOOKUP(Orders!C1176,Customers!$A$2:$C$301,3,FALSE),"")</f>
        <v>64</v>
      </c>
      <c r="H1176" t="str">
        <f>VLOOKUP(D1176,Sales_Reps!$A$2:$C$31,3,FALSE)</f>
        <v>North</v>
      </c>
      <c r="I1176" s="44">
        <f t="shared" si="39"/>
        <v>45352</v>
      </c>
      <c r="L1176" t="str">
        <f>Orders!K1176</f>
        <v>Chennai</v>
      </c>
      <c r="M1176">
        <f>Orders!G1176</f>
        <v>1540</v>
      </c>
      <c r="N1176">
        <f>IFERROR(VLOOKUP(Orders!D1176,Products!$A$2:$D$61,4,FALSE),"")</f>
        <v>647</v>
      </c>
      <c r="O1176">
        <f t="shared" si="40"/>
        <v>0.57987012987012987</v>
      </c>
      <c r="Q1176" t="str">
        <f>Orders!D1176</f>
        <v>PROD-041</v>
      </c>
    </row>
    <row r="1177" spans="1:17" x14ac:dyDescent="0.3">
      <c r="A1177" t="str">
        <f>Orders!A1177</f>
        <v>ORD-01176</v>
      </c>
      <c r="B1177">
        <f>Orders!B1177</f>
        <v>45416</v>
      </c>
      <c r="C1177">
        <f>Orders!I1177</f>
        <v>49470</v>
      </c>
      <c r="D1177" t="str">
        <f>Orders!E1177</f>
        <v>R024</v>
      </c>
      <c r="E1177" t="str">
        <f>IFERROR(VLOOKUP(Orders!D1177,Products!$A$2:$C$61,3,FALSE),"Unknown")</f>
        <v>Beauty</v>
      </c>
      <c r="F1177" t="str">
        <f>IFERROR(VLOOKUP(Orders!C1177,Customers!$A$2:$E$301,5,FALSE),"Unknown")</f>
        <v>Retail</v>
      </c>
      <c r="G1177">
        <f>IFERROR(VLOOKUP(Orders!C1177,Customers!$A$2:$C$301,3,FALSE),"")</f>
        <v>48</v>
      </c>
      <c r="H1177" t="str">
        <f>VLOOKUP(D1177,Sales_Reps!$A$2:$C$31,3,FALSE)</f>
        <v>West</v>
      </c>
      <c r="I1177" s="44">
        <f t="shared" si="39"/>
        <v>45413</v>
      </c>
      <c r="L1177" t="str">
        <f>Orders!K1177</f>
        <v>Bengaluru</v>
      </c>
      <c r="M1177">
        <f>Orders!G1177</f>
        <v>5100</v>
      </c>
      <c r="N1177">
        <f>IFERROR(VLOOKUP(Orders!D1177,Products!$A$2:$D$61,4,FALSE),"")</f>
        <v>2237</v>
      </c>
      <c r="O1177">
        <f t="shared" si="40"/>
        <v>0.56137254901960787</v>
      </c>
      <c r="Q1177" t="str">
        <f>Orders!D1177</f>
        <v>PROD-048</v>
      </c>
    </row>
    <row r="1178" spans="1:17" x14ac:dyDescent="0.3">
      <c r="A1178" t="str">
        <f>Orders!A1178</f>
        <v>ORD-01177</v>
      </c>
      <c r="B1178">
        <f>Orders!B1178</f>
        <v>45656</v>
      </c>
      <c r="C1178">
        <f>Orders!I1178</f>
        <v>17332.560000000001</v>
      </c>
      <c r="D1178" t="str">
        <f>Orders!E1178</f>
        <v>R006</v>
      </c>
      <c r="E1178" t="str">
        <f>IFERROR(VLOOKUP(Orders!D1178,Products!$A$2:$C$61,3,FALSE),"Unknown")</f>
        <v>Apparel</v>
      </c>
      <c r="F1178" t="str">
        <f>IFERROR(VLOOKUP(Orders!C1178,Customers!$A$2:$E$301,5,FALSE),"Unknown")</f>
        <v>Corporate</v>
      </c>
      <c r="G1178">
        <f>IFERROR(VLOOKUP(Orders!C1178,Customers!$A$2:$C$301,3,FALSE),"")</f>
        <v>40</v>
      </c>
      <c r="H1178" t="str">
        <f>VLOOKUP(D1178,Sales_Reps!$A$2:$C$31,3,FALSE)</f>
        <v>North</v>
      </c>
      <c r="I1178" s="44">
        <f t="shared" si="39"/>
        <v>45627</v>
      </c>
      <c r="L1178" t="str">
        <f>Orders!K1178</f>
        <v>Pune</v>
      </c>
      <c r="M1178">
        <f>Orders!G1178</f>
        <v>3620</v>
      </c>
      <c r="N1178">
        <f>IFERROR(VLOOKUP(Orders!D1178,Products!$A$2:$D$61,4,FALSE),"")</f>
        <v>2509</v>
      </c>
      <c r="O1178">
        <f t="shared" si="40"/>
        <v>0.3069060773480663</v>
      </c>
      <c r="Q1178" t="str">
        <f>Orders!D1178</f>
        <v>PROD-014</v>
      </c>
    </row>
    <row r="1179" spans="1:17" x14ac:dyDescent="0.3">
      <c r="A1179" t="str">
        <f>Orders!A1179</f>
        <v>ORD-01178</v>
      </c>
      <c r="B1179">
        <f>Orders!B1179</f>
        <v>45324</v>
      </c>
      <c r="C1179">
        <f>Orders!I1179</f>
        <v>32452</v>
      </c>
      <c r="D1179" t="str">
        <f>Orders!E1179</f>
        <v>R003</v>
      </c>
      <c r="E1179" t="str">
        <f>IFERROR(VLOOKUP(Orders!D1179,Products!$A$2:$C$61,3,FALSE),"Unknown")</f>
        <v>Beauty</v>
      </c>
      <c r="F1179" t="str">
        <f>IFERROR(VLOOKUP(Orders!C1179,Customers!$A$2:$E$301,5,FALSE),"Unknown")</f>
        <v>Retail</v>
      </c>
      <c r="G1179">
        <f>IFERROR(VLOOKUP(Orders!C1179,Customers!$A$2:$C$301,3,FALSE),"")</f>
        <v>56</v>
      </c>
      <c r="H1179" t="str">
        <f>VLOOKUP(D1179,Sales_Reps!$A$2:$C$31,3,FALSE)</f>
        <v>North</v>
      </c>
      <c r="I1179" s="44">
        <f t="shared" si="39"/>
        <v>45323</v>
      </c>
      <c r="L1179" t="str">
        <f>Orders!K1179</f>
        <v>Pune</v>
      </c>
      <c r="M1179">
        <f>Orders!G1179</f>
        <v>4880</v>
      </c>
      <c r="N1179">
        <f>IFERROR(VLOOKUP(Orders!D1179,Products!$A$2:$D$61,4,FALSE),"")</f>
        <v>2768</v>
      </c>
      <c r="O1179">
        <f t="shared" si="40"/>
        <v>0.43278688524590164</v>
      </c>
      <c r="Q1179" t="str">
        <f>Orders!D1179</f>
        <v>PROD-046</v>
      </c>
    </row>
    <row r="1180" spans="1:17" x14ac:dyDescent="0.3">
      <c r="A1180" t="str">
        <f>Orders!A1180</f>
        <v>ORD-01179</v>
      </c>
      <c r="B1180">
        <f>Orders!B1180</f>
        <v>45472</v>
      </c>
      <c r="C1180">
        <f>Orders!I1180</f>
        <v>2531.7600000000002</v>
      </c>
      <c r="D1180" t="str">
        <f>Orders!E1180</f>
        <v>R024</v>
      </c>
      <c r="E1180" t="str">
        <f>IFERROR(VLOOKUP(Orders!D1180,Products!$A$2:$C$61,3,FALSE),"Unknown")</f>
        <v>Electronics</v>
      </c>
      <c r="F1180" t="str">
        <f>IFERROR(VLOOKUP(Orders!C1180,Customers!$A$2:$E$301,5,FALSE),"Unknown")</f>
        <v>SMB</v>
      </c>
      <c r="G1180">
        <f>IFERROR(VLOOKUP(Orders!C1180,Customers!$A$2:$C$301,3,FALSE),"")</f>
        <v>44</v>
      </c>
      <c r="H1180" t="str">
        <f>VLOOKUP(D1180,Sales_Reps!$A$2:$C$31,3,FALSE)</f>
        <v>West</v>
      </c>
      <c r="I1180" s="44">
        <f t="shared" si="39"/>
        <v>45444</v>
      </c>
      <c r="L1180" t="str">
        <f>Orders!K1180</f>
        <v>Pune</v>
      </c>
      <c r="M1180">
        <f>Orders!G1180</f>
        <v>2640</v>
      </c>
      <c r="N1180">
        <f>IFERROR(VLOOKUP(Orders!D1180,Products!$A$2:$D$61,4,FALSE),"")</f>
        <v>1149</v>
      </c>
      <c r="O1180">
        <f t="shared" si="40"/>
        <v>0.56477272727272732</v>
      </c>
      <c r="Q1180" t="str">
        <f>Orders!D1180</f>
        <v>PROD-010</v>
      </c>
    </row>
    <row r="1181" spans="1:17" x14ac:dyDescent="0.3">
      <c r="A1181" t="str">
        <f>Orders!A1181</f>
        <v>ORD-01180</v>
      </c>
      <c r="B1181">
        <f>Orders!B1181</f>
        <v>45508</v>
      </c>
      <c r="C1181">
        <f>Orders!I1181</f>
        <v>35018.28</v>
      </c>
      <c r="D1181" t="str">
        <f>Orders!E1181</f>
        <v>R020</v>
      </c>
      <c r="E1181" t="str">
        <f>IFERROR(VLOOKUP(Orders!D1181,Products!$A$2:$C$61,3,FALSE),"Unknown")</f>
        <v>Grocery</v>
      </c>
      <c r="F1181" t="str">
        <f>IFERROR(VLOOKUP(Orders!C1181,Customers!$A$2:$E$301,5,FALSE),"Unknown")</f>
        <v>Retail</v>
      </c>
      <c r="G1181">
        <f>IFERROR(VLOOKUP(Orders!C1181,Customers!$A$2:$C$301,3,FALSE),"")</f>
        <v>53</v>
      </c>
      <c r="H1181" t="str">
        <f>VLOOKUP(D1181,Sales_Reps!$A$2:$C$31,3,FALSE)</f>
        <v>East</v>
      </c>
      <c r="I1181" s="44">
        <f t="shared" si="39"/>
        <v>45505</v>
      </c>
      <c r="L1181" t="str">
        <f>Orders!K1181</f>
        <v>Hyderabad</v>
      </c>
      <c r="M1181">
        <f>Orders!G1181</f>
        <v>4070</v>
      </c>
      <c r="N1181">
        <f>IFERROR(VLOOKUP(Orders!D1181,Products!$A$2:$D$61,4,FALSE),"")</f>
        <v>2027</v>
      </c>
      <c r="O1181">
        <f t="shared" si="40"/>
        <v>0.50196560196560192</v>
      </c>
      <c r="Q1181" t="str">
        <f>Orders!D1181</f>
        <v>PROD-026</v>
      </c>
    </row>
    <row r="1182" spans="1:17" x14ac:dyDescent="0.3">
      <c r="A1182" t="str">
        <f>Orders!A1182</f>
        <v>ORD-01181</v>
      </c>
      <c r="B1182">
        <f>Orders!B1182</f>
        <v>45617</v>
      </c>
      <c r="C1182">
        <f>Orders!I1182</f>
        <v>24161.759999999998</v>
      </c>
      <c r="D1182" t="str">
        <f>Orders!E1182</f>
        <v>R025</v>
      </c>
      <c r="E1182" t="str">
        <f>IFERROR(VLOOKUP(Orders!D1182,Products!$A$2:$C$61,3,FALSE),"Unknown")</f>
        <v>Electronics</v>
      </c>
      <c r="F1182" t="str">
        <f>IFERROR(VLOOKUP(Orders!C1182,Customers!$A$2:$E$301,5,FALSE),"Unknown")</f>
        <v>Retail</v>
      </c>
      <c r="G1182">
        <f>IFERROR(VLOOKUP(Orders!C1182,Customers!$A$2:$C$301,3,FALSE),"")</f>
        <v>28</v>
      </c>
      <c r="H1182" t="str">
        <f>VLOOKUP(D1182,Sales_Reps!$A$2:$C$31,3,FALSE)</f>
        <v>West</v>
      </c>
      <c r="I1182" s="44">
        <f t="shared" si="39"/>
        <v>45597</v>
      </c>
      <c r="L1182" t="str">
        <f>Orders!K1182</f>
        <v>Chennai</v>
      </c>
      <c r="M1182">
        <f>Orders!G1182</f>
        <v>3570</v>
      </c>
      <c r="N1182">
        <f>IFERROR(VLOOKUP(Orders!D1182,Products!$A$2:$D$61,4,FALSE),"")</f>
        <v>1665</v>
      </c>
      <c r="O1182">
        <f t="shared" si="40"/>
        <v>0.53361344537815125</v>
      </c>
      <c r="Q1182" t="str">
        <f>Orders!D1182</f>
        <v>PROD-003</v>
      </c>
    </row>
    <row r="1183" spans="1:17" x14ac:dyDescent="0.3">
      <c r="A1183" t="str">
        <f>Orders!A1183</f>
        <v>ORD-01182</v>
      </c>
      <c r="B1183">
        <f>Orders!B1183</f>
        <v>45470</v>
      </c>
      <c r="C1183">
        <f>Orders!I1183</f>
        <v>25091.5</v>
      </c>
      <c r="D1183" t="str">
        <f>Orders!E1183</f>
        <v>R005</v>
      </c>
      <c r="E1183" t="str">
        <f>IFERROR(VLOOKUP(Orders!D1183,Products!$A$2:$C$61,3,FALSE),"Unknown")</f>
        <v>Beauty</v>
      </c>
      <c r="F1183" t="str">
        <f>IFERROR(VLOOKUP(Orders!C1183,Customers!$A$2:$E$301,5,FALSE),"Unknown")</f>
        <v>SMB</v>
      </c>
      <c r="G1183">
        <f>IFERROR(VLOOKUP(Orders!C1183,Customers!$A$2:$C$301,3,FALSE),"")</f>
        <v>55</v>
      </c>
      <c r="H1183" t="str">
        <f>VLOOKUP(D1183,Sales_Reps!$A$2:$C$31,3,FALSE)</f>
        <v>North</v>
      </c>
      <c r="I1183" s="44">
        <f t="shared" si="39"/>
        <v>45444</v>
      </c>
      <c r="L1183" t="str">
        <f>Orders!K1183</f>
        <v>Chennai</v>
      </c>
      <c r="M1183">
        <f>Orders!G1183</f>
        <v>3350</v>
      </c>
      <c r="N1183">
        <f>IFERROR(VLOOKUP(Orders!D1183,Products!$A$2:$D$61,4,FALSE),"")</f>
        <v>1728</v>
      </c>
      <c r="O1183">
        <f t="shared" si="40"/>
        <v>0.48417910447761192</v>
      </c>
      <c r="Q1183" t="str">
        <f>Orders!D1183</f>
        <v>PROD-043</v>
      </c>
    </row>
    <row r="1184" spans="1:17" x14ac:dyDescent="0.3">
      <c r="A1184" t="str">
        <f>Orders!A1184</f>
        <v>ORD-01183</v>
      </c>
      <c r="B1184">
        <f>Orders!B1184</f>
        <v>45307</v>
      </c>
      <c r="C1184">
        <f>Orders!I1184</f>
        <v>10909.08</v>
      </c>
      <c r="D1184" t="str">
        <f>Orders!E1184</f>
        <v>R025</v>
      </c>
      <c r="E1184" t="str">
        <f>IFERROR(VLOOKUP(Orders!D1184,Products!$A$2:$C$61,3,FALSE),"Unknown")</f>
        <v>Sports</v>
      </c>
      <c r="F1184" t="str">
        <f>IFERROR(VLOOKUP(Orders!C1184,Customers!$A$2:$E$301,5,FALSE),"Unknown")</f>
        <v>Retail</v>
      </c>
      <c r="G1184">
        <f>IFERROR(VLOOKUP(Orders!C1184,Customers!$A$2:$C$301,3,FALSE),"")</f>
        <v>24</v>
      </c>
      <c r="H1184" t="str">
        <f>VLOOKUP(D1184,Sales_Reps!$A$2:$C$31,3,FALSE)</f>
        <v>West</v>
      </c>
      <c r="I1184" s="44">
        <f t="shared" si="39"/>
        <v>45292</v>
      </c>
      <c r="L1184" t="str">
        <f>Orders!K1184</f>
        <v>Chennai</v>
      </c>
      <c r="M1184">
        <f>Orders!G1184</f>
        <v>3780</v>
      </c>
      <c r="N1184">
        <f>IFERROR(VLOOKUP(Orders!D1184,Products!$A$2:$D$61,4,FALSE),"")</f>
        <v>1860</v>
      </c>
      <c r="O1184">
        <f t="shared" si="40"/>
        <v>0.50793650793650791</v>
      </c>
      <c r="Q1184" t="str">
        <f>Orders!D1184</f>
        <v>PROD-059</v>
      </c>
    </row>
    <row r="1185" spans="1:17" x14ac:dyDescent="0.3">
      <c r="A1185" t="str">
        <f>Orders!A1185</f>
        <v>ORD-01184</v>
      </c>
      <c r="B1185">
        <f>Orders!B1185</f>
        <v>45651</v>
      </c>
      <c r="C1185">
        <f>Orders!I1185</f>
        <v>14151.48</v>
      </c>
      <c r="D1185" t="str">
        <f>Orders!E1185</f>
        <v>R008</v>
      </c>
      <c r="E1185" t="str">
        <f>IFERROR(VLOOKUP(Orders!D1185,Products!$A$2:$C$61,3,FALSE),"Unknown")</f>
        <v>Electronics</v>
      </c>
      <c r="F1185" t="str">
        <f>IFERROR(VLOOKUP(Orders!C1185,Customers!$A$2:$E$301,5,FALSE),"Unknown")</f>
        <v>Corporate</v>
      </c>
      <c r="G1185">
        <f>IFERROR(VLOOKUP(Orders!C1185,Customers!$A$2:$C$301,3,FALSE),"")</f>
        <v>52</v>
      </c>
      <c r="H1185" t="str">
        <f>VLOOKUP(D1185,Sales_Reps!$A$2:$C$31,3,FALSE)</f>
        <v>North</v>
      </c>
      <c r="I1185" s="44">
        <f t="shared" si="39"/>
        <v>45627</v>
      </c>
      <c r="L1185" t="str">
        <f>Orders!K1185</f>
        <v>Pune</v>
      </c>
      <c r="M1185">
        <f>Orders!G1185</f>
        <v>3570</v>
      </c>
      <c r="N1185">
        <f>IFERROR(VLOOKUP(Orders!D1185,Products!$A$2:$D$61,4,FALSE),"")</f>
        <v>1665</v>
      </c>
      <c r="O1185">
        <f t="shared" si="40"/>
        <v>0.53361344537815125</v>
      </c>
      <c r="Q1185" t="str">
        <f>Orders!D1185</f>
        <v>PROD-003</v>
      </c>
    </row>
    <row r="1186" spans="1:17" x14ac:dyDescent="0.3">
      <c r="A1186" t="str">
        <f>Orders!A1186</f>
        <v>ORD-01185</v>
      </c>
      <c r="B1186">
        <f>Orders!B1186</f>
        <v>45436</v>
      </c>
      <c r="C1186">
        <f>Orders!I1186</f>
        <v>11425.7</v>
      </c>
      <c r="D1186" t="str">
        <f>Orders!E1186</f>
        <v>R024</v>
      </c>
      <c r="E1186" t="str">
        <f>IFERROR(VLOOKUP(Orders!D1186,Products!$A$2:$C$61,3,FALSE),"Unknown")</f>
        <v>Sports</v>
      </c>
      <c r="F1186" t="str">
        <f>IFERROR(VLOOKUP(Orders!C1186,Customers!$A$2:$E$301,5,FALSE),"Unknown")</f>
        <v>Retail</v>
      </c>
      <c r="G1186">
        <f>IFERROR(VLOOKUP(Orders!C1186,Customers!$A$2:$C$301,3,FALSE),"")</f>
        <v>44</v>
      </c>
      <c r="H1186" t="str">
        <f>VLOOKUP(D1186,Sales_Reps!$A$2:$C$31,3,FALSE)</f>
        <v>West</v>
      </c>
      <c r="I1186" s="44">
        <f t="shared" si="39"/>
        <v>45413</v>
      </c>
      <c r="L1186" t="str">
        <f>Orders!K1186</f>
        <v>Delhi</v>
      </c>
      <c r="M1186">
        <f>Orders!G1186</f>
        <v>2860</v>
      </c>
      <c r="N1186">
        <f>IFERROR(VLOOKUP(Orders!D1186,Products!$A$2:$D$61,4,FALSE),"")</f>
        <v>2028</v>
      </c>
      <c r="O1186">
        <f t="shared" si="40"/>
        <v>0.29090909090909089</v>
      </c>
      <c r="Q1186" t="str">
        <f>Orders!D1186</f>
        <v>PROD-055</v>
      </c>
    </row>
    <row r="1187" spans="1:17" x14ac:dyDescent="0.3">
      <c r="A1187" t="str">
        <f>Orders!A1187</f>
        <v>ORD-01186</v>
      </c>
      <c r="B1187">
        <f>Orders!B1187</f>
        <v>45518</v>
      </c>
      <c r="C1187">
        <f>Orders!I1187</f>
        <v>613.17999999999995</v>
      </c>
      <c r="D1187" t="str">
        <f>Orders!E1187</f>
        <v>R003</v>
      </c>
      <c r="E1187" t="str">
        <f>IFERROR(VLOOKUP(Orders!D1187,Products!$A$2:$C$61,3,FALSE),"Unknown")</f>
        <v>Apparel</v>
      </c>
      <c r="F1187" t="str">
        <f>IFERROR(VLOOKUP(Orders!C1187,Customers!$A$2:$E$301,5,FALSE),"Unknown")</f>
        <v>Retail</v>
      </c>
      <c r="G1187">
        <f>IFERROR(VLOOKUP(Orders!C1187,Customers!$A$2:$C$301,3,FALSE),"")</f>
        <v>41</v>
      </c>
      <c r="H1187" t="str">
        <f>VLOOKUP(D1187,Sales_Reps!$A$2:$C$31,3,FALSE)</f>
        <v>North</v>
      </c>
      <c r="I1187" s="44">
        <f t="shared" si="39"/>
        <v>45505</v>
      </c>
      <c r="L1187" t="str">
        <f>Orders!K1187</f>
        <v>Delhi</v>
      </c>
      <c r="M1187">
        <f>Orders!G1187</f>
        <v>620</v>
      </c>
      <c r="N1187">
        <f>IFERROR(VLOOKUP(Orders!D1187,Products!$A$2:$D$61,4,FALSE),"")</f>
        <v>396</v>
      </c>
      <c r="O1187">
        <f t="shared" si="40"/>
        <v>0.36129032258064514</v>
      </c>
      <c r="Q1187" t="str">
        <f>Orders!D1187</f>
        <v>PROD-016</v>
      </c>
    </row>
    <row r="1188" spans="1:17" x14ac:dyDescent="0.3">
      <c r="A1188" t="str">
        <f>Orders!A1188</f>
        <v>ORD-01187</v>
      </c>
      <c r="B1188">
        <f>Orders!B1188</f>
        <v>45432</v>
      </c>
      <c r="C1188">
        <f>Orders!I1188</f>
        <v>3173.73</v>
      </c>
      <c r="D1188" t="str">
        <f>Orders!E1188</f>
        <v>R012</v>
      </c>
      <c r="E1188" t="str">
        <f>IFERROR(VLOOKUP(Orders!D1188,Products!$A$2:$C$61,3,FALSE),"Unknown")</f>
        <v>Electronics</v>
      </c>
      <c r="F1188" t="str">
        <f>IFERROR(VLOOKUP(Orders!C1188,Customers!$A$2:$E$301,5,FALSE),"Unknown")</f>
        <v>SMB</v>
      </c>
      <c r="G1188">
        <f>IFERROR(VLOOKUP(Orders!C1188,Customers!$A$2:$C$301,3,FALSE),"")</f>
        <v>44</v>
      </c>
      <c r="H1188" t="str">
        <f>VLOOKUP(D1188,Sales_Reps!$A$2:$C$31,3,FALSE)</f>
        <v>South</v>
      </c>
      <c r="I1188" s="44">
        <f t="shared" si="39"/>
        <v>45413</v>
      </c>
      <c r="L1188" t="str">
        <f>Orders!K1188</f>
        <v>Pune</v>
      </c>
      <c r="M1188">
        <f>Orders!G1188</f>
        <v>3570</v>
      </c>
      <c r="N1188">
        <f>IFERROR(VLOOKUP(Orders!D1188,Products!$A$2:$D$61,4,FALSE),"")</f>
        <v>1665</v>
      </c>
      <c r="O1188">
        <f t="shared" si="40"/>
        <v>0.53361344537815125</v>
      </c>
      <c r="Q1188" t="str">
        <f>Orders!D1188</f>
        <v>PROD-003</v>
      </c>
    </row>
    <row r="1189" spans="1:17" x14ac:dyDescent="0.3">
      <c r="A1189" t="str">
        <f>Orders!A1189</f>
        <v>ORD-01188</v>
      </c>
      <c r="B1189">
        <f>Orders!B1189</f>
        <v>45551</v>
      </c>
      <c r="C1189">
        <f>Orders!I1189</f>
        <v>5143.45</v>
      </c>
      <c r="D1189" t="str">
        <f>Orders!E1189</f>
        <v>R012</v>
      </c>
      <c r="E1189" t="str">
        <f>IFERROR(VLOOKUP(Orders!D1189,Products!$A$2:$C$61,3,FALSE),"Unknown")</f>
        <v>Electronics</v>
      </c>
      <c r="F1189" t="str">
        <f>IFERROR(VLOOKUP(Orders!C1189,Customers!$A$2:$E$301,5,FALSE),"Unknown")</f>
        <v>Corporate</v>
      </c>
      <c r="G1189">
        <f>IFERROR(VLOOKUP(Orders!C1189,Customers!$A$2:$C$301,3,FALSE),"")</f>
        <v>41</v>
      </c>
      <c r="H1189" t="str">
        <f>VLOOKUP(D1189,Sales_Reps!$A$2:$C$31,3,FALSE)</f>
        <v>South</v>
      </c>
      <c r="I1189" s="44">
        <f t="shared" si="39"/>
        <v>45536</v>
      </c>
      <c r="L1189" t="str">
        <f>Orders!K1189</f>
        <v>Chennai</v>
      </c>
      <c r="M1189">
        <f>Orders!G1189</f>
        <v>5330</v>
      </c>
      <c r="N1189">
        <f>IFERROR(VLOOKUP(Orders!D1189,Products!$A$2:$D$61,4,FALSE),"")</f>
        <v>2405</v>
      </c>
      <c r="O1189">
        <f t="shared" si="40"/>
        <v>0.54878048780487809</v>
      </c>
      <c r="Q1189" t="str">
        <f>Orders!D1189</f>
        <v>PROD-001</v>
      </c>
    </row>
    <row r="1190" spans="1:17" x14ac:dyDescent="0.3">
      <c r="A1190" t="str">
        <f>Orders!A1190</f>
        <v>ORD-01189</v>
      </c>
      <c r="B1190">
        <f>Orders!B1190</f>
        <v>45348</v>
      </c>
      <c r="C1190">
        <f>Orders!I1190</f>
        <v>27948.06</v>
      </c>
      <c r="D1190" t="str">
        <f>Orders!E1190</f>
        <v>R018</v>
      </c>
      <c r="E1190" t="str">
        <f>IFERROR(VLOOKUP(Orders!D1190,Products!$A$2:$C$61,3,FALSE),"Unknown")</f>
        <v>Sports</v>
      </c>
      <c r="F1190" t="str">
        <f>IFERROR(VLOOKUP(Orders!C1190,Customers!$A$2:$E$301,5,FALSE),"Unknown")</f>
        <v>SMB</v>
      </c>
      <c r="G1190">
        <f>IFERROR(VLOOKUP(Orders!C1190,Customers!$A$2:$C$301,3,FALSE),"")</f>
        <v>22</v>
      </c>
      <c r="H1190" t="str">
        <f>VLOOKUP(D1190,Sales_Reps!$A$2:$C$31,3,FALSE)</f>
        <v>East</v>
      </c>
      <c r="I1190" s="44">
        <f t="shared" si="39"/>
        <v>45323</v>
      </c>
      <c r="L1190" t="str">
        <f>Orders!K1190</f>
        <v>Mumbai</v>
      </c>
      <c r="M1190">
        <f>Orders!G1190</f>
        <v>5410</v>
      </c>
      <c r="N1190">
        <f>IFERROR(VLOOKUP(Orders!D1190,Products!$A$2:$D$61,4,FALSE),"")</f>
        <v>2265</v>
      </c>
      <c r="O1190">
        <f t="shared" si="40"/>
        <v>0.58133086876155271</v>
      </c>
      <c r="Q1190" t="str">
        <f>Orders!D1190</f>
        <v>PROD-052</v>
      </c>
    </row>
    <row r="1191" spans="1:17" x14ac:dyDescent="0.3">
      <c r="A1191" t="str">
        <f>Orders!A1191</f>
        <v>ORD-01190</v>
      </c>
      <c r="B1191">
        <f>Orders!B1191</f>
        <v>45374</v>
      </c>
      <c r="C1191">
        <f>Orders!I1191</f>
        <v>48920.4</v>
      </c>
      <c r="D1191" t="str">
        <f>Orders!E1191</f>
        <v>R016</v>
      </c>
      <c r="E1191" t="str">
        <f>IFERROR(VLOOKUP(Orders!D1191,Products!$A$2:$C$61,3,FALSE),"Unknown")</f>
        <v>Home</v>
      </c>
      <c r="F1191" t="str">
        <f>IFERROR(VLOOKUP(Orders!C1191,Customers!$A$2:$E$301,5,FALSE),"Unknown")</f>
        <v>Retail</v>
      </c>
      <c r="G1191">
        <f>IFERROR(VLOOKUP(Orders!C1191,Customers!$A$2:$C$301,3,FALSE),"")</f>
        <v>42</v>
      </c>
      <c r="H1191" t="str">
        <f>VLOOKUP(D1191,Sales_Reps!$A$2:$C$31,3,FALSE)</f>
        <v>South</v>
      </c>
      <c r="I1191" s="44">
        <f t="shared" si="39"/>
        <v>45352</v>
      </c>
      <c r="L1191" t="str">
        <f>Orders!K1191</f>
        <v>Pune</v>
      </c>
      <c r="M1191">
        <f>Orders!G1191</f>
        <v>5080</v>
      </c>
      <c r="N1191">
        <f>IFERROR(VLOOKUP(Orders!D1191,Products!$A$2:$D$61,4,FALSE),"")</f>
        <v>2459</v>
      </c>
      <c r="O1191">
        <f t="shared" si="40"/>
        <v>0.51594488188976373</v>
      </c>
      <c r="Q1191" t="str">
        <f>Orders!D1191</f>
        <v>PROD-034</v>
      </c>
    </row>
    <row r="1192" spans="1:17" x14ac:dyDescent="0.3">
      <c r="A1192" t="str">
        <f>Orders!A1192</f>
        <v>ORD-01191</v>
      </c>
      <c r="B1192">
        <f>Orders!B1192</f>
        <v>45370</v>
      </c>
      <c r="C1192">
        <f>Orders!I1192</f>
        <v>30330.720000000001</v>
      </c>
      <c r="D1192" t="str">
        <f>Orders!E1192</f>
        <v>R005</v>
      </c>
      <c r="E1192" t="str">
        <f>IFERROR(VLOOKUP(Orders!D1192,Products!$A$2:$C$61,3,FALSE),"Unknown")</f>
        <v>Electronics</v>
      </c>
      <c r="F1192" t="str">
        <f>IFERROR(VLOOKUP(Orders!C1192,Customers!$A$2:$E$301,5,FALSE),"Unknown")</f>
        <v>Retail</v>
      </c>
      <c r="G1192">
        <f>IFERROR(VLOOKUP(Orders!C1192,Customers!$A$2:$C$301,3,FALSE),"")</f>
        <v>24</v>
      </c>
      <c r="H1192" t="str">
        <f>VLOOKUP(D1192,Sales_Reps!$A$2:$C$31,3,FALSE)</f>
        <v>North</v>
      </c>
      <c r="I1192" s="44">
        <f t="shared" si="39"/>
        <v>45352</v>
      </c>
      <c r="L1192" t="str">
        <f>Orders!K1192</f>
        <v>Delhi</v>
      </c>
      <c r="M1192">
        <f>Orders!G1192</f>
        <v>3570</v>
      </c>
      <c r="N1192">
        <f>IFERROR(VLOOKUP(Orders!D1192,Products!$A$2:$D$61,4,FALSE),"")</f>
        <v>1665</v>
      </c>
      <c r="O1192">
        <f t="shared" si="40"/>
        <v>0.53361344537815125</v>
      </c>
      <c r="Q1192" t="str">
        <f>Orders!D1192</f>
        <v>PROD-003</v>
      </c>
    </row>
    <row r="1193" spans="1:17" x14ac:dyDescent="0.3">
      <c r="A1193" t="str">
        <f>Orders!A1193</f>
        <v>ORD-01192</v>
      </c>
      <c r="B1193">
        <f>Orders!B1193</f>
        <v>45656</v>
      </c>
      <c r="C1193">
        <f>Orders!I1193</f>
        <v>7027.65</v>
      </c>
      <c r="D1193" t="str">
        <f>Orders!E1193</f>
        <v>R022</v>
      </c>
      <c r="E1193" t="str">
        <f>IFERROR(VLOOKUP(Orders!D1193,Products!$A$2:$C$61,3,FALSE),"Unknown")</f>
        <v>Grocery</v>
      </c>
      <c r="F1193" t="str">
        <f>IFERROR(VLOOKUP(Orders!C1193,Customers!$A$2:$E$301,5,FALSE),"Unknown")</f>
        <v>Retail</v>
      </c>
      <c r="G1193">
        <f>IFERROR(VLOOKUP(Orders!C1193,Customers!$A$2:$C$301,3,FALSE),"")</f>
        <v>34</v>
      </c>
      <c r="H1193" t="str">
        <f>VLOOKUP(D1193,Sales_Reps!$A$2:$C$31,3,FALSE)</f>
        <v>East</v>
      </c>
      <c r="I1193" s="44">
        <f t="shared" si="39"/>
        <v>45627</v>
      </c>
      <c r="L1193" t="str">
        <f>Orders!K1193</f>
        <v>Bengaluru</v>
      </c>
      <c r="M1193">
        <f>Orders!G1193</f>
        <v>970</v>
      </c>
      <c r="N1193">
        <f>IFERROR(VLOOKUP(Orders!D1193,Products!$A$2:$D$61,4,FALSE),"")</f>
        <v>434</v>
      </c>
      <c r="O1193">
        <f t="shared" si="40"/>
        <v>0.5525773195876289</v>
      </c>
      <c r="Q1193" t="str">
        <f>Orders!D1193</f>
        <v>PROD-030</v>
      </c>
    </row>
    <row r="1194" spans="1:17" x14ac:dyDescent="0.3">
      <c r="A1194" t="str">
        <f>Orders!A1194</f>
        <v>ORD-01193</v>
      </c>
      <c r="B1194">
        <f>Orders!B1194</f>
        <v>45357</v>
      </c>
      <c r="C1194">
        <f>Orders!I1194</f>
        <v>2310</v>
      </c>
      <c r="D1194" t="str">
        <f>Orders!E1194</f>
        <v>R009</v>
      </c>
      <c r="E1194" t="str">
        <f>IFERROR(VLOOKUP(Orders!D1194,Products!$A$2:$C$61,3,FALSE),"Unknown")</f>
        <v>Electronics</v>
      </c>
      <c r="F1194" t="str">
        <f>IFERROR(VLOOKUP(Orders!C1194,Customers!$A$2:$E$301,5,FALSE),"Unknown")</f>
        <v>Retail</v>
      </c>
      <c r="G1194">
        <f>IFERROR(VLOOKUP(Orders!C1194,Customers!$A$2:$C$301,3,FALSE),"")</f>
        <v>44</v>
      </c>
      <c r="H1194" t="str">
        <f>VLOOKUP(D1194,Sales_Reps!$A$2:$C$31,3,FALSE)</f>
        <v>South</v>
      </c>
      <c r="I1194" s="44">
        <f t="shared" si="39"/>
        <v>45352</v>
      </c>
      <c r="L1194" t="str">
        <f>Orders!K1194</f>
        <v>Delhi</v>
      </c>
      <c r="M1194">
        <f>Orders!G1194</f>
        <v>300</v>
      </c>
      <c r="N1194">
        <f>IFERROR(VLOOKUP(Orders!D1194,Products!$A$2:$D$61,4,FALSE),"")</f>
        <v>128</v>
      </c>
      <c r="O1194">
        <f t="shared" si="40"/>
        <v>0.57333333333333336</v>
      </c>
      <c r="Q1194" t="str">
        <f>Orders!D1194</f>
        <v>PROD-005</v>
      </c>
    </row>
    <row r="1195" spans="1:17" x14ac:dyDescent="0.3">
      <c r="A1195" t="str">
        <f>Orders!A1195</f>
        <v>ORD-01194</v>
      </c>
      <c r="B1195">
        <f>Orders!B1195</f>
        <v>45479</v>
      </c>
      <c r="C1195">
        <f>Orders!I1195</f>
        <v>58428.800000000003</v>
      </c>
      <c r="D1195" t="str">
        <f>Orders!E1195</f>
        <v>R003</v>
      </c>
      <c r="E1195" t="str">
        <f>IFERROR(VLOOKUP(Orders!D1195,Products!$A$2:$C$61,3,FALSE),"Unknown")</f>
        <v>Beauty</v>
      </c>
      <c r="F1195" t="str">
        <f>IFERROR(VLOOKUP(Orders!C1195,Customers!$A$2:$E$301,5,FALSE),"Unknown")</f>
        <v>SMB</v>
      </c>
      <c r="G1195">
        <f>IFERROR(VLOOKUP(Orders!C1195,Customers!$A$2:$C$301,3,FALSE),"")</f>
        <v>64</v>
      </c>
      <c r="H1195" t="str">
        <f>VLOOKUP(D1195,Sales_Reps!$A$2:$C$31,3,FALSE)</f>
        <v>North</v>
      </c>
      <c r="I1195" s="44">
        <f t="shared" si="39"/>
        <v>45474</v>
      </c>
      <c r="L1195" t="str">
        <f>Orders!K1195</f>
        <v>Chennai</v>
      </c>
      <c r="M1195">
        <f>Orders!G1195</f>
        <v>6080</v>
      </c>
      <c r="N1195">
        <f>IFERROR(VLOOKUP(Orders!D1195,Products!$A$2:$D$61,4,FALSE),"")</f>
        <v>2617</v>
      </c>
      <c r="O1195">
        <f t="shared" si="40"/>
        <v>0.56957236842105263</v>
      </c>
      <c r="Q1195" t="str">
        <f>Orders!D1195</f>
        <v>PROD-050</v>
      </c>
    </row>
    <row r="1196" spans="1:17" x14ac:dyDescent="0.3">
      <c r="A1196" t="str">
        <f>Orders!A1196</f>
        <v>ORD-01195</v>
      </c>
      <c r="B1196">
        <f>Orders!B1196</f>
        <v>45539</v>
      </c>
      <c r="C1196">
        <f>Orders!I1196</f>
        <v>9078</v>
      </c>
      <c r="D1196" t="str">
        <f>Orders!E1196</f>
        <v>R011</v>
      </c>
      <c r="E1196" t="str">
        <f>IFERROR(VLOOKUP(Orders!D1196,Products!$A$2:$C$61,3,FALSE),"Unknown")</f>
        <v>Beauty</v>
      </c>
      <c r="F1196" t="str">
        <f>IFERROR(VLOOKUP(Orders!C1196,Customers!$A$2:$E$301,5,FALSE),"Unknown")</f>
        <v>SMB</v>
      </c>
      <c r="G1196">
        <f>IFERROR(VLOOKUP(Orders!C1196,Customers!$A$2:$C$301,3,FALSE),"")</f>
        <v>39</v>
      </c>
      <c r="H1196" t="str">
        <f>VLOOKUP(D1196,Sales_Reps!$A$2:$C$31,3,FALSE)</f>
        <v>South</v>
      </c>
      <c r="I1196" s="44">
        <f t="shared" si="39"/>
        <v>45536</v>
      </c>
      <c r="L1196" t="str">
        <f>Orders!K1196</f>
        <v>Pune</v>
      </c>
      <c r="M1196">
        <f>Orders!G1196</f>
        <v>5100</v>
      </c>
      <c r="N1196">
        <f>IFERROR(VLOOKUP(Orders!D1196,Products!$A$2:$D$61,4,FALSE),"")</f>
        <v>2237</v>
      </c>
      <c r="O1196">
        <f t="shared" si="40"/>
        <v>0.56137254901960787</v>
      </c>
      <c r="Q1196" t="str">
        <f>Orders!D1196</f>
        <v>PROD-048</v>
      </c>
    </row>
    <row r="1197" spans="1:17" x14ac:dyDescent="0.3">
      <c r="A1197" t="str">
        <f>Orders!A1197</f>
        <v>ORD-01196</v>
      </c>
      <c r="B1197">
        <f>Orders!B1197</f>
        <v>45394</v>
      </c>
      <c r="C1197">
        <f>Orders!I1197</f>
        <v>23691.15</v>
      </c>
      <c r="D1197" t="str">
        <f>Orders!E1197</f>
        <v>R019</v>
      </c>
      <c r="E1197" t="str">
        <f>IFERROR(VLOOKUP(Orders!D1197,Products!$A$2:$C$61,3,FALSE),"Unknown")</f>
        <v>Apparel</v>
      </c>
      <c r="F1197" t="str">
        <f>IFERROR(VLOOKUP(Orders!C1197,Customers!$A$2:$E$301,5,FALSE),"Unknown")</f>
        <v>Retail</v>
      </c>
      <c r="G1197">
        <f>IFERROR(VLOOKUP(Orders!C1197,Customers!$A$2:$C$301,3,FALSE),"")</f>
        <v>42</v>
      </c>
      <c r="H1197" t="str">
        <f>VLOOKUP(D1197,Sales_Reps!$A$2:$C$31,3,FALSE)</f>
        <v>East</v>
      </c>
      <c r="I1197" s="44">
        <f t="shared" si="39"/>
        <v>45383</v>
      </c>
      <c r="L1197" t="str">
        <f>Orders!K1197</f>
        <v>Mumbai</v>
      </c>
      <c r="M1197">
        <f>Orders!G1197</f>
        <v>3450</v>
      </c>
      <c r="N1197">
        <f>IFERROR(VLOOKUP(Orders!D1197,Products!$A$2:$D$61,4,FALSE),"")</f>
        <v>1748</v>
      </c>
      <c r="O1197">
        <f t="shared" si="40"/>
        <v>0.49333333333333335</v>
      </c>
      <c r="Q1197" t="str">
        <f>Orders!D1197</f>
        <v>PROD-011</v>
      </c>
    </row>
    <row r="1198" spans="1:17" x14ac:dyDescent="0.3">
      <c r="A1198" t="str">
        <f>Orders!A1198</f>
        <v>ORD-01197</v>
      </c>
      <c r="B1198">
        <f>Orders!B1198</f>
        <v>45335</v>
      </c>
      <c r="C1198">
        <f>Orders!I1198</f>
        <v>9870.4</v>
      </c>
      <c r="D1198" t="str">
        <f>Orders!E1198</f>
        <v>R011</v>
      </c>
      <c r="E1198" t="str">
        <f>IFERROR(VLOOKUP(Orders!D1198,Products!$A$2:$C$61,3,FALSE),"Unknown")</f>
        <v>Apparel</v>
      </c>
      <c r="F1198" t="str">
        <f>IFERROR(VLOOKUP(Orders!C1198,Customers!$A$2:$E$301,5,FALSE),"Unknown")</f>
        <v>Retail</v>
      </c>
      <c r="G1198">
        <f>IFERROR(VLOOKUP(Orders!C1198,Customers!$A$2:$C$301,3,FALSE),"")</f>
        <v>29</v>
      </c>
      <c r="H1198" t="str">
        <f>VLOOKUP(D1198,Sales_Reps!$A$2:$C$31,3,FALSE)</f>
        <v>South</v>
      </c>
      <c r="I1198" s="44">
        <f t="shared" si="39"/>
        <v>45323</v>
      </c>
      <c r="L1198" t="str">
        <f>Orders!K1198</f>
        <v>Bengaluru</v>
      </c>
      <c r="M1198">
        <f>Orders!G1198</f>
        <v>2480</v>
      </c>
      <c r="N1198">
        <f>IFERROR(VLOOKUP(Orders!D1198,Products!$A$2:$D$61,4,FALSE),"")</f>
        <v>1173</v>
      </c>
      <c r="O1198">
        <f t="shared" si="40"/>
        <v>0.52701612903225803</v>
      </c>
      <c r="Q1198" t="str">
        <f>Orders!D1198</f>
        <v>PROD-019</v>
      </c>
    </row>
    <row r="1199" spans="1:17" x14ac:dyDescent="0.3">
      <c r="A1199" t="str">
        <f>Orders!A1199</f>
        <v>ORD-01198</v>
      </c>
      <c r="B1199">
        <f>Orders!B1199</f>
        <v>45334</v>
      </c>
      <c r="C1199">
        <f>Orders!I1199</f>
        <v>740.24</v>
      </c>
      <c r="D1199" t="str">
        <f>Orders!E1199</f>
        <v>R010</v>
      </c>
      <c r="E1199" t="str">
        <f>IFERROR(VLOOKUP(Orders!D1199,Products!$A$2:$C$61,3,FALSE),"Unknown")</f>
        <v>Sports</v>
      </c>
      <c r="F1199" t="str">
        <f>IFERROR(VLOOKUP(Orders!C1199,Customers!$A$2:$E$301,5,FALSE),"Unknown")</f>
        <v>Corporate</v>
      </c>
      <c r="G1199">
        <f>IFERROR(VLOOKUP(Orders!C1199,Customers!$A$2:$C$301,3,FALSE),"")</f>
        <v>55</v>
      </c>
      <c r="H1199" t="str">
        <f>VLOOKUP(D1199,Sales_Reps!$A$2:$C$31,3,FALSE)</f>
        <v>South</v>
      </c>
      <c r="I1199" s="44">
        <f t="shared" si="39"/>
        <v>45323</v>
      </c>
      <c r="L1199" t="str">
        <f>Orders!K1199</f>
        <v>Delhi</v>
      </c>
      <c r="M1199">
        <f>Orders!G1199</f>
        <v>190</v>
      </c>
      <c r="N1199">
        <f>IFERROR(VLOOKUP(Orders!D1199,Products!$A$2:$D$61,4,FALSE),"")</f>
        <v>147</v>
      </c>
      <c r="O1199">
        <f t="shared" si="40"/>
        <v>0.22631578947368422</v>
      </c>
      <c r="Q1199" t="str">
        <f>Orders!D1199</f>
        <v>PROD-060</v>
      </c>
    </row>
    <row r="1200" spans="1:17" x14ac:dyDescent="0.3">
      <c r="A1200" t="str">
        <f>Orders!A1200</f>
        <v>ORD-01199</v>
      </c>
      <c r="B1200">
        <f>Orders!B1200</f>
        <v>45300</v>
      </c>
      <c r="C1200">
        <f>Orders!I1200</f>
        <v>8344.52</v>
      </c>
      <c r="D1200" t="str">
        <f>Orders!E1200</f>
        <v>R020</v>
      </c>
      <c r="E1200" t="str">
        <f>IFERROR(VLOOKUP(Orders!D1200,Products!$A$2:$C$61,3,FALSE),"Unknown")</f>
        <v>Grocery</v>
      </c>
      <c r="F1200" t="str">
        <f>IFERROR(VLOOKUP(Orders!C1200,Customers!$A$2:$E$301,5,FALSE),"Unknown")</f>
        <v>SMB</v>
      </c>
      <c r="G1200">
        <f>IFERROR(VLOOKUP(Orders!C1200,Customers!$A$2:$C$301,3,FALSE),"")</f>
        <v>44</v>
      </c>
      <c r="H1200" t="str">
        <f>VLOOKUP(D1200,Sales_Reps!$A$2:$C$31,3,FALSE)</f>
        <v>East</v>
      </c>
      <c r="I1200" s="44">
        <f t="shared" si="39"/>
        <v>45292</v>
      </c>
      <c r="L1200" t="str">
        <f>Orders!K1200</f>
        <v>Bengaluru</v>
      </c>
      <c r="M1200">
        <f>Orders!G1200</f>
        <v>2270</v>
      </c>
      <c r="N1200">
        <f>IFERROR(VLOOKUP(Orders!D1200,Products!$A$2:$D$61,4,FALSE),"")</f>
        <v>1412</v>
      </c>
      <c r="O1200">
        <f t="shared" si="40"/>
        <v>0.37797356828193834</v>
      </c>
      <c r="Q1200" t="str">
        <f>Orders!D1200</f>
        <v>PROD-022</v>
      </c>
    </row>
    <row r="1201" spans="1:17" x14ac:dyDescent="0.3">
      <c r="A1201" t="str">
        <f>Orders!A1201</f>
        <v>ORD-01200</v>
      </c>
      <c r="B1201">
        <f>Orders!B1201</f>
        <v>45400</v>
      </c>
      <c r="C1201">
        <f>Orders!I1201</f>
        <v>13089.65</v>
      </c>
      <c r="D1201" t="str">
        <f>Orders!E1201</f>
        <v>R028</v>
      </c>
      <c r="E1201" t="str">
        <f>IFERROR(VLOOKUP(Orders!D1201,Products!$A$2:$C$61,3,FALSE),"Unknown")</f>
        <v>Apparel</v>
      </c>
      <c r="F1201" t="str">
        <f>IFERROR(VLOOKUP(Orders!C1201,Customers!$A$2:$E$301,5,FALSE),"Unknown")</f>
        <v>SMB</v>
      </c>
      <c r="G1201">
        <f>IFERROR(VLOOKUP(Orders!C1201,Customers!$A$2:$C$301,3,FALSE),"")</f>
        <v>26</v>
      </c>
      <c r="H1201" t="str">
        <f>VLOOKUP(D1201,Sales_Reps!$A$2:$C$31,3,FALSE)</f>
        <v>West</v>
      </c>
      <c r="I1201" s="44">
        <f t="shared" si="39"/>
        <v>45383</v>
      </c>
      <c r="L1201" t="str">
        <f>Orders!K1201</f>
        <v>Bengaluru</v>
      </c>
      <c r="M1201">
        <f>Orders!G1201</f>
        <v>2510</v>
      </c>
      <c r="N1201">
        <f>IFERROR(VLOOKUP(Orders!D1201,Products!$A$2:$D$61,4,FALSE),"")</f>
        <v>1075</v>
      </c>
      <c r="O1201">
        <f t="shared" si="40"/>
        <v>0.57171314741035861</v>
      </c>
      <c r="Q1201" t="str">
        <f>Orders!D1201</f>
        <v>PROD-017</v>
      </c>
    </row>
    <row r="1202" spans="1:17" x14ac:dyDescent="0.3">
      <c r="A1202" t="str">
        <f>Orders!A1202</f>
        <v>ORD-01201</v>
      </c>
      <c r="B1202">
        <f>Orders!B1202</f>
        <v>45423</v>
      </c>
      <c r="C1202">
        <f>Orders!I1202</f>
        <v>9434.8799999999992</v>
      </c>
      <c r="D1202" t="str">
        <f>Orders!E1202</f>
        <v>R004</v>
      </c>
      <c r="E1202" t="str">
        <f>IFERROR(VLOOKUP(Orders!D1202,Products!$A$2:$C$61,3,FALSE),"Unknown")</f>
        <v>Sports</v>
      </c>
      <c r="F1202" t="str">
        <f>IFERROR(VLOOKUP(Orders!C1202,Customers!$A$2:$E$301,5,FALSE),"Unknown")</f>
        <v>Retail</v>
      </c>
      <c r="G1202">
        <f>IFERROR(VLOOKUP(Orders!C1202,Customers!$A$2:$C$301,3,FALSE),"")</f>
        <v>56</v>
      </c>
      <c r="H1202" t="str">
        <f>VLOOKUP(D1202,Sales_Reps!$A$2:$C$31,3,FALSE)</f>
        <v>North</v>
      </c>
      <c r="I1202" s="44">
        <f t="shared" si="39"/>
        <v>45413</v>
      </c>
      <c r="L1202" t="str">
        <f>Orders!K1202</f>
        <v>Pune</v>
      </c>
      <c r="M1202">
        <f>Orders!G1202</f>
        <v>3780</v>
      </c>
      <c r="N1202">
        <f>IFERROR(VLOOKUP(Orders!D1202,Products!$A$2:$D$61,4,FALSE),"")</f>
        <v>1860</v>
      </c>
      <c r="O1202">
        <f t="shared" si="40"/>
        <v>0.50793650793650791</v>
      </c>
      <c r="Q1202" t="str">
        <f>Orders!D1202</f>
        <v>PROD-059</v>
      </c>
    </row>
    <row r="1203" spans="1:17" x14ac:dyDescent="0.3">
      <c r="A1203" t="str">
        <f>Orders!A1203</f>
        <v>ORD-01202</v>
      </c>
      <c r="B1203">
        <f>Orders!B1203</f>
        <v>45518</v>
      </c>
      <c r="C1203">
        <f>Orders!I1203</f>
        <v>19067.37</v>
      </c>
      <c r="D1203" t="str">
        <f>Orders!E1203</f>
        <v>R010</v>
      </c>
      <c r="E1203" t="str">
        <f>IFERROR(VLOOKUP(Orders!D1203,Products!$A$2:$C$61,3,FALSE),"Unknown")</f>
        <v>Electronics</v>
      </c>
      <c r="F1203" t="str">
        <f>IFERROR(VLOOKUP(Orders!C1203,Customers!$A$2:$E$301,5,FALSE),"Unknown")</f>
        <v>SMB</v>
      </c>
      <c r="G1203">
        <f>IFERROR(VLOOKUP(Orders!C1203,Customers!$A$2:$C$301,3,FALSE),"")</f>
        <v>43</v>
      </c>
      <c r="H1203" t="str">
        <f>VLOOKUP(D1203,Sales_Reps!$A$2:$C$31,3,FALSE)</f>
        <v>South</v>
      </c>
      <c r="I1203" s="44">
        <f t="shared" si="39"/>
        <v>45505</v>
      </c>
      <c r="L1203" t="str">
        <f>Orders!K1203</f>
        <v>Hyderabad</v>
      </c>
      <c r="M1203">
        <f>Orders!G1203</f>
        <v>3570</v>
      </c>
      <c r="N1203">
        <f>IFERROR(VLOOKUP(Orders!D1203,Products!$A$2:$D$61,4,FALSE),"")</f>
        <v>1665</v>
      </c>
      <c r="O1203">
        <f t="shared" si="40"/>
        <v>0.53361344537815125</v>
      </c>
      <c r="Q1203" t="str">
        <f>Orders!D1203</f>
        <v>PROD-003</v>
      </c>
    </row>
    <row r="1204" spans="1:17" x14ac:dyDescent="0.3">
      <c r="A1204" t="str">
        <f>Orders!A1204</f>
        <v>ORD-01203</v>
      </c>
      <c r="B1204">
        <f>Orders!B1204</f>
        <v>45559</v>
      </c>
      <c r="C1204">
        <f>Orders!I1204</f>
        <v>2544.96</v>
      </c>
      <c r="D1204" t="str">
        <f>Orders!E1204</f>
        <v>R011</v>
      </c>
      <c r="E1204" t="str">
        <f>IFERROR(VLOOKUP(Orders!D1204,Products!$A$2:$C$61,3,FALSE),"Unknown")</f>
        <v>Home</v>
      </c>
      <c r="F1204" t="str">
        <f>IFERROR(VLOOKUP(Orders!C1204,Customers!$A$2:$E$301,5,FALSE),"Unknown")</f>
        <v>Corporate</v>
      </c>
      <c r="G1204">
        <f>IFERROR(VLOOKUP(Orders!C1204,Customers!$A$2:$C$301,3,FALSE),"")</f>
        <v>48</v>
      </c>
      <c r="H1204" t="str">
        <f>VLOOKUP(D1204,Sales_Reps!$A$2:$C$31,3,FALSE)</f>
        <v>South</v>
      </c>
      <c r="I1204" s="44">
        <f t="shared" si="39"/>
        <v>45536</v>
      </c>
      <c r="L1204" t="str">
        <f>Orders!K1204</f>
        <v>Pune</v>
      </c>
      <c r="M1204">
        <f>Orders!G1204</f>
        <v>660</v>
      </c>
      <c r="N1204">
        <f>IFERROR(VLOOKUP(Orders!D1204,Products!$A$2:$D$61,4,FALSE),"")</f>
        <v>329</v>
      </c>
      <c r="O1204">
        <f t="shared" si="40"/>
        <v>0.50151515151515147</v>
      </c>
      <c r="Q1204" t="str">
        <f>Orders!D1204</f>
        <v>PROD-037</v>
      </c>
    </row>
    <row r="1205" spans="1:17" x14ac:dyDescent="0.3">
      <c r="A1205" t="str">
        <f>Orders!A1205</f>
        <v>ORD-01204</v>
      </c>
      <c r="B1205">
        <f>Orders!B1205</f>
        <v>45501</v>
      </c>
      <c r="C1205">
        <f>Orders!I1205</f>
        <v>5180.7700000000004</v>
      </c>
      <c r="D1205" t="str">
        <f>Orders!E1205</f>
        <v>R010</v>
      </c>
      <c r="E1205" t="str">
        <f>IFERROR(VLOOKUP(Orders!D1205,Products!$A$2:$C$61,3,FALSE),"Unknown")</f>
        <v>Grocery</v>
      </c>
      <c r="F1205" t="str">
        <f>IFERROR(VLOOKUP(Orders!C1205,Customers!$A$2:$E$301,5,FALSE),"Unknown")</f>
        <v>Retail</v>
      </c>
      <c r="G1205">
        <f>IFERROR(VLOOKUP(Orders!C1205,Customers!$A$2:$C$301,3,FALSE),"")</f>
        <v>54</v>
      </c>
      <c r="H1205" t="str">
        <f>VLOOKUP(D1205,Sales_Reps!$A$2:$C$31,3,FALSE)</f>
        <v>South</v>
      </c>
      <c r="I1205" s="44">
        <f t="shared" si="39"/>
        <v>45474</v>
      </c>
      <c r="L1205" t="str">
        <f>Orders!K1205</f>
        <v>Mumbai</v>
      </c>
      <c r="M1205">
        <f>Orders!G1205</f>
        <v>970</v>
      </c>
      <c r="N1205">
        <f>IFERROR(VLOOKUP(Orders!D1205,Products!$A$2:$D$61,4,FALSE),"")</f>
        <v>434</v>
      </c>
      <c r="O1205">
        <f t="shared" si="40"/>
        <v>0.5525773195876289</v>
      </c>
      <c r="Q1205" t="str">
        <f>Orders!D1205</f>
        <v>PROD-030</v>
      </c>
    </row>
    <row r="1206" spans="1:17" x14ac:dyDescent="0.3">
      <c r="A1206" t="str">
        <f>Orders!A1206</f>
        <v>ORD-01205</v>
      </c>
      <c r="B1206">
        <f>Orders!B1206</f>
        <v>45338</v>
      </c>
      <c r="C1206">
        <f>Orders!I1206</f>
        <v>16925.12</v>
      </c>
      <c r="D1206" t="str">
        <f>Orders!E1206</f>
        <v>R006</v>
      </c>
      <c r="E1206" t="str">
        <f>IFERROR(VLOOKUP(Orders!D1206,Products!$A$2:$C$61,3,FALSE),"Unknown")</f>
        <v>Grocery</v>
      </c>
      <c r="F1206" t="str">
        <f>IFERROR(VLOOKUP(Orders!C1206,Customers!$A$2:$E$301,5,FALSE),"Unknown")</f>
        <v>SMB</v>
      </c>
      <c r="G1206">
        <f>IFERROR(VLOOKUP(Orders!C1206,Customers!$A$2:$C$301,3,FALSE),"")</f>
        <v>38</v>
      </c>
      <c r="H1206" t="str">
        <f>VLOOKUP(D1206,Sales_Reps!$A$2:$C$31,3,FALSE)</f>
        <v>North</v>
      </c>
      <c r="I1206" s="44">
        <f t="shared" si="39"/>
        <v>45323</v>
      </c>
      <c r="L1206" t="str">
        <f>Orders!K1206</f>
        <v>Delhi</v>
      </c>
      <c r="M1206">
        <f>Orders!G1206</f>
        <v>2270</v>
      </c>
      <c r="N1206">
        <f>IFERROR(VLOOKUP(Orders!D1206,Products!$A$2:$D$61,4,FALSE),"")</f>
        <v>1203</v>
      </c>
      <c r="O1206">
        <f t="shared" si="40"/>
        <v>0.47004405286343615</v>
      </c>
      <c r="Q1206" t="str">
        <f>Orders!D1206</f>
        <v>PROD-024</v>
      </c>
    </row>
    <row r="1207" spans="1:17" x14ac:dyDescent="0.3">
      <c r="A1207" t="str">
        <f>Orders!A1207</f>
        <v>ORD-01206</v>
      </c>
      <c r="B1207">
        <f>Orders!B1207</f>
        <v>45585</v>
      </c>
      <c r="C1207">
        <f>Orders!I1207</f>
        <v>1764</v>
      </c>
      <c r="D1207" t="str">
        <f>Orders!E1207</f>
        <v>R012</v>
      </c>
      <c r="E1207" t="str">
        <f>IFERROR(VLOOKUP(Orders!D1207,Products!$A$2:$C$61,3,FALSE),"Unknown")</f>
        <v>Sports</v>
      </c>
      <c r="F1207" t="str">
        <f>IFERROR(VLOOKUP(Orders!C1207,Customers!$A$2:$E$301,5,FALSE),"Unknown")</f>
        <v>SMB</v>
      </c>
      <c r="G1207">
        <f>IFERROR(VLOOKUP(Orders!C1207,Customers!$A$2:$C$301,3,FALSE),"")</f>
        <v>65</v>
      </c>
      <c r="H1207" t="str">
        <f>VLOOKUP(D1207,Sales_Reps!$A$2:$C$31,3,FALSE)</f>
        <v>South</v>
      </c>
      <c r="I1207" s="44">
        <f t="shared" si="39"/>
        <v>45566</v>
      </c>
      <c r="L1207" t="str">
        <f>Orders!K1207</f>
        <v>Mumbai</v>
      </c>
      <c r="M1207">
        <f>Orders!G1207</f>
        <v>2400</v>
      </c>
      <c r="N1207">
        <f>IFERROR(VLOOKUP(Orders!D1207,Products!$A$2:$D$61,4,FALSE),"")</f>
        <v>974</v>
      </c>
      <c r="O1207">
        <f t="shared" si="40"/>
        <v>0.59416666666666662</v>
      </c>
      <c r="Q1207" t="str">
        <f>Orders!D1207</f>
        <v>PROD-058</v>
      </c>
    </row>
    <row r="1208" spans="1:17" x14ac:dyDescent="0.3">
      <c r="A1208" t="str">
        <f>Orders!A1208</f>
        <v>ORD-01207</v>
      </c>
      <c r="B1208">
        <f>Orders!B1208</f>
        <v>45525</v>
      </c>
      <c r="C1208">
        <f>Orders!I1208</f>
        <v>17881.599999999999</v>
      </c>
      <c r="D1208" t="str">
        <f>Orders!E1208</f>
        <v>R010</v>
      </c>
      <c r="E1208" t="str">
        <f>IFERROR(VLOOKUP(Orders!D1208,Products!$A$2:$C$61,3,FALSE),"Unknown")</f>
        <v>Home</v>
      </c>
      <c r="F1208" t="str">
        <f>IFERROR(VLOOKUP(Orders!C1208,Customers!$A$2:$E$301,5,FALSE),"Unknown")</f>
        <v>SMB</v>
      </c>
      <c r="G1208">
        <f>IFERROR(VLOOKUP(Orders!C1208,Customers!$A$2:$C$301,3,FALSE),"")</f>
        <v>27</v>
      </c>
      <c r="H1208" t="str">
        <f>VLOOKUP(D1208,Sales_Reps!$A$2:$C$31,3,FALSE)</f>
        <v>South</v>
      </c>
      <c r="I1208" s="44">
        <f t="shared" si="39"/>
        <v>45505</v>
      </c>
      <c r="L1208" t="str">
        <f>Orders!K1208</f>
        <v>Mumbai</v>
      </c>
      <c r="M1208">
        <f>Orders!G1208</f>
        <v>5080</v>
      </c>
      <c r="N1208">
        <f>IFERROR(VLOOKUP(Orders!D1208,Products!$A$2:$D$61,4,FALSE),"")</f>
        <v>2459</v>
      </c>
      <c r="O1208">
        <f t="shared" si="40"/>
        <v>0.51594488188976373</v>
      </c>
      <c r="Q1208" t="str">
        <f>Orders!D1208</f>
        <v>PROD-034</v>
      </c>
    </row>
    <row r="1209" spans="1:17" x14ac:dyDescent="0.3">
      <c r="A1209" t="str">
        <f>Orders!A1209</f>
        <v>ORD-01208</v>
      </c>
      <c r="B1209">
        <f>Orders!B1209</f>
        <v>45351</v>
      </c>
      <c r="C1209">
        <f>Orders!I1209</f>
        <v>28280.7</v>
      </c>
      <c r="D1209" t="str">
        <f>Orders!E1209</f>
        <v>R014</v>
      </c>
      <c r="E1209" t="str">
        <f>IFERROR(VLOOKUP(Orders!D1209,Products!$A$2:$C$61,3,FALSE),"Unknown")</f>
        <v>Beauty</v>
      </c>
      <c r="F1209" t="str">
        <f>IFERROR(VLOOKUP(Orders!C1209,Customers!$A$2:$E$301,5,FALSE),"Unknown")</f>
        <v>Retail</v>
      </c>
      <c r="G1209">
        <f>IFERROR(VLOOKUP(Orders!C1209,Customers!$A$2:$C$301,3,FALSE),"")</f>
        <v>42</v>
      </c>
      <c r="H1209" t="str">
        <f>VLOOKUP(D1209,Sales_Reps!$A$2:$C$31,3,FALSE)</f>
        <v>South</v>
      </c>
      <c r="I1209" s="44">
        <f t="shared" si="39"/>
        <v>45323</v>
      </c>
      <c r="L1209" t="str">
        <f>Orders!K1209</f>
        <v>Bengaluru</v>
      </c>
      <c r="M1209">
        <f>Orders!G1209</f>
        <v>3350</v>
      </c>
      <c r="N1209">
        <f>IFERROR(VLOOKUP(Orders!D1209,Products!$A$2:$D$61,4,FALSE),"")</f>
        <v>1728</v>
      </c>
      <c r="O1209">
        <f t="shared" si="40"/>
        <v>0.48417910447761192</v>
      </c>
      <c r="Q1209" t="str">
        <f>Orders!D1209</f>
        <v>PROD-043</v>
      </c>
    </row>
    <row r="1210" spans="1:17" x14ac:dyDescent="0.3">
      <c r="A1210" t="str">
        <f>Orders!A1210</f>
        <v>ORD-01209</v>
      </c>
      <c r="B1210">
        <f>Orders!B1210</f>
        <v>45560</v>
      </c>
      <c r="C1210">
        <f>Orders!I1210</f>
        <v>4792.4799999999996</v>
      </c>
      <c r="D1210" t="str">
        <f>Orders!E1210</f>
        <v>R001</v>
      </c>
      <c r="E1210" t="str">
        <f>IFERROR(VLOOKUP(Orders!D1210,Products!$A$2:$C$61,3,FALSE),"Unknown")</f>
        <v>Beauty</v>
      </c>
      <c r="F1210" t="str">
        <f>IFERROR(VLOOKUP(Orders!C1210,Customers!$A$2:$E$301,5,FALSE),"Unknown")</f>
        <v>Retail</v>
      </c>
      <c r="G1210">
        <f>IFERROR(VLOOKUP(Orders!C1210,Customers!$A$2:$C$301,3,FALSE),"")</f>
        <v>22</v>
      </c>
      <c r="H1210" t="str">
        <f>VLOOKUP(D1210,Sales_Reps!$A$2:$C$31,3,FALSE)</f>
        <v>North</v>
      </c>
      <c r="I1210" s="44">
        <f t="shared" si="39"/>
        <v>45536</v>
      </c>
      <c r="L1210" t="str">
        <f>Orders!K1210</f>
        <v>Chennai</v>
      </c>
      <c r="M1210">
        <f>Orders!G1210</f>
        <v>1540</v>
      </c>
      <c r="N1210">
        <f>IFERROR(VLOOKUP(Orders!D1210,Products!$A$2:$D$61,4,FALSE),"")</f>
        <v>647</v>
      </c>
      <c r="O1210">
        <f t="shared" si="40"/>
        <v>0.57987012987012987</v>
      </c>
      <c r="Q1210" t="str">
        <f>Orders!D1210</f>
        <v>PROD-041</v>
      </c>
    </row>
    <row r="1211" spans="1:17" x14ac:dyDescent="0.3">
      <c r="A1211" t="str">
        <f>Orders!A1211</f>
        <v>ORD-01210</v>
      </c>
      <c r="B1211">
        <f>Orders!B1211</f>
        <v>45431</v>
      </c>
      <c r="C1211">
        <f>Orders!I1211</f>
        <v>44805.599999999999</v>
      </c>
      <c r="D1211" t="str">
        <f>Orders!E1211</f>
        <v>R002</v>
      </c>
      <c r="E1211" t="str">
        <f>IFERROR(VLOOKUP(Orders!D1211,Products!$A$2:$C$61,3,FALSE),"Unknown")</f>
        <v>Home</v>
      </c>
      <c r="F1211" t="str">
        <f>IFERROR(VLOOKUP(Orders!C1211,Customers!$A$2:$E$301,5,FALSE),"Unknown")</f>
        <v>Retail</v>
      </c>
      <c r="G1211">
        <f>IFERROR(VLOOKUP(Orders!C1211,Customers!$A$2:$C$301,3,FALSE),"")</f>
        <v>65</v>
      </c>
      <c r="H1211" t="str">
        <f>VLOOKUP(D1211,Sales_Reps!$A$2:$C$31,3,FALSE)</f>
        <v>North</v>
      </c>
      <c r="I1211" s="44">
        <f t="shared" si="39"/>
        <v>45413</v>
      </c>
      <c r="L1211" t="str">
        <f>Orders!K1211</f>
        <v>Mumbai</v>
      </c>
      <c r="M1211">
        <f>Orders!G1211</f>
        <v>5080</v>
      </c>
      <c r="N1211">
        <f>IFERROR(VLOOKUP(Orders!D1211,Products!$A$2:$D$61,4,FALSE),"")</f>
        <v>2459</v>
      </c>
      <c r="O1211">
        <f t="shared" si="40"/>
        <v>0.51594488188976373</v>
      </c>
      <c r="Q1211" t="str">
        <f>Orders!D1211</f>
        <v>PROD-034</v>
      </c>
    </row>
    <row r="1212" spans="1:17" x14ac:dyDescent="0.3">
      <c r="A1212" t="str">
        <f>Orders!A1212</f>
        <v>ORD-01211</v>
      </c>
      <c r="B1212">
        <f>Orders!B1212</f>
        <v>45296</v>
      </c>
      <c r="C1212">
        <f>Orders!I1212</f>
        <v>26945.64</v>
      </c>
      <c r="D1212" t="str">
        <f>Orders!E1212</f>
        <v>R012</v>
      </c>
      <c r="E1212" t="str">
        <f>IFERROR(VLOOKUP(Orders!D1212,Products!$A$2:$C$61,3,FALSE),"Unknown")</f>
        <v>Apparel</v>
      </c>
      <c r="F1212" t="str">
        <f>IFERROR(VLOOKUP(Orders!C1212,Customers!$A$2:$E$301,5,FALSE),"Unknown")</f>
        <v>Retail</v>
      </c>
      <c r="G1212">
        <f>IFERROR(VLOOKUP(Orders!C1212,Customers!$A$2:$C$301,3,FALSE),"")</f>
        <v>49</v>
      </c>
      <c r="H1212" t="str">
        <f>VLOOKUP(D1212,Sales_Reps!$A$2:$C$31,3,FALSE)</f>
        <v>South</v>
      </c>
      <c r="I1212" s="44">
        <f t="shared" si="39"/>
        <v>45292</v>
      </c>
      <c r="L1212" t="str">
        <f>Orders!K1212</f>
        <v>Mumbai</v>
      </c>
      <c r="M1212">
        <f>Orders!G1212</f>
        <v>3560</v>
      </c>
      <c r="N1212">
        <f>IFERROR(VLOOKUP(Orders!D1212,Products!$A$2:$D$61,4,FALSE),"")</f>
        <v>2629</v>
      </c>
      <c r="O1212">
        <f t="shared" si="40"/>
        <v>0.26151685393258428</v>
      </c>
      <c r="Q1212" t="str">
        <f>Orders!D1212</f>
        <v>PROD-018</v>
      </c>
    </row>
    <row r="1213" spans="1:17" x14ac:dyDescent="0.3">
      <c r="A1213" t="str">
        <f>Orders!A1213</f>
        <v>ORD-01212</v>
      </c>
      <c r="B1213">
        <f>Orders!B1213</f>
        <v>45629</v>
      </c>
      <c r="C1213">
        <f>Orders!I1213</f>
        <v>1704.24</v>
      </c>
      <c r="D1213" t="str">
        <f>Orders!E1213</f>
        <v>R009</v>
      </c>
      <c r="E1213" t="str">
        <f>IFERROR(VLOOKUP(Orders!D1213,Products!$A$2:$C$61,3,FALSE),"Unknown")</f>
        <v>Home</v>
      </c>
      <c r="F1213" t="str">
        <f>IFERROR(VLOOKUP(Orders!C1213,Customers!$A$2:$E$301,5,FALSE),"Unknown")</f>
        <v>Retail</v>
      </c>
      <c r="G1213">
        <f>IFERROR(VLOOKUP(Orders!C1213,Customers!$A$2:$C$301,3,FALSE),"")</f>
        <v>27</v>
      </c>
      <c r="H1213" t="str">
        <f>VLOOKUP(D1213,Sales_Reps!$A$2:$C$31,3,FALSE)</f>
        <v>South</v>
      </c>
      <c r="I1213" s="44">
        <f t="shared" si="39"/>
        <v>45627</v>
      </c>
      <c r="L1213" t="str">
        <f>Orders!K1213</f>
        <v>Bengaluru</v>
      </c>
      <c r="M1213">
        <f>Orders!G1213</f>
        <v>1080</v>
      </c>
      <c r="N1213">
        <f>IFERROR(VLOOKUP(Orders!D1213,Products!$A$2:$D$61,4,FALSE),"")</f>
        <v>519</v>
      </c>
      <c r="O1213">
        <f t="shared" si="40"/>
        <v>0.51944444444444449</v>
      </c>
      <c r="Q1213" t="str">
        <f>Orders!D1213</f>
        <v>PROD-040</v>
      </c>
    </row>
    <row r="1214" spans="1:17" x14ac:dyDescent="0.3">
      <c r="A1214" t="str">
        <f>Orders!A1214</f>
        <v>ORD-01213</v>
      </c>
      <c r="B1214">
        <f>Orders!B1214</f>
        <v>45310</v>
      </c>
      <c r="C1214">
        <f>Orders!I1214</f>
        <v>9460.5</v>
      </c>
      <c r="D1214" t="str">
        <f>Orders!E1214</f>
        <v>R018</v>
      </c>
      <c r="E1214" t="str">
        <f>IFERROR(VLOOKUP(Orders!D1214,Products!$A$2:$C$61,3,FALSE),"Unknown")</f>
        <v>Grocery</v>
      </c>
      <c r="F1214" t="str">
        <f>IFERROR(VLOOKUP(Orders!C1214,Customers!$A$2:$E$301,5,FALSE),"Unknown")</f>
        <v>Retail</v>
      </c>
      <c r="G1214">
        <f>IFERROR(VLOOKUP(Orders!C1214,Customers!$A$2:$C$301,3,FALSE),"")</f>
        <v>50</v>
      </c>
      <c r="H1214" t="str">
        <f>VLOOKUP(D1214,Sales_Reps!$A$2:$C$31,3,FALSE)</f>
        <v>East</v>
      </c>
      <c r="I1214" s="44">
        <f t="shared" si="39"/>
        <v>45292</v>
      </c>
      <c r="L1214" t="str">
        <f>Orders!K1214</f>
        <v>Mumbai</v>
      </c>
      <c r="M1214">
        <f>Orders!G1214</f>
        <v>2380</v>
      </c>
      <c r="N1214">
        <f>IFERROR(VLOOKUP(Orders!D1214,Products!$A$2:$D$61,4,FALSE),"")</f>
        <v>1182</v>
      </c>
      <c r="O1214">
        <f t="shared" si="40"/>
        <v>0.50336134453781511</v>
      </c>
      <c r="Q1214" t="str">
        <f>Orders!D1214</f>
        <v>PROD-023</v>
      </c>
    </row>
    <row r="1215" spans="1:17" x14ac:dyDescent="0.3">
      <c r="A1215" t="str">
        <f>Orders!A1215</f>
        <v>ORD-01214</v>
      </c>
      <c r="B1215">
        <f>Orders!B1215</f>
        <v>45498</v>
      </c>
      <c r="C1215">
        <f>Orders!I1215</f>
        <v>22052.16</v>
      </c>
      <c r="D1215" t="str">
        <f>Orders!E1215</f>
        <v>R025</v>
      </c>
      <c r="E1215" t="str">
        <f>IFERROR(VLOOKUP(Orders!D1215,Products!$A$2:$C$61,3,FALSE),"Unknown")</f>
        <v>Apparel</v>
      </c>
      <c r="F1215" t="str">
        <f>IFERROR(VLOOKUP(Orders!C1215,Customers!$A$2:$E$301,5,FALSE),"Unknown")</f>
        <v>SMB</v>
      </c>
      <c r="G1215">
        <f>IFERROR(VLOOKUP(Orders!C1215,Customers!$A$2:$C$301,3,FALSE),"")</f>
        <v>57</v>
      </c>
      <c r="H1215" t="str">
        <f>VLOOKUP(D1215,Sales_Reps!$A$2:$C$31,3,FALSE)</f>
        <v>West</v>
      </c>
      <c r="I1215" s="44">
        <f t="shared" si="39"/>
        <v>45474</v>
      </c>
      <c r="L1215" t="str">
        <f>Orders!K1215</f>
        <v>Chennai</v>
      </c>
      <c r="M1215">
        <f>Orders!G1215</f>
        <v>2480</v>
      </c>
      <c r="N1215">
        <f>IFERROR(VLOOKUP(Orders!D1215,Products!$A$2:$D$61,4,FALSE),"")</f>
        <v>1173</v>
      </c>
      <c r="O1215">
        <f t="shared" si="40"/>
        <v>0.52701612903225803</v>
      </c>
      <c r="Q1215" t="str">
        <f>Orders!D1215</f>
        <v>PROD-019</v>
      </c>
    </row>
    <row r="1216" spans="1:17" x14ac:dyDescent="0.3">
      <c r="A1216" t="str">
        <f>Orders!A1216</f>
        <v>ORD-01215</v>
      </c>
      <c r="B1216">
        <f>Orders!B1216</f>
        <v>45348</v>
      </c>
      <c r="C1216">
        <f>Orders!I1216</f>
        <v>20424.509999999998</v>
      </c>
      <c r="D1216" t="str">
        <f>Orders!E1216</f>
        <v>R012</v>
      </c>
      <c r="E1216" t="str">
        <f>IFERROR(VLOOKUP(Orders!D1216,Products!$A$2:$C$61,3,FALSE),"Unknown")</f>
        <v>Beauty</v>
      </c>
      <c r="F1216" t="str">
        <f>IFERROR(VLOOKUP(Orders!C1216,Customers!$A$2:$E$301,5,FALSE),"Unknown")</f>
        <v>SMB</v>
      </c>
      <c r="G1216">
        <f>IFERROR(VLOOKUP(Orders!C1216,Customers!$A$2:$C$301,3,FALSE),"")</f>
        <v>29</v>
      </c>
      <c r="H1216" t="str">
        <f>VLOOKUP(D1216,Sales_Reps!$A$2:$C$31,3,FALSE)</f>
        <v>South</v>
      </c>
      <c r="I1216" s="44">
        <f t="shared" si="39"/>
        <v>45323</v>
      </c>
      <c r="L1216" t="str">
        <f>Orders!K1216</f>
        <v>Hyderabad</v>
      </c>
      <c r="M1216">
        <f>Orders!G1216</f>
        <v>2290</v>
      </c>
      <c r="N1216">
        <f>IFERROR(VLOOKUP(Orders!D1216,Products!$A$2:$D$61,4,FALSE),"")</f>
        <v>1219</v>
      </c>
      <c r="O1216">
        <f t="shared" si="40"/>
        <v>0.46768558951965067</v>
      </c>
      <c r="Q1216" t="str">
        <f>Orders!D1216</f>
        <v>PROD-042</v>
      </c>
    </row>
    <row r="1217" spans="1:17" x14ac:dyDescent="0.3">
      <c r="A1217" t="str">
        <f>Orders!A1217</f>
        <v>ORD-01216</v>
      </c>
      <c r="B1217">
        <f>Orders!B1217</f>
        <v>45382</v>
      </c>
      <c r="C1217">
        <f>Orders!I1217</f>
        <v>7296.75</v>
      </c>
      <c r="D1217" t="str">
        <f>Orders!E1217</f>
        <v>R011</v>
      </c>
      <c r="E1217" t="str">
        <f>IFERROR(VLOOKUP(Orders!D1217,Products!$A$2:$C$61,3,FALSE),"Unknown")</f>
        <v>Apparel</v>
      </c>
      <c r="F1217" t="str">
        <f>IFERROR(VLOOKUP(Orders!C1217,Customers!$A$2:$E$301,5,FALSE),"Unknown")</f>
        <v>Retail</v>
      </c>
      <c r="G1217">
        <f>IFERROR(VLOOKUP(Orders!C1217,Customers!$A$2:$C$301,3,FALSE),"")</f>
        <v>44</v>
      </c>
      <c r="H1217" t="str">
        <f>VLOOKUP(D1217,Sales_Reps!$A$2:$C$31,3,FALSE)</f>
        <v>South</v>
      </c>
      <c r="I1217" s="44">
        <f t="shared" si="39"/>
        <v>45352</v>
      </c>
      <c r="L1217" t="str">
        <f>Orders!K1217</f>
        <v>Mumbai</v>
      </c>
      <c r="M1217">
        <f>Orders!G1217</f>
        <v>3450</v>
      </c>
      <c r="N1217">
        <f>IFERROR(VLOOKUP(Orders!D1217,Products!$A$2:$D$61,4,FALSE),"")</f>
        <v>1748</v>
      </c>
      <c r="O1217">
        <f t="shared" si="40"/>
        <v>0.49333333333333335</v>
      </c>
      <c r="Q1217" t="str">
        <f>Orders!D1217</f>
        <v>PROD-011</v>
      </c>
    </row>
    <row r="1218" spans="1:17" x14ac:dyDescent="0.3">
      <c r="A1218" t="str">
        <f>Orders!A1218</f>
        <v>ORD-01217</v>
      </c>
      <c r="B1218">
        <f>Orders!B1218</f>
        <v>45569</v>
      </c>
      <c r="C1218">
        <f>Orders!I1218</f>
        <v>25026.3</v>
      </c>
      <c r="D1218" t="str">
        <f>Orders!E1218</f>
        <v>R024</v>
      </c>
      <c r="E1218" t="str">
        <f>IFERROR(VLOOKUP(Orders!D1218,Products!$A$2:$C$61,3,FALSE),"Unknown")</f>
        <v>Beauty</v>
      </c>
      <c r="F1218" t="str">
        <f>IFERROR(VLOOKUP(Orders!C1218,Customers!$A$2:$E$301,5,FALSE),"Unknown")</f>
        <v>SMB</v>
      </c>
      <c r="G1218">
        <f>IFERROR(VLOOKUP(Orders!C1218,Customers!$A$2:$C$301,3,FALSE),"")</f>
        <v>27</v>
      </c>
      <c r="H1218" t="str">
        <f>VLOOKUP(D1218,Sales_Reps!$A$2:$C$31,3,FALSE)</f>
        <v>West</v>
      </c>
      <c r="I1218" s="44">
        <f t="shared" si="39"/>
        <v>45566</v>
      </c>
      <c r="L1218" t="str">
        <f>Orders!K1218</f>
        <v>Delhi</v>
      </c>
      <c r="M1218">
        <f>Orders!G1218</f>
        <v>3450</v>
      </c>
      <c r="N1218">
        <f>IFERROR(VLOOKUP(Orders!D1218,Products!$A$2:$D$61,4,FALSE),"")</f>
        <v>2420</v>
      </c>
      <c r="O1218">
        <f t="shared" si="40"/>
        <v>0.29855072463768118</v>
      </c>
      <c r="Q1218" t="str">
        <f>Orders!D1218</f>
        <v>PROD-047</v>
      </c>
    </row>
    <row r="1219" spans="1:17" x14ac:dyDescent="0.3">
      <c r="A1219" t="str">
        <f>Orders!A1219</f>
        <v>ORD-01218</v>
      </c>
      <c r="B1219">
        <f>Orders!B1219</f>
        <v>45516</v>
      </c>
      <c r="C1219">
        <f>Orders!I1219</f>
        <v>4149.6000000000004</v>
      </c>
      <c r="D1219" t="str">
        <f>Orders!E1219</f>
        <v>R030</v>
      </c>
      <c r="E1219" t="str">
        <f>IFERROR(VLOOKUP(Orders!D1219,Products!$A$2:$C$61,3,FALSE),"Unknown")</f>
        <v>Electronics</v>
      </c>
      <c r="F1219" t="str">
        <f>IFERROR(VLOOKUP(Orders!C1219,Customers!$A$2:$E$301,5,FALSE),"Unknown")</f>
        <v>Corporate</v>
      </c>
      <c r="G1219">
        <f>IFERROR(VLOOKUP(Orders!C1219,Customers!$A$2:$C$301,3,FALSE),"")</f>
        <v>59</v>
      </c>
      <c r="H1219" t="str">
        <f>VLOOKUP(D1219,Sales_Reps!$A$2:$C$31,3,FALSE)</f>
        <v>West</v>
      </c>
      <c r="I1219" s="44">
        <f t="shared" ref="I1219:I1282" si="41">DATE(YEAR(B1219),MONTH(B1219),1)</f>
        <v>45505</v>
      </c>
      <c r="L1219" t="str">
        <f>Orders!K1219</f>
        <v>Bengaluru</v>
      </c>
      <c r="M1219">
        <f>Orders!G1219</f>
        <v>2600</v>
      </c>
      <c r="N1219">
        <f>IFERROR(VLOOKUP(Orders!D1219,Products!$A$2:$D$61,4,FALSE),"")</f>
        <v>1052</v>
      </c>
      <c r="O1219">
        <f t="shared" ref="O1219:O1282" si="42">IF(OR(N1219="",M1219&lt;=0),"",(M1219-N1219)/M1219)</f>
        <v>0.5953846153846154</v>
      </c>
      <c r="Q1219" t="str">
        <f>Orders!D1219</f>
        <v>PROD-002</v>
      </c>
    </row>
    <row r="1220" spans="1:17" x14ac:dyDescent="0.3">
      <c r="A1220" t="str">
        <f>Orders!A1220</f>
        <v>ORD-01219</v>
      </c>
      <c r="B1220">
        <f>Orders!B1220</f>
        <v>45519</v>
      </c>
      <c r="C1220">
        <f>Orders!I1220</f>
        <v>2497.8000000000002</v>
      </c>
      <c r="D1220" t="str">
        <f>Orders!E1220</f>
        <v>R025</v>
      </c>
      <c r="E1220" t="str">
        <f>IFERROR(VLOOKUP(Orders!D1220,Products!$A$2:$C$61,3,FALSE),"Unknown")</f>
        <v>Grocery</v>
      </c>
      <c r="F1220" t="str">
        <f>IFERROR(VLOOKUP(Orders!C1220,Customers!$A$2:$E$301,5,FALSE),"Unknown")</f>
        <v>SMB</v>
      </c>
      <c r="G1220">
        <f>IFERROR(VLOOKUP(Orders!C1220,Customers!$A$2:$C$301,3,FALSE),"")</f>
        <v>49</v>
      </c>
      <c r="H1220" t="str">
        <f>VLOOKUP(D1220,Sales_Reps!$A$2:$C$31,3,FALSE)</f>
        <v>West</v>
      </c>
      <c r="I1220" s="44">
        <f t="shared" si="41"/>
        <v>45505</v>
      </c>
      <c r="L1220" t="str">
        <f>Orders!K1220</f>
        <v>Bengaluru</v>
      </c>
      <c r="M1220">
        <f>Orders!G1220</f>
        <v>2760</v>
      </c>
      <c r="N1220">
        <f>IFERROR(VLOOKUP(Orders!D1220,Products!$A$2:$D$61,4,FALSE),"")</f>
        <v>1435</v>
      </c>
      <c r="O1220">
        <f t="shared" si="42"/>
        <v>0.48007246376811596</v>
      </c>
      <c r="Q1220" t="str">
        <f>Orders!D1220</f>
        <v>PROD-021</v>
      </c>
    </row>
    <row r="1221" spans="1:17" x14ac:dyDescent="0.3">
      <c r="A1221" t="str">
        <f>Orders!A1221</f>
        <v>ORD-01220</v>
      </c>
      <c r="B1221">
        <f>Orders!B1221</f>
        <v>45593</v>
      </c>
      <c r="C1221">
        <f>Orders!I1221</f>
        <v>15710.88</v>
      </c>
      <c r="D1221" t="str">
        <f>Orders!E1221</f>
        <v>R003</v>
      </c>
      <c r="E1221" t="str">
        <f>IFERROR(VLOOKUP(Orders!D1221,Products!$A$2:$C$61,3,FALSE),"Unknown")</f>
        <v>Home</v>
      </c>
      <c r="F1221" t="str">
        <f>IFERROR(VLOOKUP(Orders!C1221,Customers!$A$2:$E$301,5,FALSE),"Unknown")</f>
        <v>Corporate</v>
      </c>
      <c r="G1221">
        <f>IFERROR(VLOOKUP(Orders!C1221,Customers!$A$2:$C$301,3,FALSE),"")</f>
        <v>26</v>
      </c>
      <c r="H1221" t="str">
        <f>VLOOKUP(D1221,Sales_Reps!$A$2:$C$31,3,FALSE)</f>
        <v>North</v>
      </c>
      <c r="I1221" s="44">
        <f t="shared" si="41"/>
        <v>45566</v>
      </c>
      <c r="L1221" t="str">
        <f>Orders!K1221</f>
        <v>Bengaluru</v>
      </c>
      <c r="M1221">
        <f>Orders!G1221</f>
        <v>4610</v>
      </c>
      <c r="N1221">
        <f>IFERROR(VLOOKUP(Orders!D1221,Products!$A$2:$D$61,4,FALSE),"")</f>
        <v>1850</v>
      </c>
      <c r="O1221">
        <f t="shared" si="42"/>
        <v>0.59869848156182215</v>
      </c>
      <c r="Q1221" t="str">
        <f>Orders!D1221</f>
        <v>PROD-039</v>
      </c>
    </row>
    <row r="1222" spans="1:17" x14ac:dyDescent="0.3">
      <c r="A1222" t="str">
        <f>Orders!A1222</f>
        <v>ORD-01221</v>
      </c>
      <c r="B1222">
        <f>Orders!B1222</f>
        <v>45532</v>
      </c>
      <c r="C1222">
        <f>Orders!I1222</f>
        <v>7164.72</v>
      </c>
      <c r="D1222" t="str">
        <f>Orders!E1222</f>
        <v>R024</v>
      </c>
      <c r="E1222" t="str">
        <f>IFERROR(VLOOKUP(Orders!D1222,Products!$A$2:$C$61,3,FALSE),"Unknown")</f>
        <v>Apparel</v>
      </c>
      <c r="F1222" t="str">
        <f>IFERROR(VLOOKUP(Orders!C1222,Customers!$A$2:$E$301,5,FALSE),"Unknown")</f>
        <v>Retail</v>
      </c>
      <c r="G1222">
        <f>IFERROR(VLOOKUP(Orders!C1222,Customers!$A$2:$C$301,3,FALSE),"")</f>
        <v>60</v>
      </c>
      <c r="H1222" t="str">
        <f>VLOOKUP(D1222,Sales_Reps!$A$2:$C$31,3,FALSE)</f>
        <v>West</v>
      </c>
      <c r="I1222" s="44">
        <f t="shared" si="41"/>
        <v>45505</v>
      </c>
      <c r="L1222" t="str">
        <f>Orders!K1222</f>
        <v>Hyderabad</v>
      </c>
      <c r="M1222">
        <f>Orders!G1222</f>
        <v>2480</v>
      </c>
      <c r="N1222">
        <f>IFERROR(VLOOKUP(Orders!D1222,Products!$A$2:$D$61,4,FALSE),"")</f>
        <v>1173</v>
      </c>
      <c r="O1222">
        <f t="shared" si="42"/>
        <v>0.52701612903225803</v>
      </c>
      <c r="Q1222" t="str">
        <f>Orders!D1222</f>
        <v>PROD-019</v>
      </c>
    </row>
    <row r="1223" spans="1:17" x14ac:dyDescent="0.3">
      <c r="A1223" t="str">
        <f>Orders!A1223</f>
        <v>ORD-01222</v>
      </c>
      <c r="B1223">
        <f>Orders!B1223</f>
        <v>45610</v>
      </c>
      <c r="C1223">
        <f>Orders!I1223</f>
        <v>34595.9</v>
      </c>
      <c r="D1223" t="str">
        <f>Orders!E1223</f>
        <v>R011</v>
      </c>
      <c r="E1223" t="str">
        <f>IFERROR(VLOOKUP(Orders!D1223,Products!$A$2:$C$61,3,FALSE),"Unknown")</f>
        <v>Sports</v>
      </c>
      <c r="F1223" t="str">
        <f>IFERROR(VLOOKUP(Orders!C1223,Customers!$A$2:$E$301,5,FALSE),"Unknown")</f>
        <v>SMB</v>
      </c>
      <c r="G1223">
        <f>IFERROR(VLOOKUP(Orders!C1223,Customers!$A$2:$C$301,3,FALSE),"")</f>
        <v>29</v>
      </c>
      <c r="H1223" t="str">
        <f>VLOOKUP(D1223,Sales_Reps!$A$2:$C$31,3,FALSE)</f>
        <v>South</v>
      </c>
      <c r="I1223" s="44">
        <f t="shared" si="41"/>
        <v>45597</v>
      </c>
      <c r="L1223" t="str">
        <f>Orders!K1223</f>
        <v>Hyderabad</v>
      </c>
      <c r="M1223">
        <f>Orders!G1223</f>
        <v>6940</v>
      </c>
      <c r="N1223">
        <f>IFERROR(VLOOKUP(Orders!D1223,Products!$A$2:$D$61,4,FALSE),"")</f>
        <v>2827</v>
      </c>
      <c r="O1223">
        <f t="shared" si="42"/>
        <v>0.5926512968299712</v>
      </c>
      <c r="Q1223" t="str">
        <f>Orders!D1223</f>
        <v>PROD-056</v>
      </c>
    </row>
    <row r="1224" spans="1:17" x14ac:dyDescent="0.3">
      <c r="A1224" t="str">
        <f>Orders!A1224</f>
        <v>ORD-01223</v>
      </c>
      <c r="B1224">
        <f>Orders!B1224</f>
        <v>45560</v>
      </c>
      <c r="C1224">
        <f>Orders!I1224</f>
        <v>15327.04</v>
      </c>
      <c r="D1224" t="str">
        <f>Orders!E1224</f>
        <v>R023</v>
      </c>
      <c r="E1224" t="str">
        <f>IFERROR(VLOOKUP(Orders!D1224,Products!$A$2:$C$61,3,FALSE),"Unknown")</f>
        <v>Grocery</v>
      </c>
      <c r="F1224" t="str">
        <f>IFERROR(VLOOKUP(Orders!C1224,Customers!$A$2:$E$301,5,FALSE),"Unknown")</f>
        <v>SMB</v>
      </c>
      <c r="G1224">
        <f>IFERROR(VLOOKUP(Orders!C1224,Customers!$A$2:$C$301,3,FALSE),"")</f>
        <v>48</v>
      </c>
      <c r="H1224" t="str">
        <f>VLOOKUP(D1224,Sales_Reps!$A$2:$C$31,3,FALSE)</f>
        <v>East</v>
      </c>
      <c r="I1224" s="44">
        <f t="shared" si="41"/>
        <v>45536</v>
      </c>
      <c r="L1224" t="str">
        <f>Orders!K1224</f>
        <v>Delhi</v>
      </c>
      <c r="M1224">
        <f>Orders!G1224</f>
        <v>2270</v>
      </c>
      <c r="N1224">
        <f>IFERROR(VLOOKUP(Orders!D1224,Products!$A$2:$D$61,4,FALSE),"")</f>
        <v>1412</v>
      </c>
      <c r="O1224">
        <f t="shared" si="42"/>
        <v>0.37797356828193834</v>
      </c>
      <c r="Q1224" t="str">
        <f>Orders!D1224</f>
        <v>PROD-022</v>
      </c>
    </row>
    <row r="1225" spans="1:17" x14ac:dyDescent="0.3">
      <c r="A1225" t="str">
        <f>Orders!A1225</f>
        <v>ORD-01224</v>
      </c>
      <c r="B1225">
        <f>Orders!B1225</f>
        <v>45431</v>
      </c>
      <c r="C1225">
        <f>Orders!I1225</f>
        <v>23077.5</v>
      </c>
      <c r="D1225" t="str">
        <f>Orders!E1225</f>
        <v>R030</v>
      </c>
      <c r="E1225" t="str">
        <f>IFERROR(VLOOKUP(Orders!D1225,Products!$A$2:$C$61,3,FALSE),"Unknown")</f>
        <v>Beauty</v>
      </c>
      <c r="F1225" t="str">
        <f>IFERROR(VLOOKUP(Orders!C1225,Customers!$A$2:$E$301,5,FALSE),"Unknown")</f>
        <v>SMB</v>
      </c>
      <c r="G1225">
        <f>IFERROR(VLOOKUP(Orders!C1225,Customers!$A$2:$C$301,3,FALSE),"")</f>
        <v>36</v>
      </c>
      <c r="H1225" t="str">
        <f>VLOOKUP(D1225,Sales_Reps!$A$2:$C$31,3,FALSE)</f>
        <v>West</v>
      </c>
      <c r="I1225" s="44">
        <f t="shared" si="41"/>
        <v>45413</v>
      </c>
      <c r="L1225" t="str">
        <f>Orders!K1225</f>
        <v>Bengaluru</v>
      </c>
      <c r="M1225">
        <f>Orders!G1225</f>
        <v>5100</v>
      </c>
      <c r="N1225">
        <f>IFERROR(VLOOKUP(Orders!D1225,Products!$A$2:$D$61,4,FALSE),"")</f>
        <v>2237</v>
      </c>
      <c r="O1225">
        <f t="shared" si="42"/>
        <v>0.56137254901960787</v>
      </c>
      <c r="Q1225" t="str">
        <f>Orders!D1225</f>
        <v>PROD-048</v>
      </c>
    </row>
    <row r="1226" spans="1:17" x14ac:dyDescent="0.3">
      <c r="A1226" t="str">
        <f>Orders!A1226</f>
        <v>ORD-01225</v>
      </c>
      <c r="B1226">
        <f>Orders!B1226</f>
        <v>45594</v>
      </c>
      <c r="C1226">
        <f>Orders!I1226</f>
        <v>14933.75</v>
      </c>
      <c r="D1226" t="str">
        <f>Orders!E1226</f>
        <v>R011</v>
      </c>
      <c r="E1226" t="str">
        <f>IFERROR(VLOOKUP(Orders!D1226,Products!$A$2:$C$61,3,FALSE),"Unknown")</f>
        <v>Home</v>
      </c>
      <c r="F1226" t="str">
        <f>IFERROR(VLOOKUP(Orders!C1226,Customers!$A$2:$E$301,5,FALSE),"Unknown")</f>
        <v>SMB</v>
      </c>
      <c r="G1226">
        <f>IFERROR(VLOOKUP(Orders!C1226,Customers!$A$2:$C$301,3,FALSE),"")</f>
        <v>43</v>
      </c>
      <c r="H1226" t="str">
        <f>VLOOKUP(D1226,Sales_Reps!$A$2:$C$31,3,FALSE)</f>
        <v>South</v>
      </c>
      <c r="I1226" s="44">
        <f t="shared" si="41"/>
        <v>45566</v>
      </c>
      <c r="L1226" t="str">
        <f>Orders!K1226</f>
        <v>Hyderabad</v>
      </c>
      <c r="M1226">
        <f>Orders!G1226</f>
        <v>3250</v>
      </c>
      <c r="N1226">
        <f>IFERROR(VLOOKUP(Orders!D1226,Products!$A$2:$D$61,4,FALSE),"")</f>
        <v>1556</v>
      </c>
      <c r="O1226">
        <f t="shared" si="42"/>
        <v>0.52123076923076928</v>
      </c>
      <c r="Q1226" t="str">
        <f>Orders!D1226</f>
        <v>PROD-036</v>
      </c>
    </row>
    <row r="1227" spans="1:17" x14ac:dyDescent="0.3">
      <c r="A1227" t="str">
        <f>Orders!A1227</f>
        <v>ORD-01226</v>
      </c>
      <c r="B1227">
        <f>Orders!B1227</f>
        <v>45609</v>
      </c>
      <c r="C1227">
        <f>Orders!I1227</f>
        <v>19341.84</v>
      </c>
      <c r="D1227" t="str">
        <f>Orders!E1227</f>
        <v>R003</v>
      </c>
      <c r="E1227" t="str">
        <f>IFERROR(VLOOKUP(Orders!D1227,Products!$A$2:$C$61,3,FALSE),"Unknown")</f>
        <v>Electronics</v>
      </c>
      <c r="F1227" t="str">
        <f>IFERROR(VLOOKUP(Orders!C1227,Customers!$A$2:$E$301,5,FALSE),"Unknown")</f>
        <v>Retail</v>
      </c>
      <c r="G1227">
        <f>IFERROR(VLOOKUP(Orders!C1227,Customers!$A$2:$C$301,3,FALSE),"")</f>
        <v>59</v>
      </c>
      <c r="H1227" t="str">
        <f>VLOOKUP(D1227,Sales_Reps!$A$2:$C$31,3,FALSE)</f>
        <v>North</v>
      </c>
      <c r="I1227" s="44">
        <f t="shared" si="41"/>
        <v>45597</v>
      </c>
      <c r="L1227" t="str">
        <f>Orders!K1227</f>
        <v>Bengaluru</v>
      </c>
      <c r="M1227">
        <f>Orders!G1227</f>
        <v>3970</v>
      </c>
      <c r="N1227">
        <f>IFERROR(VLOOKUP(Orders!D1227,Products!$A$2:$D$61,4,FALSE),"")</f>
        <v>2865</v>
      </c>
      <c r="O1227">
        <f t="shared" si="42"/>
        <v>0.27833753148614609</v>
      </c>
      <c r="Q1227" t="str">
        <f>Orders!D1227</f>
        <v>PROD-006</v>
      </c>
    </row>
    <row r="1228" spans="1:17" x14ac:dyDescent="0.3">
      <c r="A1228" t="str">
        <f>Orders!A1228</f>
        <v>ORD-01227</v>
      </c>
      <c r="B1228">
        <f>Orders!B1228</f>
        <v>45546</v>
      </c>
      <c r="C1228">
        <f>Orders!I1228</f>
        <v>17119.96</v>
      </c>
      <c r="D1228" t="str">
        <f>Orders!E1228</f>
        <v>R025</v>
      </c>
      <c r="E1228" t="str">
        <f>IFERROR(VLOOKUP(Orders!D1228,Products!$A$2:$C$61,3,FALSE),"Unknown")</f>
        <v>Electronics</v>
      </c>
      <c r="F1228" t="str">
        <f>IFERROR(VLOOKUP(Orders!C1228,Customers!$A$2:$E$301,5,FALSE),"Unknown")</f>
        <v>Corporate</v>
      </c>
      <c r="G1228">
        <f>IFERROR(VLOOKUP(Orders!C1228,Customers!$A$2:$C$301,3,FALSE),"")</f>
        <v>52</v>
      </c>
      <c r="H1228" t="str">
        <f>VLOOKUP(D1228,Sales_Reps!$A$2:$C$31,3,FALSE)</f>
        <v>West</v>
      </c>
      <c r="I1228" s="44">
        <f t="shared" si="41"/>
        <v>45536</v>
      </c>
      <c r="L1228" t="str">
        <f>Orders!K1228</f>
        <v>Hyderabad</v>
      </c>
      <c r="M1228">
        <f>Orders!G1228</f>
        <v>5330</v>
      </c>
      <c r="N1228">
        <f>IFERROR(VLOOKUP(Orders!D1228,Products!$A$2:$D$61,4,FALSE),"")</f>
        <v>2405</v>
      </c>
      <c r="O1228">
        <f t="shared" si="42"/>
        <v>0.54878048780487809</v>
      </c>
      <c r="Q1228" t="str">
        <f>Orders!D1228</f>
        <v>PROD-001</v>
      </c>
    </row>
    <row r="1229" spans="1:17" x14ac:dyDescent="0.3">
      <c r="A1229" t="str">
        <f>Orders!A1229</f>
        <v>ORD-01228</v>
      </c>
      <c r="B1229">
        <f>Orders!B1229</f>
        <v>45607</v>
      </c>
      <c r="C1229">
        <f>Orders!I1229</f>
        <v>17037.3</v>
      </c>
      <c r="D1229" t="str">
        <f>Orders!E1229</f>
        <v>R004</v>
      </c>
      <c r="E1229" t="str">
        <f>IFERROR(VLOOKUP(Orders!D1229,Products!$A$2:$C$61,3,FALSE),"Unknown")</f>
        <v>Electronics</v>
      </c>
      <c r="F1229" t="str">
        <f>IFERROR(VLOOKUP(Orders!C1229,Customers!$A$2:$E$301,5,FALSE),"Unknown")</f>
        <v>Retail</v>
      </c>
      <c r="G1229">
        <f>IFERROR(VLOOKUP(Orders!C1229,Customers!$A$2:$C$301,3,FALSE),"")</f>
        <v>42</v>
      </c>
      <c r="H1229" t="str">
        <f>VLOOKUP(D1229,Sales_Reps!$A$2:$C$31,3,FALSE)</f>
        <v>North</v>
      </c>
      <c r="I1229" s="44">
        <f t="shared" si="41"/>
        <v>45597</v>
      </c>
      <c r="L1229" t="str">
        <f>Orders!K1229</f>
        <v>Bengaluru</v>
      </c>
      <c r="M1229">
        <f>Orders!G1229</f>
        <v>2660</v>
      </c>
      <c r="N1229">
        <f>IFERROR(VLOOKUP(Orders!D1229,Products!$A$2:$D$61,4,FALSE),"")</f>
        <v>1259</v>
      </c>
      <c r="O1229">
        <f t="shared" si="42"/>
        <v>0.52669172932330832</v>
      </c>
      <c r="Q1229" t="str">
        <f>Orders!D1229</f>
        <v>PROD-008</v>
      </c>
    </row>
    <row r="1230" spans="1:17" x14ac:dyDescent="0.3">
      <c r="A1230" t="str">
        <f>Orders!A1230</f>
        <v>ORD-01229</v>
      </c>
      <c r="B1230">
        <f>Orders!B1230</f>
        <v>45422</v>
      </c>
      <c r="C1230">
        <f>Orders!I1230</f>
        <v>13682.8</v>
      </c>
      <c r="D1230" t="str">
        <f>Orders!E1230</f>
        <v>R029</v>
      </c>
      <c r="E1230" t="str">
        <f>IFERROR(VLOOKUP(Orders!D1230,Products!$A$2:$C$61,3,FALSE),"Unknown")</f>
        <v>Apparel</v>
      </c>
      <c r="F1230" t="str">
        <f>IFERROR(VLOOKUP(Orders!C1230,Customers!$A$2:$E$301,5,FALSE),"Unknown")</f>
        <v>Retail</v>
      </c>
      <c r="G1230">
        <f>IFERROR(VLOOKUP(Orders!C1230,Customers!$A$2:$C$301,3,FALSE),"")</f>
        <v>39</v>
      </c>
      <c r="H1230" t="str">
        <f>VLOOKUP(D1230,Sales_Reps!$A$2:$C$31,3,FALSE)</f>
        <v>West</v>
      </c>
      <c r="I1230" s="44">
        <f t="shared" si="41"/>
        <v>45413</v>
      </c>
      <c r="L1230" t="str">
        <f>Orders!K1230</f>
        <v>Chennai</v>
      </c>
      <c r="M1230">
        <f>Orders!G1230</f>
        <v>3160</v>
      </c>
      <c r="N1230">
        <f>IFERROR(VLOOKUP(Orders!D1230,Products!$A$2:$D$61,4,FALSE),"")</f>
        <v>1886</v>
      </c>
      <c r="O1230">
        <f t="shared" si="42"/>
        <v>0.4031645569620253</v>
      </c>
      <c r="Q1230" t="str">
        <f>Orders!D1230</f>
        <v>PROD-012</v>
      </c>
    </row>
    <row r="1231" spans="1:17" x14ac:dyDescent="0.3">
      <c r="A1231" t="str">
        <f>Orders!A1231</f>
        <v>ORD-01230</v>
      </c>
      <c r="B1231">
        <f>Orders!B1231</f>
        <v>45634</v>
      </c>
      <c r="C1231">
        <f>Orders!I1231</f>
        <v>8686</v>
      </c>
      <c r="D1231" t="str">
        <f>Orders!E1231</f>
        <v>R019</v>
      </c>
      <c r="E1231" t="str">
        <f>IFERROR(VLOOKUP(Orders!D1231,Products!$A$2:$C$61,3,FALSE),"Unknown")</f>
        <v>Sports</v>
      </c>
      <c r="F1231" t="str">
        <f>IFERROR(VLOOKUP(Orders!C1231,Customers!$A$2:$E$301,5,FALSE),"Unknown")</f>
        <v>Corporate</v>
      </c>
      <c r="G1231">
        <f>IFERROR(VLOOKUP(Orders!C1231,Customers!$A$2:$C$301,3,FALSE),"")</f>
        <v>33</v>
      </c>
      <c r="H1231" t="str">
        <f>VLOOKUP(D1231,Sales_Reps!$A$2:$C$31,3,FALSE)</f>
        <v>East</v>
      </c>
      <c r="I1231" s="44">
        <f t="shared" si="41"/>
        <v>45627</v>
      </c>
      <c r="L1231" t="str">
        <f>Orders!K1231</f>
        <v>Pune</v>
      </c>
      <c r="M1231">
        <f>Orders!G1231</f>
        <v>1010</v>
      </c>
      <c r="N1231">
        <f>IFERROR(VLOOKUP(Orders!D1231,Products!$A$2:$D$61,4,FALSE),"")</f>
        <v>516</v>
      </c>
      <c r="O1231">
        <f t="shared" si="42"/>
        <v>0.4891089108910891</v>
      </c>
      <c r="Q1231" t="str">
        <f>Orders!D1231</f>
        <v>PROD-054</v>
      </c>
    </row>
    <row r="1232" spans="1:17" x14ac:dyDescent="0.3">
      <c r="A1232" t="str">
        <f>Orders!A1232</f>
        <v>ORD-01231</v>
      </c>
      <c r="B1232">
        <f>Orders!B1232</f>
        <v>45376</v>
      </c>
      <c r="C1232">
        <f>Orders!I1232</f>
        <v>3987.06</v>
      </c>
      <c r="D1232" t="str">
        <f>Orders!E1232</f>
        <v>R003</v>
      </c>
      <c r="E1232" t="str">
        <f>IFERROR(VLOOKUP(Orders!D1232,Products!$A$2:$C$61,3,FALSE),"Unknown")</f>
        <v>Beauty</v>
      </c>
      <c r="F1232" t="str">
        <f>IFERROR(VLOOKUP(Orders!C1232,Customers!$A$2:$E$301,5,FALSE),"Unknown")</f>
        <v>SMB</v>
      </c>
      <c r="G1232">
        <f>IFERROR(VLOOKUP(Orders!C1232,Customers!$A$2:$C$301,3,FALSE),"")</f>
        <v>27</v>
      </c>
      <c r="H1232" t="str">
        <f>VLOOKUP(D1232,Sales_Reps!$A$2:$C$31,3,FALSE)</f>
        <v>North</v>
      </c>
      <c r="I1232" s="44">
        <f t="shared" si="41"/>
        <v>45352</v>
      </c>
      <c r="L1232" t="str">
        <f>Orders!K1232</f>
        <v>Delhi</v>
      </c>
      <c r="M1232">
        <f>Orders!G1232</f>
        <v>1540</v>
      </c>
      <c r="N1232">
        <f>IFERROR(VLOOKUP(Orders!D1232,Products!$A$2:$D$61,4,FALSE),"")</f>
        <v>647</v>
      </c>
      <c r="O1232">
        <f t="shared" si="42"/>
        <v>0.57987012987012987</v>
      </c>
      <c r="Q1232" t="str">
        <f>Orders!D1232</f>
        <v>PROD-041</v>
      </c>
    </row>
    <row r="1233" spans="1:17" x14ac:dyDescent="0.3">
      <c r="A1233" t="str">
        <f>Orders!A1233</f>
        <v>ORD-01232</v>
      </c>
      <c r="B1233">
        <f>Orders!B1233</f>
        <v>45313</v>
      </c>
      <c r="C1233">
        <f>Orders!I1233</f>
        <v>43962</v>
      </c>
      <c r="D1233" t="str">
        <f>Orders!E1233</f>
        <v>R009</v>
      </c>
      <c r="E1233" t="str">
        <f>IFERROR(VLOOKUP(Orders!D1233,Products!$A$2:$C$61,3,FALSE),"Unknown")</f>
        <v>Beauty</v>
      </c>
      <c r="F1233" t="str">
        <f>IFERROR(VLOOKUP(Orders!C1233,Customers!$A$2:$E$301,5,FALSE),"Unknown")</f>
        <v>Retail</v>
      </c>
      <c r="G1233">
        <f>IFERROR(VLOOKUP(Orders!C1233,Customers!$A$2:$C$301,3,FALSE),"")</f>
        <v>26</v>
      </c>
      <c r="H1233" t="str">
        <f>VLOOKUP(D1233,Sales_Reps!$A$2:$C$31,3,FALSE)</f>
        <v>South</v>
      </c>
      <c r="I1233" s="44">
        <f t="shared" si="41"/>
        <v>45292</v>
      </c>
      <c r="L1233" t="str">
        <f>Orders!K1233</f>
        <v>Chennai</v>
      </c>
      <c r="M1233">
        <f>Orders!G1233</f>
        <v>5100</v>
      </c>
      <c r="N1233">
        <f>IFERROR(VLOOKUP(Orders!D1233,Products!$A$2:$D$61,4,FALSE),"")</f>
        <v>2237</v>
      </c>
      <c r="O1233">
        <f t="shared" si="42"/>
        <v>0.56137254901960787</v>
      </c>
      <c r="Q1233" t="str">
        <f>Orders!D1233</f>
        <v>PROD-048</v>
      </c>
    </row>
    <row r="1234" spans="1:17" x14ac:dyDescent="0.3">
      <c r="A1234" t="str">
        <f>Orders!A1234</f>
        <v>ORD-01233</v>
      </c>
      <c r="B1234">
        <f>Orders!B1234</f>
        <v>45457</v>
      </c>
      <c r="C1234">
        <f>Orders!I1234</f>
        <v>4225.6499999999996</v>
      </c>
      <c r="D1234" t="str">
        <f>Orders!E1234</f>
        <v>R030</v>
      </c>
      <c r="E1234" t="str">
        <f>IFERROR(VLOOKUP(Orders!D1234,Products!$A$2:$C$61,3,FALSE),"Unknown")</f>
        <v>Electronics</v>
      </c>
      <c r="F1234" t="str">
        <f>IFERROR(VLOOKUP(Orders!C1234,Customers!$A$2:$E$301,5,FALSE),"Unknown")</f>
        <v>Retail</v>
      </c>
      <c r="G1234">
        <f>IFERROR(VLOOKUP(Orders!C1234,Customers!$A$2:$C$301,3,FALSE),"")</f>
        <v>22</v>
      </c>
      <c r="H1234" t="str">
        <f>VLOOKUP(D1234,Sales_Reps!$A$2:$C$31,3,FALSE)</f>
        <v>West</v>
      </c>
      <c r="I1234" s="44">
        <f t="shared" si="41"/>
        <v>45444</v>
      </c>
      <c r="L1234" t="str">
        <f>Orders!K1234</f>
        <v>Chennai</v>
      </c>
      <c r="M1234">
        <f>Orders!G1234</f>
        <v>1430</v>
      </c>
      <c r="N1234">
        <f>IFERROR(VLOOKUP(Orders!D1234,Products!$A$2:$D$61,4,FALSE),"")</f>
        <v>861</v>
      </c>
      <c r="O1234">
        <f t="shared" si="42"/>
        <v>0.39790209790209791</v>
      </c>
      <c r="Q1234" t="str">
        <f>Orders!D1234</f>
        <v>PROD-007</v>
      </c>
    </row>
    <row r="1235" spans="1:17" x14ac:dyDescent="0.3">
      <c r="A1235" t="str">
        <f>Orders!A1235</f>
        <v>ORD-01234</v>
      </c>
      <c r="B1235">
        <f>Orders!B1235</f>
        <v>45620</v>
      </c>
      <c r="C1235">
        <f>Orders!I1235</f>
        <v>33730.559999999998</v>
      </c>
      <c r="D1235" t="str">
        <f>Orders!E1235</f>
        <v>R013</v>
      </c>
      <c r="E1235" t="str">
        <f>IFERROR(VLOOKUP(Orders!D1235,Products!$A$2:$C$61,3,FALSE),"Unknown")</f>
        <v>Home</v>
      </c>
      <c r="F1235" t="str">
        <f>IFERROR(VLOOKUP(Orders!C1235,Customers!$A$2:$E$301,5,FALSE),"Unknown")</f>
        <v>Retail</v>
      </c>
      <c r="G1235">
        <f>IFERROR(VLOOKUP(Orders!C1235,Customers!$A$2:$C$301,3,FALSE),"")</f>
        <v>31</v>
      </c>
      <c r="H1235" t="str">
        <f>VLOOKUP(D1235,Sales_Reps!$A$2:$C$31,3,FALSE)</f>
        <v>South</v>
      </c>
      <c r="I1235" s="44">
        <f t="shared" si="41"/>
        <v>45597</v>
      </c>
      <c r="L1235" t="str">
        <f>Orders!K1235</f>
        <v>Hyderabad</v>
      </c>
      <c r="M1235">
        <f>Orders!G1235</f>
        <v>5490</v>
      </c>
      <c r="N1235">
        <f>IFERROR(VLOOKUP(Orders!D1235,Products!$A$2:$D$61,4,FALSE),"")</f>
        <v>2549</v>
      </c>
      <c r="O1235">
        <f t="shared" si="42"/>
        <v>0.53570127504553733</v>
      </c>
      <c r="Q1235" t="str">
        <f>Orders!D1235</f>
        <v>PROD-038</v>
      </c>
    </row>
    <row r="1236" spans="1:17" x14ac:dyDescent="0.3">
      <c r="A1236" t="str">
        <f>Orders!A1236</f>
        <v>ORD-01235</v>
      </c>
      <c r="B1236">
        <f>Orders!B1236</f>
        <v>45495</v>
      </c>
      <c r="C1236">
        <f>Orders!I1236</f>
        <v>8236.7999999999993</v>
      </c>
      <c r="D1236" t="str">
        <f>Orders!E1236</f>
        <v>R008</v>
      </c>
      <c r="E1236" t="str">
        <f>IFERROR(VLOOKUP(Orders!D1236,Products!$A$2:$C$61,3,FALSE),"Unknown")</f>
        <v>Beauty</v>
      </c>
      <c r="F1236" t="str">
        <f>IFERROR(VLOOKUP(Orders!C1236,Customers!$A$2:$E$301,5,FALSE),"Unknown")</f>
        <v>Retail</v>
      </c>
      <c r="G1236">
        <f>IFERROR(VLOOKUP(Orders!C1236,Customers!$A$2:$C$301,3,FALSE),"")</f>
        <v>22</v>
      </c>
      <c r="H1236" t="str">
        <f>VLOOKUP(D1236,Sales_Reps!$A$2:$C$31,3,FALSE)</f>
        <v>North</v>
      </c>
      <c r="I1236" s="44">
        <f t="shared" si="41"/>
        <v>45474</v>
      </c>
      <c r="L1236" t="str">
        <f>Orders!K1236</f>
        <v>Hyderabad</v>
      </c>
      <c r="M1236">
        <f>Orders!G1236</f>
        <v>1650</v>
      </c>
      <c r="N1236">
        <f>IFERROR(VLOOKUP(Orders!D1236,Products!$A$2:$D$61,4,FALSE),"")</f>
        <v>1222</v>
      </c>
      <c r="O1236">
        <f t="shared" si="42"/>
        <v>0.2593939393939394</v>
      </c>
      <c r="Q1236" t="str">
        <f>Orders!D1236</f>
        <v>PROD-044</v>
      </c>
    </row>
    <row r="1237" spans="1:17" x14ac:dyDescent="0.3">
      <c r="A1237" t="str">
        <f>Orders!A1237</f>
        <v>ORD-01236</v>
      </c>
      <c r="B1237">
        <f>Orders!B1237</f>
        <v>45460</v>
      </c>
      <c r="C1237">
        <f>Orders!I1237</f>
        <v>7746.3</v>
      </c>
      <c r="D1237" t="str">
        <f>Orders!E1237</f>
        <v>R018</v>
      </c>
      <c r="E1237" t="str">
        <f>IFERROR(VLOOKUP(Orders!D1237,Products!$A$2:$C$61,3,FALSE),"Unknown")</f>
        <v>Beauty</v>
      </c>
      <c r="F1237" t="str">
        <f>IFERROR(VLOOKUP(Orders!C1237,Customers!$A$2:$E$301,5,FALSE),"Unknown")</f>
        <v>SMB</v>
      </c>
      <c r="G1237">
        <f>IFERROR(VLOOKUP(Orders!C1237,Customers!$A$2:$C$301,3,FALSE),"")</f>
        <v>31</v>
      </c>
      <c r="H1237" t="str">
        <f>VLOOKUP(D1237,Sales_Reps!$A$2:$C$31,3,FALSE)</f>
        <v>East</v>
      </c>
      <c r="I1237" s="44">
        <f t="shared" si="41"/>
        <v>45444</v>
      </c>
      <c r="L1237" t="str">
        <f>Orders!K1237</f>
        <v>Hyderabad</v>
      </c>
      <c r="M1237">
        <f>Orders!G1237</f>
        <v>3020</v>
      </c>
      <c r="N1237">
        <f>IFERROR(VLOOKUP(Orders!D1237,Products!$A$2:$D$61,4,FALSE),"")</f>
        <v>1626</v>
      </c>
      <c r="O1237">
        <f t="shared" si="42"/>
        <v>0.46158940397350995</v>
      </c>
      <c r="Q1237" t="str">
        <f>Orders!D1237</f>
        <v>PROD-045</v>
      </c>
    </row>
    <row r="1238" spans="1:17" x14ac:dyDescent="0.3">
      <c r="A1238" t="str">
        <f>Orders!A1238</f>
        <v>ORD-01237</v>
      </c>
      <c r="B1238">
        <f>Orders!B1238</f>
        <v>45438</v>
      </c>
      <c r="C1238">
        <f>Orders!I1238</f>
        <v>5605.6</v>
      </c>
      <c r="D1238" t="str">
        <f>Orders!E1238</f>
        <v>R003</v>
      </c>
      <c r="E1238" t="str">
        <f>IFERROR(VLOOKUP(Orders!D1238,Products!$A$2:$C$61,3,FALSE),"Unknown")</f>
        <v>Beauty</v>
      </c>
      <c r="F1238" t="str">
        <f>IFERROR(VLOOKUP(Orders!C1238,Customers!$A$2:$E$301,5,FALSE),"Unknown")</f>
        <v>SMB</v>
      </c>
      <c r="G1238">
        <f>IFERROR(VLOOKUP(Orders!C1238,Customers!$A$2:$C$301,3,FALSE),"")</f>
        <v>54</v>
      </c>
      <c r="H1238" t="str">
        <f>VLOOKUP(D1238,Sales_Reps!$A$2:$C$31,3,FALSE)</f>
        <v>North</v>
      </c>
      <c r="I1238" s="44">
        <f t="shared" si="41"/>
        <v>45413</v>
      </c>
      <c r="L1238" t="str">
        <f>Orders!K1238</f>
        <v>Bengaluru</v>
      </c>
      <c r="M1238">
        <f>Orders!G1238</f>
        <v>1540</v>
      </c>
      <c r="N1238">
        <f>IFERROR(VLOOKUP(Orders!D1238,Products!$A$2:$D$61,4,FALSE),"")</f>
        <v>647</v>
      </c>
      <c r="O1238">
        <f t="shared" si="42"/>
        <v>0.57987012987012987</v>
      </c>
      <c r="Q1238" t="str">
        <f>Orders!D1238</f>
        <v>PROD-041</v>
      </c>
    </row>
    <row r="1239" spans="1:17" x14ac:dyDescent="0.3">
      <c r="A1239" t="str">
        <f>Orders!A1239</f>
        <v>ORD-00372</v>
      </c>
      <c r="B1239">
        <f>Orders!B1239</f>
        <v>45307</v>
      </c>
      <c r="C1239">
        <f>Orders!I1239</f>
        <v>26871.68</v>
      </c>
      <c r="D1239" t="str">
        <f>Orders!E1239</f>
        <v>R023</v>
      </c>
      <c r="E1239" t="str">
        <f>IFERROR(VLOOKUP(Orders!D1239,Products!$A$2:$C$61,3,FALSE),"Unknown")</f>
        <v>Sports</v>
      </c>
      <c r="F1239" t="str">
        <f>IFERROR(VLOOKUP(Orders!C1239,Customers!$A$2:$E$301,5,FALSE),"Unknown")</f>
        <v>SMB</v>
      </c>
      <c r="G1239">
        <f>IFERROR(VLOOKUP(Orders!C1239,Customers!$A$2:$C$301,3,FALSE),"")</f>
        <v>60</v>
      </c>
      <c r="H1239" t="str">
        <f>VLOOKUP(D1239,Sales_Reps!$A$2:$C$31,3,FALSE)</f>
        <v>East</v>
      </c>
      <c r="I1239" s="44">
        <f t="shared" si="41"/>
        <v>45292</v>
      </c>
      <c r="L1239" t="str">
        <f>Orders!K1239</f>
        <v>Pune</v>
      </c>
      <c r="M1239">
        <f>Orders!G1239</f>
        <v>6940</v>
      </c>
      <c r="N1239">
        <f>IFERROR(VLOOKUP(Orders!D1239,Products!$A$2:$D$61,4,FALSE),"")</f>
        <v>2827</v>
      </c>
      <c r="O1239">
        <f t="shared" si="42"/>
        <v>0.5926512968299712</v>
      </c>
      <c r="Q1239" t="str">
        <f>Orders!D1239</f>
        <v>PROD-056</v>
      </c>
    </row>
    <row r="1240" spans="1:17" x14ac:dyDescent="0.3">
      <c r="A1240" t="str">
        <f>Orders!A1240</f>
        <v>ORD-01239</v>
      </c>
      <c r="B1240">
        <f>Orders!B1240</f>
        <v>45517</v>
      </c>
      <c r="C1240">
        <f>Orders!I1240</f>
        <v>8353.7999999999993</v>
      </c>
      <c r="D1240" t="str">
        <f>Orders!E1240</f>
        <v>R017</v>
      </c>
      <c r="E1240" t="str">
        <f>IFERROR(VLOOKUP(Orders!D1240,Products!$A$2:$C$61,3,FALSE),"Unknown")</f>
        <v>Beauty</v>
      </c>
      <c r="F1240" t="str">
        <f>IFERROR(VLOOKUP(Orders!C1240,Customers!$A$2:$E$301,5,FALSE),"Unknown")</f>
        <v>Retail</v>
      </c>
      <c r="G1240">
        <f>IFERROR(VLOOKUP(Orders!C1240,Customers!$A$2:$C$301,3,FALSE),"")</f>
        <v>36</v>
      </c>
      <c r="H1240" t="str">
        <f>VLOOKUP(D1240,Sales_Reps!$A$2:$C$31,3,FALSE)</f>
        <v>East</v>
      </c>
      <c r="I1240" s="44">
        <f t="shared" si="41"/>
        <v>45505</v>
      </c>
      <c r="L1240" t="str">
        <f>Orders!K1240</f>
        <v>Mumbai</v>
      </c>
      <c r="M1240">
        <f>Orders!G1240</f>
        <v>5100</v>
      </c>
      <c r="N1240">
        <f>IFERROR(VLOOKUP(Orders!D1240,Products!$A$2:$D$61,4,FALSE),"")</f>
        <v>2237</v>
      </c>
      <c r="O1240">
        <f t="shared" si="42"/>
        <v>0.56137254901960787</v>
      </c>
      <c r="Q1240" t="str">
        <f>Orders!D1240</f>
        <v>PROD-048</v>
      </c>
    </row>
    <row r="1241" spans="1:17" x14ac:dyDescent="0.3">
      <c r="A1241" t="str">
        <f>Orders!A1241</f>
        <v>ORD-01240</v>
      </c>
      <c r="B1241">
        <f>Orders!B1241</f>
        <v>45575</v>
      </c>
      <c r="C1241">
        <f>Orders!I1241</f>
        <v>31884.06</v>
      </c>
      <c r="D1241" t="str">
        <f>Orders!E1241</f>
        <v>R016</v>
      </c>
      <c r="E1241" t="str">
        <f>IFERROR(VLOOKUP(Orders!D1241,Products!$A$2:$C$61,3,FALSE),"Unknown")</f>
        <v>Electronics</v>
      </c>
      <c r="F1241" t="str">
        <f>IFERROR(VLOOKUP(Orders!C1241,Customers!$A$2:$E$301,5,FALSE),"Unknown")</f>
        <v>Corporate</v>
      </c>
      <c r="G1241">
        <f>IFERROR(VLOOKUP(Orders!C1241,Customers!$A$2:$C$301,3,FALSE),"")</f>
        <v>33</v>
      </c>
      <c r="H1241" t="str">
        <f>VLOOKUP(D1241,Sales_Reps!$A$2:$C$31,3,FALSE)</f>
        <v>South</v>
      </c>
      <c r="I1241" s="44">
        <f t="shared" si="41"/>
        <v>45566</v>
      </c>
      <c r="L1241" t="str">
        <f>Orders!K1241</f>
        <v>Pune</v>
      </c>
      <c r="M1241">
        <f>Orders!G1241</f>
        <v>5330</v>
      </c>
      <c r="N1241">
        <f>IFERROR(VLOOKUP(Orders!D1241,Products!$A$2:$D$61,4,FALSE),"")</f>
        <v>2405</v>
      </c>
      <c r="O1241">
        <f t="shared" si="42"/>
        <v>0.54878048780487809</v>
      </c>
      <c r="Q1241" t="str">
        <f>Orders!D1241</f>
        <v>PROD-001</v>
      </c>
    </row>
    <row r="1242" spans="1:17" x14ac:dyDescent="0.3">
      <c r="A1242" t="str">
        <f>Orders!A1242</f>
        <v>ORD-01241</v>
      </c>
      <c r="B1242">
        <f>Orders!B1242</f>
        <v>45449</v>
      </c>
      <c r="C1242">
        <f>Orders!I1242</f>
        <v>4003.2</v>
      </c>
      <c r="D1242" t="str">
        <f>Orders!E1242</f>
        <v>R029</v>
      </c>
      <c r="E1242" t="str">
        <f>IFERROR(VLOOKUP(Orders!D1242,Products!$A$2:$C$61,3,FALSE),"Unknown")</f>
        <v>Sports</v>
      </c>
      <c r="F1242" t="str">
        <f>IFERROR(VLOOKUP(Orders!C1242,Customers!$A$2:$E$301,5,FALSE),"Unknown")</f>
        <v>SMB</v>
      </c>
      <c r="G1242">
        <f>IFERROR(VLOOKUP(Orders!C1242,Customers!$A$2:$C$301,3,FALSE),"")</f>
        <v>44</v>
      </c>
      <c r="H1242" t="str">
        <f>VLOOKUP(D1242,Sales_Reps!$A$2:$C$31,3,FALSE)</f>
        <v>West</v>
      </c>
      <c r="I1242" s="44">
        <f t="shared" si="41"/>
        <v>45444</v>
      </c>
      <c r="L1242" t="str">
        <f>Orders!K1242</f>
        <v>Bengaluru</v>
      </c>
      <c r="M1242">
        <f>Orders!G1242</f>
        <v>960</v>
      </c>
      <c r="N1242">
        <f>IFERROR(VLOOKUP(Orders!D1242,Products!$A$2:$D$61,4,FALSE),"")</f>
        <v>705</v>
      </c>
      <c r="O1242">
        <f t="shared" si="42"/>
        <v>0.265625</v>
      </c>
      <c r="Q1242" t="str">
        <f>Orders!D1242</f>
        <v>PROD-057</v>
      </c>
    </row>
    <row r="1243" spans="1:17" x14ac:dyDescent="0.3">
      <c r="A1243" t="str">
        <f>Orders!A1243</f>
        <v>ORD-01365</v>
      </c>
      <c r="B1243">
        <f>Orders!B1243</f>
        <v>45481</v>
      </c>
      <c r="C1243">
        <f>Orders!I1243</f>
        <v>23971.64</v>
      </c>
      <c r="D1243" t="str">
        <f>Orders!E1243</f>
        <v>R022</v>
      </c>
      <c r="E1243" t="str">
        <f>IFERROR(VLOOKUP(Orders!D1243,Products!$A$2:$C$61,3,FALSE),"Unknown")</f>
        <v>Apparel</v>
      </c>
      <c r="F1243" t="str">
        <f>IFERROR(VLOOKUP(Orders!C1243,Customers!$A$2:$E$301,5,FALSE),"Unknown")</f>
        <v>Corporate</v>
      </c>
      <c r="G1243">
        <f>IFERROR(VLOOKUP(Orders!C1243,Customers!$A$2:$C$301,3,FALSE),"")</f>
        <v>46</v>
      </c>
      <c r="H1243" t="str">
        <f>VLOOKUP(D1243,Sales_Reps!$A$2:$C$31,3,FALSE)</f>
        <v>East</v>
      </c>
      <c r="I1243" s="44">
        <f t="shared" si="41"/>
        <v>45474</v>
      </c>
      <c r="L1243" t="str">
        <f>Orders!K1243</f>
        <v>Hyderabad</v>
      </c>
      <c r="M1243">
        <f>Orders!G1243</f>
        <v>3620</v>
      </c>
      <c r="N1243">
        <f>IFERROR(VLOOKUP(Orders!D1243,Products!$A$2:$D$61,4,FALSE),"")</f>
        <v>2509</v>
      </c>
      <c r="O1243">
        <f t="shared" si="42"/>
        <v>0.3069060773480663</v>
      </c>
      <c r="Q1243" t="str">
        <f>Orders!D1243</f>
        <v>PROD-014</v>
      </c>
    </row>
    <row r="1244" spans="1:17" x14ac:dyDescent="0.3">
      <c r="A1244" t="str">
        <f>Orders!A1244</f>
        <v>ORD-01243</v>
      </c>
      <c r="B1244">
        <f>Orders!B1244</f>
        <v>45368</v>
      </c>
      <c r="C1244">
        <f>Orders!I1244</f>
        <v>11559.6</v>
      </c>
      <c r="D1244" t="str">
        <f>Orders!E1244</f>
        <v>R006</v>
      </c>
      <c r="E1244" t="str">
        <f>IFERROR(VLOOKUP(Orders!D1244,Products!$A$2:$C$61,3,FALSE),"Unknown")</f>
        <v>Electronics</v>
      </c>
      <c r="F1244" t="str">
        <f>IFERROR(VLOOKUP(Orders!C1244,Customers!$A$2:$E$301,5,FALSE),"Unknown")</f>
        <v>Retail</v>
      </c>
      <c r="G1244">
        <f>IFERROR(VLOOKUP(Orders!C1244,Customers!$A$2:$C$301,3,FALSE),"")</f>
        <v>35</v>
      </c>
      <c r="H1244" t="str">
        <f>VLOOKUP(D1244,Sales_Reps!$A$2:$C$31,3,FALSE)</f>
        <v>North</v>
      </c>
      <c r="I1244" s="44">
        <f t="shared" si="41"/>
        <v>45352</v>
      </c>
      <c r="L1244" t="str">
        <f>Orders!K1244</f>
        <v>Chennai</v>
      </c>
      <c r="M1244">
        <f>Orders!G1244</f>
        <v>2600</v>
      </c>
      <c r="N1244">
        <f>IFERROR(VLOOKUP(Orders!D1244,Products!$A$2:$D$61,4,FALSE),"")</f>
        <v>1052</v>
      </c>
      <c r="O1244">
        <f t="shared" si="42"/>
        <v>0.5953846153846154</v>
      </c>
      <c r="Q1244" t="str">
        <f>Orders!D1244</f>
        <v>PROD-002</v>
      </c>
    </row>
    <row r="1245" spans="1:17" x14ac:dyDescent="0.3">
      <c r="A1245" t="str">
        <f>Orders!A1245</f>
        <v>ORD-01244</v>
      </c>
      <c r="B1245">
        <f>Orders!B1245</f>
        <v>45298</v>
      </c>
      <c r="C1245">
        <f>Orders!I1245</f>
        <v>14858.76</v>
      </c>
      <c r="D1245" t="str">
        <f>Orders!E1245</f>
        <v>R013</v>
      </c>
      <c r="E1245" t="str">
        <f>IFERROR(VLOOKUP(Orders!D1245,Products!$A$2:$C$61,3,FALSE),"Unknown")</f>
        <v>Electronics</v>
      </c>
      <c r="F1245" t="str">
        <f>IFERROR(VLOOKUP(Orders!C1245,Customers!$A$2:$E$301,5,FALSE),"Unknown")</f>
        <v>Retail</v>
      </c>
      <c r="G1245">
        <f>IFERROR(VLOOKUP(Orders!C1245,Customers!$A$2:$C$301,3,FALSE),"")</f>
        <v>49</v>
      </c>
      <c r="H1245" t="str">
        <f>VLOOKUP(D1245,Sales_Reps!$A$2:$C$31,3,FALSE)</f>
        <v>South</v>
      </c>
      <c r="I1245" s="44">
        <f t="shared" si="41"/>
        <v>45292</v>
      </c>
      <c r="L1245" t="str">
        <f>Orders!K1245</f>
        <v>Pune</v>
      </c>
      <c r="M1245">
        <f>Orders!G1245</f>
        <v>2660</v>
      </c>
      <c r="N1245">
        <f>IFERROR(VLOOKUP(Orders!D1245,Products!$A$2:$D$61,4,FALSE),"")</f>
        <v>1259</v>
      </c>
      <c r="O1245">
        <f t="shared" si="42"/>
        <v>0.52669172932330832</v>
      </c>
      <c r="Q1245" t="str">
        <f>Orders!D1245</f>
        <v>PROD-008</v>
      </c>
    </row>
    <row r="1246" spans="1:17" x14ac:dyDescent="0.3">
      <c r="A1246" t="str">
        <f>Orders!A1246</f>
        <v>ORD-01245</v>
      </c>
      <c r="B1246">
        <f>Orders!B1246</f>
        <v>45472</v>
      </c>
      <c r="C1246">
        <f>Orders!I1246</f>
        <v>19038.96</v>
      </c>
      <c r="D1246" t="str">
        <f>Orders!E1246</f>
        <v>R022</v>
      </c>
      <c r="E1246" t="str">
        <f>IFERROR(VLOOKUP(Orders!D1246,Products!$A$2:$C$61,3,FALSE),"Unknown")</f>
        <v>Apparel</v>
      </c>
      <c r="F1246" t="str">
        <f>IFERROR(VLOOKUP(Orders!C1246,Customers!$A$2:$E$301,5,FALSE),"Unknown")</f>
        <v>SMB</v>
      </c>
      <c r="G1246">
        <f>IFERROR(VLOOKUP(Orders!C1246,Customers!$A$2:$C$301,3,FALSE),"")</f>
        <v>65</v>
      </c>
      <c r="H1246" t="str">
        <f>VLOOKUP(D1246,Sales_Reps!$A$2:$C$31,3,FALSE)</f>
        <v>East</v>
      </c>
      <c r="I1246" s="44">
        <f t="shared" si="41"/>
        <v>45444</v>
      </c>
      <c r="L1246" t="str">
        <f>Orders!K1246</f>
        <v>Mumbai</v>
      </c>
      <c r="M1246">
        <f>Orders!G1246</f>
        <v>2480</v>
      </c>
      <c r="N1246">
        <f>IFERROR(VLOOKUP(Orders!D1246,Products!$A$2:$D$61,4,FALSE),"")</f>
        <v>1173</v>
      </c>
      <c r="O1246">
        <f t="shared" si="42"/>
        <v>0.52701612903225803</v>
      </c>
      <c r="Q1246" t="str">
        <f>Orders!D1246</f>
        <v>PROD-019</v>
      </c>
    </row>
    <row r="1247" spans="1:17" x14ac:dyDescent="0.3">
      <c r="A1247" t="str">
        <f>Orders!A1247</f>
        <v>ORD-01246</v>
      </c>
      <c r="B1247">
        <f>Orders!B1247</f>
        <v>45568</v>
      </c>
      <c r="C1247">
        <f>Orders!I1247</f>
        <v>9693.0400000000009</v>
      </c>
      <c r="D1247" t="str">
        <f>Orders!E1247</f>
        <v>R015</v>
      </c>
      <c r="E1247" t="str">
        <f>IFERROR(VLOOKUP(Orders!D1247,Products!$A$2:$C$61,3,FALSE),"Unknown")</f>
        <v>Electronics</v>
      </c>
      <c r="F1247" t="str">
        <f>IFERROR(VLOOKUP(Orders!C1247,Customers!$A$2:$E$301,5,FALSE),"Unknown")</f>
        <v>SMB</v>
      </c>
      <c r="G1247">
        <f>IFERROR(VLOOKUP(Orders!C1247,Customers!$A$2:$C$301,3,FALSE),"")</f>
        <v>38</v>
      </c>
      <c r="H1247" t="str">
        <f>VLOOKUP(D1247,Sales_Reps!$A$2:$C$31,3,FALSE)</f>
        <v>South</v>
      </c>
      <c r="I1247" s="44">
        <f t="shared" si="41"/>
        <v>45566</v>
      </c>
      <c r="L1247" t="str">
        <f>Orders!K1247</f>
        <v>Delhi</v>
      </c>
      <c r="M1247">
        <f>Orders!G1247</f>
        <v>2660</v>
      </c>
      <c r="N1247">
        <f>IFERROR(VLOOKUP(Orders!D1247,Products!$A$2:$D$61,4,FALSE),"")</f>
        <v>1259</v>
      </c>
      <c r="O1247">
        <f t="shared" si="42"/>
        <v>0.52669172932330832</v>
      </c>
      <c r="Q1247" t="str">
        <f>Orders!D1247</f>
        <v>PROD-008</v>
      </c>
    </row>
    <row r="1248" spans="1:17" x14ac:dyDescent="0.3">
      <c r="A1248" t="str">
        <f>Orders!A1248</f>
        <v>ORD-01247</v>
      </c>
      <c r="B1248">
        <f>Orders!B1248</f>
        <v>45540</v>
      </c>
      <c r="C1248">
        <f>Orders!I1248</f>
        <v>3901.56</v>
      </c>
      <c r="D1248" t="str">
        <f>Orders!E1248</f>
        <v>R010</v>
      </c>
      <c r="E1248" t="str">
        <f>IFERROR(VLOOKUP(Orders!D1248,Products!$A$2:$C$61,3,FALSE),"Unknown")</f>
        <v>Electronics</v>
      </c>
      <c r="F1248" t="str">
        <f>IFERROR(VLOOKUP(Orders!C1248,Customers!$A$2:$E$301,5,FALSE),"Unknown")</f>
        <v>Retail</v>
      </c>
      <c r="G1248">
        <f>IFERROR(VLOOKUP(Orders!C1248,Customers!$A$2:$C$301,3,FALSE),"")</f>
        <v>35</v>
      </c>
      <c r="H1248" t="str">
        <f>VLOOKUP(D1248,Sales_Reps!$A$2:$C$31,3,FALSE)</f>
        <v>South</v>
      </c>
      <c r="I1248" s="44">
        <f t="shared" si="41"/>
        <v>45536</v>
      </c>
      <c r="L1248" t="str">
        <f>Orders!K1248</f>
        <v>Bengaluru</v>
      </c>
      <c r="M1248">
        <f>Orders!G1248</f>
        <v>5330</v>
      </c>
      <c r="N1248">
        <f>IFERROR(VLOOKUP(Orders!D1248,Products!$A$2:$D$61,4,FALSE),"")</f>
        <v>2405</v>
      </c>
      <c r="O1248">
        <f t="shared" si="42"/>
        <v>0.54878048780487809</v>
      </c>
      <c r="Q1248" t="str">
        <f>Orders!D1248</f>
        <v>PROD-001</v>
      </c>
    </row>
    <row r="1249" spans="1:17" x14ac:dyDescent="0.3">
      <c r="A1249" t="str">
        <f>Orders!A1249</f>
        <v>ORD-01248</v>
      </c>
      <c r="B1249">
        <f>Orders!B1249</f>
        <v>45544</v>
      </c>
      <c r="C1249">
        <f>Orders!I1249</f>
        <v>16725.599999999999</v>
      </c>
      <c r="D1249" t="str">
        <f>Orders!E1249</f>
        <v>R027</v>
      </c>
      <c r="E1249" t="str">
        <f>IFERROR(VLOOKUP(Orders!D1249,Products!$A$2:$C$61,3,FALSE),"Unknown")</f>
        <v>Sports</v>
      </c>
      <c r="F1249" t="str">
        <f>IFERROR(VLOOKUP(Orders!C1249,Customers!$A$2:$E$301,5,FALSE),"Unknown")</f>
        <v>Retail</v>
      </c>
      <c r="G1249">
        <f>IFERROR(VLOOKUP(Orders!C1249,Customers!$A$2:$C$301,3,FALSE),"")</f>
        <v>53</v>
      </c>
      <c r="H1249" t="str">
        <f>VLOOKUP(D1249,Sales_Reps!$A$2:$C$31,3,FALSE)</f>
        <v>West</v>
      </c>
      <c r="I1249" s="44">
        <f t="shared" si="41"/>
        <v>45536</v>
      </c>
      <c r="L1249" t="str">
        <f>Orders!K1249</f>
        <v>Bengaluru</v>
      </c>
      <c r="M1249">
        <f>Orders!G1249</f>
        <v>3450</v>
      </c>
      <c r="N1249">
        <f>IFERROR(VLOOKUP(Orders!D1249,Products!$A$2:$D$61,4,FALSE),"")</f>
        <v>2467</v>
      </c>
      <c r="O1249">
        <f t="shared" si="42"/>
        <v>0.28492753623188405</v>
      </c>
      <c r="Q1249" t="str">
        <f>Orders!D1249</f>
        <v>PROD-051</v>
      </c>
    </row>
    <row r="1250" spans="1:17" x14ac:dyDescent="0.3">
      <c r="A1250" t="str">
        <f>Orders!A1250</f>
        <v>ORD-01249</v>
      </c>
      <c r="B1250">
        <f>Orders!B1250</f>
        <v>45334</v>
      </c>
      <c r="C1250">
        <f>Orders!I1250</f>
        <v>1556.1</v>
      </c>
      <c r="D1250" t="str">
        <f>Orders!E1250</f>
        <v>R025</v>
      </c>
      <c r="E1250" t="str">
        <f>IFERROR(VLOOKUP(Orders!D1250,Products!$A$2:$C$61,3,FALSE),"Unknown")</f>
        <v>Sports</v>
      </c>
      <c r="F1250" t="str">
        <f>IFERROR(VLOOKUP(Orders!C1250,Customers!$A$2:$E$301,5,FALSE),"Unknown")</f>
        <v>Retail</v>
      </c>
      <c r="G1250">
        <f>IFERROR(VLOOKUP(Orders!C1250,Customers!$A$2:$C$301,3,FALSE),"")</f>
        <v>34</v>
      </c>
      <c r="H1250" t="str">
        <f>VLOOKUP(D1250,Sales_Reps!$A$2:$C$31,3,FALSE)</f>
        <v>West</v>
      </c>
      <c r="I1250" s="44">
        <f t="shared" si="41"/>
        <v>45323</v>
      </c>
      <c r="L1250" t="str">
        <f>Orders!K1250</f>
        <v>Mumbai</v>
      </c>
      <c r="M1250">
        <f>Orders!G1250</f>
        <v>190</v>
      </c>
      <c r="N1250">
        <f>IFERROR(VLOOKUP(Orders!D1250,Products!$A$2:$D$61,4,FALSE),"")</f>
        <v>147</v>
      </c>
      <c r="O1250">
        <f t="shared" si="42"/>
        <v>0.22631578947368422</v>
      </c>
      <c r="Q1250" t="str">
        <f>Orders!D1250</f>
        <v>PROD-060</v>
      </c>
    </row>
    <row r="1251" spans="1:17" x14ac:dyDescent="0.3">
      <c r="A1251" t="str">
        <f>Orders!A1251</f>
        <v>ORD-01250</v>
      </c>
      <c r="B1251">
        <f>Orders!B1251</f>
        <v>45584</v>
      </c>
      <c r="C1251">
        <f>Orders!I1251</f>
        <v>29227.14</v>
      </c>
      <c r="D1251" t="str">
        <f>Orders!E1251</f>
        <v>R009</v>
      </c>
      <c r="E1251" t="str">
        <f>IFERROR(VLOOKUP(Orders!D1251,Products!$A$2:$C$61,3,FALSE),"Unknown")</f>
        <v>Electronics</v>
      </c>
      <c r="F1251" t="str">
        <f>IFERROR(VLOOKUP(Orders!C1251,Customers!$A$2:$E$301,5,FALSE),"Unknown")</f>
        <v>Corporate</v>
      </c>
      <c r="G1251">
        <f>IFERROR(VLOOKUP(Orders!C1251,Customers!$A$2:$C$301,3,FALSE),"")</f>
        <v>22</v>
      </c>
      <c r="H1251" t="str">
        <f>VLOOKUP(D1251,Sales_Reps!$A$2:$C$31,3,FALSE)</f>
        <v>South</v>
      </c>
      <c r="I1251" s="44">
        <f t="shared" si="41"/>
        <v>45566</v>
      </c>
      <c r="L1251" t="str">
        <f>Orders!K1251</f>
        <v>Chennai</v>
      </c>
      <c r="M1251">
        <f>Orders!G1251</f>
        <v>3970</v>
      </c>
      <c r="N1251">
        <f>IFERROR(VLOOKUP(Orders!D1251,Products!$A$2:$D$61,4,FALSE),"")</f>
        <v>2865</v>
      </c>
      <c r="O1251">
        <f t="shared" si="42"/>
        <v>0.27833753148614609</v>
      </c>
      <c r="Q1251" t="str">
        <f>Orders!D1251</f>
        <v>PROD-006</v>
      </c>
    </row>
    <row r="1252" spans="1:17" x14ac:dyDescent="0.3">
      <c r="A1252" t="str">
        <f>Orders!A1252</f>
        <v>ORD-01251</v>
      </c>
      <c r="B1252">
        <f>Orders!B1252</f>
        <v>45404</v>
      </c>
      <c r="C1252">
        <f>Orders!I1252</f>
        <v>15655.56</v>
      </c>
      <c r="D1252" t="str">
        <f>Orders!E1252</f>
        <v>R002</v>
      </c>
      <c r="E1252" t="str">
        <f>IFERROR(VLOOKUP(Orders!D1252,Products!$A$2:$C$61,3,FALSE),"Unknown")</f>
        <v>Home</v>
      </c>
      <c r="F1252" t="str">
        <f>IFERROR(VLOOKUP(Orders!C1252,Customers!$A$2:$E$301,5,FALSE),"Unknown")</f>
        <v>Retail</v>
      </c>
      <c r="G1252">
        <f>IFERROR(VLOOKUP(Orders!C1252,Customers!$A$2:$C$301,3,FALSE),"")</f>
        <v>60</v>
      </c>
      <c r="H1252" t="str">
        <f>VLOOKUP(D1252,Sales_Reps!$A$2:$C$31,3,FALSE)</f>
        <v>North</v>
      </c>
      <c r="I1252" s="44">
        <f t="shared" si="41"/>
        <v>45383</v>
      </c>
      <c r="L1252" t="str">
        <f>Orders!K1252</f>
        <v>Hyderabad</v>
      </c>
      <c r="M1252">
        <f>Orders!G1252</f>
        <v>4610</v>
      </c>
      <c r="N1252">
        <f>IFERROR(VLOOKUP(Orders!D1252,Products!$A$2:$D$61,4,FALSE),"")</f>
        <v>1850</v>
      </c>
      <c r="O1252">
        <f t="shared" si="42"/>
        <v>0.59869848156182215</v>
      </c>
      <c r="Q1252" t="str">
        <f>Orders!D1252</f>
        <v>PROD-039</v>
      </c>
    </row>
    <row r="1253" spans="1:17" x14ac:dyDescent="0.3">
      <c r="A1253" t="str">
        <f>Orders!A1253</f>
        <v>ORD-01252</v>
      </c>
      <c r="B1253">
        <f>Orders!B1253</f>
        <v>45476</v>
      </c>
      <c r="C1253">
        <f>Orders!I1253</f>
        <v>1199.08</v>
      </c>
      <c r="D1253" t="str">
        <f>Orders!E1253</f>
        <v>R025</v>
      </c>
      <c r="E1253" t="str">
        <f>IFERROR(VLOOKUP(Orders!D1253,Products!$A$2:$C$61,3,FALSE),"Unknown")</f>
        <v>Apparel</v>
      </c>
      <c r="F1253" t="str">
        <f>IFERROR(VLOOKUP(Orders!C1253,Customers!$A$2:$E$301,5,FALSE),"Unknown")</f>
        <v>Retail</v>
      </c>
      <c r="G1253">
        <f>IFERROR(VLOOKUP(Orders!C1253,Customers!$A$2:$C$301,3,FALSE),"")</f>
        <v>50</v>
      </c>
      <c r="H1253" t="str">
        <f>VLOOKUP(D1253,Sales_Reps!$A$2:$C$31,3,FALSE)</f>
        <v>West</v>
      </c>
      <c r="I1253" s="44">
        <f t="shared" si="41"/>
        <v>45474</v>
      </c>
      <c r="L1253" t="str">
        <f>Orders!K1253</f>
        <v>Mumbai</v>
      </c>
      <c r="M1253">
        <f>Orders!G1253</f>
        <v>620</v>
      </c>
      <c r="N1253">
        <f>IFERROR(VLOOKUP(Orders!D1253,Products!$A$2:$D$61,4,FALSE),"")</f>
        <v>396</v>
      </c>
      <c r="O1253">
        <f t="shared" si="42"/>
        <v>0.36129032258064514</v>
      </c>
      <c r="Q1253" t="str">
        <f>Orders!D1253</f>
        <v>PROD-016</v>
      </c>
    </row>
    <row r="1254" spans="1:17" x14ac:dyDescent="0.3">
      <c r="A1254" t="str">
        <f>Orders!A1254</f>
        <v>ORD-01253</v>
      </c>
      <c r="B1254">
        <f>Orders!B1254</f>
        <v>45481</v>
      </c>
      <c r="C1254">
        <f>Orders!I1254</f>
        <v>7815.5</v>
      </c>
      <c r="D1254" t="str">
        <f>Orders!E1254</f>
        <v>R025</v>
      </c>
      <c r="E1254" t="str">
        <f>IFERROR(VLOOKUP(Orders!D1254,Products!$A$2:$C$61,3,FALSE),"Unknown")</f>
        <v>Beauty</v>
      </c>
      <c r="F1254" t="str">
        <f>IFERROR(VLOOKUP(Orders!C1254,Customers!$A$2:$E$301,5,FALSE),"Unknown")</f>
        <v>Corporate</v>
      </c>
      <c r="G1254">
        <f>IFERROR(VLOOKUP(Orders!C1254,Customers!$A$2:$C$301,3,FALSE),"")</f>
        <v>43</v>
      </c>
      <c r="H1254" t="str">
        <f>VLOOKUP(D1254,Sales_Reps!$A$2:$C$31,3,FALSE)</f>
        <v>West</v>
      </c>
      <c r="I1254" s="44">
        <f t="shared" si="41"/>
        <v>45474</v>
      </c>
      <c r="L1254" t="str">
        <f>Orders!K1254</f>
        <v>Bengaluru</v>
      </c>
      <c r="M1254">
        <f>Orders!G1254</f>
        <v>1540</v>
      </c>
      <c r="N1254">
        <f>IFERROR(VLOOKUP(Orders!D1254,Products!$A$2:$D$61,4,FALSE),"")</f>
        <v>647</v>
      </c>
      <c r="O1254">
        <f t="shared" si="42"/>
        <v>0.57987012987012987</v>
      </c>
      <c r="Q1254" t="str">
        <f>Orders!D1254</f>
        <v>PROD-041</v>
      </c>
    </row>
    <row r="1255" spans="1:17" x14ac:dyDescent="0.3">
      <c r="A1255" t="str">
        <f>Orders!A1255</f>
        <v>ORD-01254</v>
      </c>
      <c r="B1255">
        <f>Orders!B1255</f>
        <v>45480</v>
      </c>
      <c r="C1255">
        <f>Orders!I1255</f>
        <v>4516.7</v>
      </c>
      <c r="D1255" t="str">
        <f>Orders!E1255</f>
        <v>R017</v>
      </c>
      <c r="E1255" t="str">
        <f>IFERROR(VLOOKUP(Orders!D1255,Products!$A$2:$C$61,3,FALSE),"Unknown")</f>
        <v>Sports</v>
      </c>
      <c r="F1255" t="str">
        <f>IFERROR(VLOOKUP(Orders!C1255,Customers!$A$2:$E$301,5,FALSE),"Unknown")</f>
        <v>Retail</v>
      </c>
      <c r="G1255">
        <f>IFERROR(VLOOKUP(Orders!C1255,Customers!$A$2:$C$301,3,FALSE),"")</f>
        <v>22</v>
      </c>
      <c r="H1255" t="str">
        <f>VLOOKUP(D1255,Sales_Reps!$A$2:$C$31,3,FALSE)</f>
        <v>East</v>
      </c>
      <c r="I1255" s="44">
        <f t="shared" si="41"/>
        <v>45474</v>
      </c>
      <c r="L1255" t="str">
        <f>Orders!K1255</f>
        <v>Chennai</v>
      </c>
      <c r="M1255">
        <f>Orders!G1255</f>
        <v>470</v>
      </c>
      <c r="N1255">
        <f>IFERROR(VLOOKUP(Orders!D1255,Products!$A$2:$D$61,4,FALSE),"")</f>
        <v>302</v>
      </c>
      <c r="O1255">
        <f t="shared" si="42"/>
        <v>0.35744680851063831</v>
      </c>
      <c r="Q1255" t="str">
        <f>Orders!D1255</f>
        <v>PROD-053</v>
      </c>
    </row>
    <row r="1256" spans="1:17" x14ac:dyDescent="0.3">
      <c r="A1256" t="str">
        <f>Orders!A1256</f>
        <v>ORD-01255</v>
      </c>
      <c r="B1256">
        <f>Orders!B1256</f>
        <v>45603</v>
      </c>
      <c r="C1256">
        <f>Orders!I1256</f>
        <v>17714.400000000001</v>
      </c>
      <c r="D1256" t="str">
        <f>Orders!E1256</f>
        <v>R002</v>
      </c>
      <c r="E1256" t="str">
        <f>IFERROR(VLOOKUP(Orders!D1256,Products!$A$2:$C$61,3,FALSE),"Unknown")</f>
        <v>Beauty</v>
      </c>
      <c r="F1256" t="str">
        <f>IFERROR(VLOOKUP(Orders!C1256,Customers!$A$2:$E$301,5,FALSE),"Unknown")</f>
        <v>Retail</v>
      </c>
      <c r="G1256">
        <f>IFERROR(VLOOKUP(Orders!C1256,Customers!$A$2:$C$301,3,FALSE),"")</f>
        <v>47</v>
      </c>
      <c r="H1256" t="str">
        <f>VLOOKUP(D1256,Sales_Reps!$A$2:$C$31,3,FALSE)</f>
        <v>North</v>
      </c>
      <c r="I1256" s="44">
        <f t="shared" si="41"/>
        <v>45597</v>
      </c>
      <c r="L1256" t="str">
        <f>Orders!K1256</f>
        <v>Delhi</v>
      </c>
      <c r="M1256">
        <f>Orders!G1256</f>
        <v>4880</v>
      </c>
      <c r="N1256">
        <f>IFERROR(VLOOKUP(Orders!D1256,Products!$A$2:$D$61,4,FALSE),"")</f>
        <v>2768</v>
      </c>
      <c r="O1256">
        <f t="shared" si="42"/>
        <v>0.43278688524590164</v>
      </c>
      <c r="Q1256" t="str">
        <f>Orders!D1256</f>
        <v>PROD-046</v>
      </c>
    </row>
    <row r="1257" spans="1:17" x14ac:dyDescent="0.3">
      <c r="A1257" t="str">
        <f>Orders!A1257</f>
        <v>ORD-01256</v>
      </c>
      <c r="B1257">
        <f>Orders!B1257</f>
        <v>45548</v>
      </c>
      <c r="C1257">
        <f>Orders!I1257</f>
        <v>4960.97</v>
      </c>
      <c r="D1257" t="str">
        <f>Orders!E1257</f>
        <v>R029</v>
      </c>
      <c r="E1257" t="str">
        <f>IFERROR(VLOOKUP(Orders!D1257,Products!$A$2:$C$61,3,FALSE),"Unknown")</f>
        <v>Sports</v>
      </c>
      <c r="F1257" t="str">
        <f>IFERROR(VLOOKUP(Orders!C1257,Customers!$A$2:$E$301,5,FALSE),"Unknown")</f>
        <v>SMB</v>
      </c>
      <c r="G1257">
        <f>IFERROR(VLOOKUP(Orders!C1257,Customers!$A$2:$C$301,3,FALSE),"")</f>
        <v>53</v>
      </c>
      <c r="H1257" t="str">
        <f>VLOOKUP(D1257,Sales_Reps!$A$2:$C$31,3,FALSE)</f>
        <v>West</v>
      </c>
      <c r="I1257" s="44">
        <f t="shared" si="41"/>
        <v>45536</v>
      </c>
      <c r="L1257" t="str">
        <f>Orders!K1257</f>
        <v>Mumbai</v>
      </c>
      <c r="M1257">
        <f>Orders!G1257</f>
        <v>5410</v>
      </c>
      <c r="N1257">
        <f>IFERROR(VLOOKUP(Orders!D1257,Products!$A$2:$D$61,4,FALSE),"")</f>
        <v>2265</v>
      </c>
      <c r="O1257">
        <f t="shared" si="42"/>
        <v>0.58133086876155271</v>
      </c>
      <c r="Q1257" t="str">
        <f>Orders!D1257</f>
        <v>PROD-052</v>
      </c>
    </row>
    <row r="1258" spans="1:17" x14ac:dyDescent="0.3">
      <c r="A1258" t="str">
        <f>Orders!A1258</f>
        <v>ORD-01257</v>
      </c>
      <c r="B1258">
        <f>Orders!B1258</f>
        <v>45482</v>
      </c>
      <c r="C1258">
        <f>Orders!I1258</f>
        <v>28080.720000000001</v>
      </c>
      <c r="D1258" t="str">
        <f>Orders!E1258</f>
        <v>R022</v>
      </c>
      <c r="E1258" t="str">
        <f>IFERROR(VLOOKUP(Orders!D1258,Products!$A$2:$C$61,3,FALSE),"Unknown")</f>
        <v>Electronics</v>
      </c>
      <c r="F1258" t="str">
        <f>IFERROR(VLOOKUP(Orders!C1258,Customers!$A$2:$E$301,5,FALSE),"Unknown")</f>
        <v>SMB</v>
      </c>
      <c r="G1258">
        <f>IFERROR(VLOOKUP(Orders!C1258,Customers!$A$2:$C$301,3,FALSE),"")</f>
        <v>55</v>
      </c>
      <c r="H1258" t="str">
        <f>VLOOKUP(D1258,Sales_Reps!$A$2:$C$31,3,FALSE)</f>
        <v>East</v>
      </c>
      <c r="I1258" s="44">
        <f t="shared" si="41"/>
        <v>45474</v>
      </c>
      <c r="L1258" t="str">
        <f>Orders!K1258</f>
        <v>Chennai</v>
      </c>
      <c r="M1258">
        <f>Orders!G1258</f>
        <v>3870</v>
      </c>
      <c r="N1258">
        <f>IFERROR(VLOOKUP(Orders!D1258,Products!$A$2:$D$61,4,FALSE),"")</f>
        <v>1559</v>
      </c>
      <c r="O1258">
        <f t="shared" si="42"/>
        <v>0.59715762273901807</v>
      </c>
      <c r="Q1258" t="str">
        <f>Orders!D1258</f>
        <v>PROD-004</v>
      </c>
    </row>
    <row r="1259" spans="1:17" x14ac:dyDescent="0.3">
      <c r="A1259" t="str">
        <f>Orders!A1259</f>
        <v>ORD-01258</v>
      </c>
      <c r="B1259">
        <f>Orders!B1259</f>
        <v>45457</v>
      </c>
      <c r="C1259">
        <f>Orders!I1259</f>
        <v>21146.400000000001</v>
      </c>
      <c r="D1259" t="str">
        <f>Orders!E1259</f>
        <v>R017</v>
      </c>
      <c r="E1259" t="str">
        <f>IFERROR(VLOOKUP(Orders!D1259,Products!$A$2:$C$61,3,FALSE),"Unknown")</f>
        <v>Electronics</v>
      </c>
      <c r="F1259" t="str">
        <f>IFERROR(VLOOKUP(Orders!C1259,Customers!$A$2:$E$301,5,FALSE),"Unknown")</f>
        <v>SMB</v>
      </c>
      <c r="G1259">
        <f>IFERROR(VLOOKUP(Orders!C1259,Customers!$A$2:$C$301,3,FALSE),"")</f>
        <v>26</v>
      </c>
      <c r="H1259" t="str">
        <f>VLOOKUP(D1259,Sales_Reps!$A$2:$C$31,3,FALSE)</f>
        <v>East</v>
      </c>
      <c r="I1259" s="44">
        <f t="shared" si="41"/>
        <v>45444</v>
      </c>
      <c r="L1259" t="str">
        <f>Orders!K1259</f>
        <v>Delhi</v>
      </c>
      <c r="M1259">
        <f>Orders!G1259</f>
        <v>2640</v>
      </c>
      <c r="N1259">
        <f>IFERROR(VLOOKUP(Orders!D1259,Products!$A$2:$D$61,4,FALSE),"")</f>
        <v>1149</v>
      </c>
      <c r="O1259">
        <f t="shared" si="42"/>
        <v>0.56477272727272732</v>
      </c>
      <c r="Q1259" t="str">
        <f>Orders!D1259</f>
        <v>PROD-010</v>
      </c>
    </row>
    <row r="1260" spans="1:17" x14ac:dyDescent="0.3">
      <c r="A1260" t="str">
        <f>Orders!A1260</f>
        <v>ORD-01259</v>
      </c>
      <c r="B1260">
        <f>Orders!B1260</f>
        <v>45508</v>
      </c>
      <c r="C1260">
        <f>Orders!I1260</f>
        <v>4643.12</v>
      </c>
      <c r="D1260" t="str">
        <f>Orders!E1260</f>
        <v>R007</v>
      </c>
      <c r="E1260" t="str">
        <f>IFERROR(VLOOKUP(Orders!D1260,Products!$A$2:$C$61,3,FALSE),"Unknown")</f>
        <v>Home</v>
      </c>
      <c r="F1260" t="str">
        <f>IFERROR(VLOOKUP(Orders!C1260,Customers!$A$2:$E$301,5,FALSE),"Unknown")</f>
        <v>Corporate</v>
      </c>
      <c r="G1260">
        <f>IFERROR(VLOOKUP(Orders!C1260,Customers!$A$2:$C$301,3,FALSE),"")</f>
        <v>22</v>
      </c>
      <c r="H1260" t="str">
        <f>VLOOKUP(D1260,Sales_Reps!$A$2:$C$31,3,FALSE)</f>
        <v>North</v>
      </c>
      <c r="I1260" s="44">
        <f t="shared" si="41"/>
        <v>45505</v>
      </c>
      <c r="L1260" t="str">
        <f>Orders!K1260</f>
        <v>Chennai</v>
      </c>
      <c r="M1260">
        <f>Orders!G1260</f>
        <v>5080</v>
      </c>
      <c r="N1260">
        <f>IFERROR(VLOOKUP(Orders!D1260,Products!$A$2:$D$61,4,FALSE),"")</f>
        <v>2459</v>
      </c>
      <c r="O1260">
        <f t="shared" si="42"/>
        <v>0.51594488188976373</v>
      </c>
      <c r="Q1260" t="str">
        <f>Orders!D1260</f>
        <v>PROD-034</v>
      </c>
    </row>
    <row r="1261" spans="1:17" x14ac:dyDescent="0.3">
      <c r="A1261" t="str">
        <f>Orders!A1261</f>
        <v>ORD-01260</v>
      </c>
      <c r="B1261">
        <f>Orders!B1261</f>
        <v>45399</v>
      </c>
      <c r="C1261">
        <f>Orders!I1261</f>
        <v>23926.5</v>
      </c>
      <c r="D1261" t="str">
        <f>Orders!E1261</f>
        <v>R018</v>
      </c>
      <c r="E1261" t="str">
        <f>IFERROR(VLOOKUP(Orders!D1261,Products!$A$2:$C$61,3,FALSE),"Unknown")</f>
        <v>Home</v>
      </c>
      <c r="F1261" t="str">
        <f>IFERROR(VLOOKUP(Orders!C1261,Customers!$A$2:$E$301,5,FALSE),"Unknown")</f>
        <v>SMB</v>
      </c>
      <c r="G1261">
        <f>IFERROR(VLOOKUP(Orders!C1261,Customers!$A$2:$C$301,3,FALSE),"")</f>
        <v>46</v>
      </c>
      <c r="H1261" t="str">
        <f>VLOOKUP(D1261,Sales_Reps!$A$2:$C$31,3,FALSE)</f>
        <v>East</v>
      </c>
      <c r="I1261" s="44">
        <f t="shared" si="41"/>
        <v>45383</v>
      </c>
      <c r="L1261" t="str">
        <f>Orders!K1261</f>
        <v>Chennai</v>
      </c>
      <c r="M1261">
        <f>Orders!G1261</f>
        <v>3250</v>
      </c>
      <c r="N1261">
        <f>IFERROR(VLOOKUP(Orders!D1261,Products!$A$2:$D$61,4,FALSE),"")</f>
        <v>1556</v>
      </c>
      <c r="O1261">
        <f t="shared" si="42"/>
        <v>0.52123076923076928</v>
      </c>
      <c r="Q1261" t="str">
        <f>Orders!D1261</f>
        <v>PROD-036</v>
      </c>
    </row>
    <row r="1262" spans="1:17" x14ac:dyDescent="0.3">
      <c r="A1262" t="str">
        <f>Orders!A1262</f>
        <v>ORD-01261</v>
      </c>
      <c r="B1262">
        <f>Orders!B1262</f>
        <v>45607</v>
      </c>
      <c r="C1262">
        <f>Orders!I1262</f>
        <v>24645.759999999998</v>
      </c>
      <c r="D1262" t="str">
        <f>Orders!E1262</f>
        <v>R002</v>
      </c>
      <c r="E1262" t="str">
        <f>IFERROR(VLOOKUP(Orders!D1262,Products!$A$2:$C$61,3,FALSE),"Unknown")</f>
        <v>Electronics</v>
      </c>
      <c r="F1262" t="str">
        <f>IFERROR(VLOOKUP(Orders!C1262,Customers!$A$2:$E$301,5,FALSE),"Unknown")</f>
        <v>Retail</v>
      </c>
      <c r="G1262">
        <f>IFERROR(VLOOKUP(Orders!C1262,Customers!$A$2:$C$301,3,FALSE),"")</f>
        <v>49</v>
      </c>
      <c r="H1262" t="str">
        <f>VLOOKUP(D1262,Sales_Reps!$A$2:$C$31,3,FALSE)</f>
        <v>North</v>
      </c>
      <c r="I1262" s="44">
        <f t="shared" si="41"/>
        <v>45597</v>
      </c>
      <c r="L1262" t="str">
        <f>Orders!K1262</f>
        <v>Chennai</v>
      </c>
      <c r="M1262">
        <f>Orders!G1262</f>
        <v>3970</v>
      </c>
      <c r="N1262">
        <f>IFERROR(VLOOKUP(Orders!D1262,Products!$A$2:$D$61,4,FALSE),"")</f>
        <v>2865</v>
      </c>
      <c r="O1262">
        <f t="shared" si="42"/>
        <v>0.27833753148614609</v>
      </c>
      <c r="Q1262" t="str">
        <f>Orders!D1262</f>
        <v>PROD-006</v>
      </c>
    </row>
    <row r="1263" spans="1:17" x14ac:dyDescent="0.3">
      <c r="A1263" t="str">
        <f>Orders!A1263</f>
        <v>ORD-01262</v>
      </c>
      <c r="B1263">
        <f>Orders!B1263</f>
        <v>45407</v>
      </c>
      <c r="C1263">
        <f>Orders!I1263</f>
        <v>1918.62</v>
      </c>
      <c r="D1263" t="str">
        <f>Orders!E1263</f>
        <v>R017</v>
      </c>
      <c r="E1263" t="str">
        <f>IFERROR(VLOOKUP(Orders!D1263,Products!$A$2:$C$61,3,FALSE),"Unknown")</f>
        <v>Home</v>
      </c>
      <c r="F1263" t="str">
        <f>IFERROR(VLOOKUP(Orders!C1263,Customers!$A$2:$E$301,5,FALSE),"Unknown")</f>
        <v>Retail</v>
      </c>
      <c r="G1263">
        <f>IFERROR(VLOOKUP(Orders!C1263,Customers!$A$2:$C$301,3,FALSE),"")</f>
        <v>29</v>
      </c>
      <c r="H1263" t="str">
        <f>VLOOKUP(D1263,Sales_Reps!$A$2:$C$31,3,FALSE)</f>
        <v>East</v>
      </c>
      <c r="I1263" s="44">
        <f t="shared" si="41"/>
        <v>45383</v>
      </c>
      <c r="L1263" t="str">
        <f>Orders!K1263</f>
        <v>Pune</v>
      </c>
      <c r="M1263">
        <f>Orders!G1263</f>
        <v>660</v>
      </c>
      <c r="N1263">
        <f>IFERROR(VLOOKUP(Orders!D1263,Products!$A$2:$D$61,4,FALSE),"")</f>
        <v>329</v>
      </c>
      <c r="O1263">
        <f t="shared" si="42"/>
        <v>0.50151515151515147</v>
      </c>
      <c r="Q1263" t="str">
        <f>Orders!D1263</f>
        <v>PROD-037</v>
      </c>
    </row>
    <row r="1264" spans="1:17" x14ac:dyDescent="0.3">
      <c r="A1264" t="str">
        <f>Orders!A1264</f>
        <v>ORD-01263</v>
      </c>
      <c r="B1264">
        <f>Orders!B1264</f>
        <v>45357</v>
      </c>
      <c r="C1264">
        <f>Orders!I1264</f>
        <v>15397.2</v>
      </c>
      <c r="D1264" t="str">
        <f>Orders!E1264</f>
        <v>R022</v>
      </c>
      <c r="E1264" t="str">
        <f>IFERROR(VLOOKUP(Orders!D1264,Products!$A$2:$C$61,3,FALSE),"Unknown")</f>
        <v>Electronics</v>
      </c>
      <c r="F1264" t="str">
        <f>IFERROR(VLOOKUP(Orders!C1264,Customers!$A$2:$E$301,5,FALSE),"Unknown")</f>
        <v>Retail</v>
      </c>
      <c r="G1264">
        <f>IFERROR(VLOOKUP(Orders!C1264,Customers!$A$2:$C$301,3,FALSE),"")</f>
        <v>42</v>
      </c>
      <c r="H1264" t="str">
        <f>VLOOKUP(D1264,Sales_Reps!$A$2:$C$31,3,FALSE)</f>
        <v>East</v>
      </c>
      <c r="I1264" s="44">
        <f t="shared" si="41"/>
        <v>45352</v>
      </c>
      <c r="L1264" t="str">
        <f>Orders!K1264</f>
        <v>Pune</v>
      </c>
      <c r="M1264">
        <f>Orders!G1264</f>
        <v>2600</v>
      </c>
      <c r="N1264">
        <f>IFERROR(VLOOKUP(Orders!D1264,Products!$A$2:$D$61,4,FALSE),"")</f>
        <v>1052</v>
      </c>
      <c r="O1264">
        <f t="shared" si="42"/>
        <v>0.5953846153846154</v>
      </c>
      <c r="Q1264" t="str">
        <f>Orders!D1264</f>
        <v>PROD-002</v>
      </c>
    </row>
    <row r="1265" spans="1:17" x14ac:dyDescent="0.3">
      <c r="A1265" t="str">
        <f>Orders!A1265</f>
        <v>ORD-01264</v>
      </c>
      <c r="B1265">
        <f>Orders!B1265</f>
        <v>45565</v>
      </c>
      <c r="C1265">
        <f>Orders!I1265</f>
        <v>4532.22</v>
      </c>
      <c r="D1265" t="str">
        <f>Orders!E1265</f>
        <v>R015</v>
      </c>
      <c r="E1265" t="str">
        <f>IFERROR(VLOOKUP(Orders!D1265,Products!$A$2:$C$61,3,FALSE),"Unknown")</f>
        <v>Home</v>
      </c>
      <c r="F1265" t="str">
        <f>IFERROR(VLOOKUP(Orders!C1265,Customers!$A$2:$E$301,5,FALSE),"Unknown")</f>
        <v>Corporate</v>
      </c>
      <c r="G1265">
        <f>IFERROR(VLOOKUP(Orders!C1265,Customers!$A$2:$C$301,3,FALSE),"")</f>
        <v>40</v>
      </c>
      <c r="H1265" t="str">
        <f>VLOOKUP(D1265,Sales_Reps!$A$2:$C$31,3,FALSE)</f>
        <v>South</v>
      </c>
      <c r="I1265" s="44">
        <f t="shared" si="41"/>
        <v>45536</v>
      </c>
      <c r="L1265" t="str">
        <f>Orders!K1265</f>
        <v>Pune</v>
      </c>
      <c r="M1265">
        <f>Orders!G1265</f>
        <v>660</v>
      </c>
      <c r="N1265">
        <f>IFERROR(VLOOKUP(Orders!D1265,Products!$A$2:$D$61,4,FALSE),"")</f>
        <v>329</v>
      </c>
      <c r="O1265">
        <f t="shared" si="42"/>
        <v>0.50151515151515147</v>
      </c>
      <c r="Q1265" t="str">
        <f>Orders!D1265</f>
        <v>PROD-037</v>
      </c>
    </row>
    <row r="1266" spans="1:17" x14ac:dyDescent="0.3">
      <c r="A1266" t="str">
        <f>Orders!A1266</f>
        <v>ORD-01265</v>
      </c>
      <c r="B1266">
        <f>Orders!B1266</f>
        <v>45395</v>
      </c>
      <c r="C1266">
        <f>Orders!I1266</f>
        <v>5747.7</v>
      </c>
      <c r="D1266" t="str">
        <f>Orders!E1266</f>
        <v>R021</v>
      </c>
      <c r="E1266" t="str">
        <f>IFERROR(VLOOKUP(Orders!D1266,Products!$A$2:$C$61,3,FALSE),"Unknown")</f>
        <v>Grocery</v>
      </c>
      <c r="F1266" t="str">
        <f>IFERROR(VLOOKUP(Orders!C1266,Customers!$A$2:$E$301,5,FALSE),"Unknown")</f>
        <v>SMB</v>
      </c>
      <c r="G1266">
        <f>IFERROR(VLOOKUP(Orders!C1266,Customers!$A$2:$C$301,3,FALSE),"")</f>
        <v>55</v>
      </c>
      <c r="H1266" t="str">
        <f>VLOOKUP(D1266,Sales_Reps!$A$2:$C$31,3,FALSE)</f>
        <v>East</v>
      </c>
      <c r="I1266" s="44">
        <f t="shared" si="41"/>
        <v>45383</v>
      </c>
      <c r="L1266" t="str">
        <f>Orders!K1266</f>
        <v>Delhi</v>
      </c>
      <c r="M1266">
        <f>Orders!G1266</f>
        <v>2380</v>
      </c>
      <c r="N1266">
        <f>IFERROR(VLOOKUP(Orders!D1266,Products!$A$2:$D$61,4,FALSE),"")</f>
        <v>1182</v>
      </c>
      <c r="O1266">
        <f t="shared" si="42"/>
        <v>0.50336134453781511</v>
      </c>
      <c r="Q1266" t="str">
        <f>Orders!D1266</f>
        <v>PROD-023</v>
      </c>
    </row>
    <row r="1267" spans="1:17" x14ac:dyDescent="0.3">
      <c r="A1267" t="str">
        <f>Orders!A1267</f>
        <v>ORD-01266</v>
      </c>
      <c r="B1267">
        <f>Orders!B1267</f>
        <v>45624</v>
      </c>
      <c r="C1267">
        <f>Orders!I1267</f>
        <v>14478.75</v>
      </c>
      <c r="D1267" t="str">
        <f>Orders!E1267</f>
        <v>R010</v>
      </c>
      <c r="E1267" t="str">
        <f>IFERROR(VLOOKUP(Orders!D1267,Products!$A$2:$C$61,3,FALSE),"Unknown")</f>
        <v>Beauty</v>
      </c>
      <c r="F1267" t="str">
        <f>IFERROR(VLOOKUP(Orders!C1267,Customers!$A$2:$E$301,5,FALSE),"Unknown")</f>
        <v>Retail</v>
      </c>
      <c r="G1267">
        <f>IFERROR(VLOOKUP(Orders!C1267,Customers!$A$2:$C$301,3,FALSE),"")</f>
        <v>28</v>
      </c>
      <c r="H1267" t="str">
        <f>VLOOKUP(D1267,Sales_Reps!$A$2:$C$31,3,FALSE)</f>
        <v>South</v>
      </c>
      <c r="I1267" s="44">
        <f t="shared" si="41"/>
        <v>45597</v>
      </c>
      <c r="L1267" t="str">
        <f>Orders!K1267</f>
        <v>Chennai</v>
      </c>
      <c r="M1267">
        <f>Orders!G1267</f>
        <v>1650</v>
      </c>
      <c r="N1267">
        <f>IFERROR(VLOOKUP(Orders!D1267,Products!$A$2:$D$61,4,FALSE),"")</f>
        <v>1222</v>
      </c>
      <c r="O1267">
        <f t="shared" si="42"/>
        <v>0.2593939393939394</v>
      </c>
      <c r="Q1267" t="str">
        <f>Orders!D1267</f>
        <v>PROD-044</v>
      </c>
    </row>
    <row r="1268" spans="1:17" x14ac:dyDescent="0.3">
      <c r="A1268" t="str">
        <f>Orders!A1268</f>
        <v>ORD-01267</v>
      </c>
      <c r="B1268">
        <f>Orders!B1268</f>
        <v>45650</v>
      </c>
      <c r="C1268">
        <f>Orders!I1268</f>
        <v>15966.72</v>
      </c>
      <c r="D1268" t="str">
        <f>Orders!E1268</f>
        <v>R006</v>
      </c>
      <c r="E1268" t="str">
        <f>IFERROR(VLOOKUP(Orders!D1268,Products!$A$2:$C$61,3,FALSE),"Unknown")</f>
        <v>Electronics</v>
      </c>
      <c r="F1268" t="str">
        <f>IFERROR(VLOOKUP(Orders!C1268,Customers!$A$2:$E$301,5,FALSE),"Unknown")</f>
        <v>Unknown</v>
      </c>
      <c r="G1268" t="str">
        <f>IFERROR(VLOOKUP(Orders!C1268,Customers!$A$2:$C$301,3,FALSE),"")</f>
        <v/>
      </c>
      <c r="H1268" t="str">
        <f>VLOOKUP(D1268,Sales_Reps!$A$2:$C$31,3,FALSE)</f>
        <v>North</v>
      </c>
      <c r="I1268" s="44">
        <f t="shared" si="41"/>
        <v>45627</v>
      </c>
      <c r="L1268" t="str">
        <f>Orders!K1268</f>
        <v>Mumbai</v>
      </c>
      <c r="M1268">
        <f>Orders!G1268</f>
        <v>2640</v>
      </c>
      <c r="N1268">
        <f>IFERROR(VLOOKUP(Orders!D1268,Products!$A$2:$D$61,4,FALSE),"")</f>
        <v>1149</v>
      </c>
      <c r="O1268">
        <f t="shared" si="42"/>
        <v>0.56477272727272732</v>
      </c>
      <c r="Q1268" t="str">
        <f>Orders!D1268</f>
        <v>PROD-010</v>
      </c>
    </row>
    <row r="1269" spans="1:17" x14ac:dyDescent="0.3">
      <c r="A1269" t="str">
        <f>Orders!A1269</f>
        <v>ORD-01268</v>
      </c>
      <c r="B1269">
        <f>Orders!B1269</f>
        <v>45370</v>
      </c>
      <c r="C1269">
        <f>Orders!I1269</f>
        <v>14432.32</v>
      </c>
      <c r="D1269" t="str">
        <f>Orders!E1269</f>
        <v>R013</v>
      </c>
      <c r="E1269" t="str">
        <f>IFERROR(VLOOKUP(Orders!D1269,Products!$A$2:$C$61,3,FALSE),"Unknown")</f>
        <v>Grocery</v>
      </c>
      <c r="F1269" t="str">
        <f>IFERROR(VLOOKUP(Orders!C1269,Customers!$A$2:$E$301,5,FALSE),"Unknown")</f>
        <v>Retail</v>
      </c>
      <c r="G1269">
        <f>IFERROR(VLOOKUP(Orders!C1269,Customers!$A$2:$C$301,3,FALSE),"")</f>
        <v>39</v>
      </c>
      <c r="H1269" t="str">
        <f>VLOOKUP(D1269,Sales_Reps!$A$2:$C$31,3,FALSE)</f>
        <v>South</v>
      </c>
      <c r="I1269" s="44">
        <f t="shared" si="41"/>
        <v>45352</v>
      </c>
      <c r="L1269" t="str">
        <f>Orders!K1269</f>
        <v>Mumbai</v>
      </c>
      <c r="M1269">
        <f>Orders!G1269</f>
        <v>2380</v>
      </c>
      <c r="N1269">
        <f>IFERROR(VLOOKUP(Orders!D1269,Products!$A$2:$D$61,4,FALSE),"")</f>
        <v>1182</v>
      </c>
      <c r="O1269">
        <f t="shared" si="42"/>
        <v>0.50336134453781511</v>
      </c>
      <c r="Q1269" t="str">
        <f>Orders!D1269</f>
        <v>PROD-023</v>
      </c>
    </row>
    <row r="1270" spans="1:17" x14ac:dyDescent="0.3">
      <c r="A1270" t="str">
        <f>Orders!A1270</f>
        <v>ORD-01269</v>
      </c>
      <c r="B1270">
        <f>Orders!B1270</f>
        <v>45373</v>
      </c>
      <c r="C1270">
        <f>Orders!I1270</f>
        <v>21304.400000000001</v>
      </c>
      <c r="D1270" t="str">
        <f>Orders!E1270</f>
        <v>R007</v>
      </c>
      <c r="E1270" t="str">
        <f>IFERROR(VLOOKUP(Orders!D1270,Products!$A$2:$C$61,3,FALSE),"Unknown")</f>
        <v>Grocery</v>
      </c>
      <c r="F1270" t="str">
        <f>IFERROR(VLOOKUP(Orders!C1270,Customers!$A$2:$E$301,5,FALSE),"Unknown")</f>
        <v>SMB</v>
      </c>
      <c r="G1270">
        <f>IFERROR(VLOOKUP(Orders!C1270,Customers!$A$2:$C$301,3,FALSE),"")</f>
        <v>55</v>
      </c>
      <c r="H1270" t="str">
        <f>VLOOKUP(D1270,Sales_Reps!$A$2:$C$31,3,FALSE)</f>
        <v>North</v>
      </c>
      <c r="I1270" s="44">
        <f t="shared" si="41"/>
        <v>45352</v>
      </c>
      <c r="L1270" t="str">
        <f>Orders!K1270</f>
        <v>Delhi</v>
      </c>
      <c r="M1270">
        <f>Orders!G1270</f>
        <v>2210</v>
      </c>
      <c r="N1270">
        <f>IFERROR(VLOOKUP(Orders!D1270,Products!$A$2:$D$61,4,FALSE),"")</f>
        <v>1010</v>
      </c>
      <c r="O1270">
        <f t="shared" si="42"/>
        <v>0.54298642533936647</v>
      </c>
      <c r="Q1270" t="str">
        <f>Orders!D1270</f>
        <v>PROD-029</v>
      </c>
    </row>
    <row r="1271" spans="1:17" x14ac:dyDescent="0.3">
      <c r="A1271" t="str">
        <f>Orders!A1271</f>
        <v>ORD-01270</v>
      </c>
      <c r="B1271">
        <f>Orders!B1271</f>
        <v>45391</v>
      </c>
      <c r="C1271">
        <f>Orders!I1271</f>
        <v>45308.160000000003</v>
      </c>
      <c r="D1271" t="str">
        <f>Orders!E1271</f>
        <v>R018</v>
      </c>
      <c r="E1271" t="str">
        <f>IFERROR(VLOOKUP(Orders!D1271,Products!$A$2:$C$61,3,FALSE),"Unknown")</f>
        <v>Beauty</v>
      </c>
      <c r="F1271" t="str">
        <f>IFERROR(VLOOKUP(Orders!C1271,Customers!$A$2:$E$301,5,FALSE),"Unknown")</f>
        <v>Retail</v>
      </c>
      <c r="G1271">
        <f>IFERROR(VLOOKUP(Orders!C1271,Customers!$A$2:$C$301,3,FALSE),"")</f>
        <v>52</v>
      </c>
      <c r="H1271" t="str">
        <f>VLOOKUP(D1271,Sales_Reps!$A$2:$C$31,3,FALSE)</f>
        <v>East</v>
      </c>
      <c r="I1271" s="44">
        <f t="shared" si="41"/>
        <v>45383</v>
      </c>
      <c r="L1271" t="str">
        <f>Orders!K1271</f>
        <v>Bengaluru</v>
      </c>
      <c r="M1271">
        <f>Orders!G1271</f>
        <v>6080</v>
      </c>
      <c r="N1271">
        <f>IFERROR(VLOOKUP(Orders!D1271,Products!$A$2:$D$61,4,FALSE),"")</f>
        <v>2617</v>
      </c>
      <c r="O1271">
        <f t="shared" si="42"/>
        <v>0.56957236842105263</v>
      </c>
      <c r="Q1271" t="str">
        <f>Orders!D1271</f>
        <v>PROD-050</v>
      </c>
    </row>
    <row r="1272" spans="1:17" x14ac:dyDescent="0.3">
      <c r="A1272" t="str">
        <f>Orders!A1272</f>
        <v>ORD-01271</v>
      </c>
      <c r="B1272">
        <f>Orders!B1272</f>
        <v>45332</v>
      </c>
      <c r="C1272">
        <f>Orders!I1272</f>
        <v>7086.16</v>
      </c>
      <c r="D1272" t="str">
        <f>Orders!E1272</f>
        <v>R022</v>
      </c>
      <c r="E1272" t="str">
        <f>IFERROR(VLOOKUP(Orders!D1272,Products!$A$2:$C$61,3,FALSE),"Unknown")</f>
        <v>Sports</v>
      </c>
      <c r="F1272" t="str">
        <f>IFERROR(VLOOKUP(Orders!C1272,Customers!$A$2:$E$301,5,FALSE),"Unknown")</f>
        <v>Retail</v>
      </c>
      <c r="G1272">
        <f>IFERROR(VLOOKUP(Orders!C1272,Customers!$A$2:$C$301,3,FALSE),"")</f>
        <v>65</v>
      </c>
      <c r="H1272" t="str">
        <f>VLOOKUP(D1272,Sales_Reps!$A$2:$C$31,3,FALSE)</f>
        <v>East</v>
      </c>
      <c r="I1272" s="44">
        <f t="shared" si="41"/>
        <v>45323</v>
      </c>
      <c r="L1272" t="str">
        <f>Orders!K1272</f>
        <v>Hyderabad</v>
      </c>
      <c r="M1272">
        <f>Orders!G1272</f>
        <v>1010</v>
      </c>
      <c r="N1272">
        <f>IFERROR(VLOOKUP(Orders!D1272,Products!$A$2:$D$61,4,FALSE),"")</f>
        <v>516</v>
      </c>
      <c r="O1272">
        <f t="shared" si="42"/>
        <v>0.4891089108910891</v>
      </c>
      <c r="Q1272" t="str">
        <f>Orders!D1272</f>
        <v>PROD-054</v>
      </c>
    </row>
    <row r="1273" spans="1:17" x14ac:dyDescent="0.3">
      <c r="A1273" t="str">
        <f>Orders!A1273</f>
        <v>ORD-01272</v>
      </c>
      <c r="B1273">
        <f>Orders!B1273</f>
        <v>45582</v>
      </c>
      <c r="C1273">
        <f>Orders!I1273</f>
        <v>26820.48</v>
      </c>
      <c r="D1273" t="str">
        <f>Orders!E1273</f>
        <v>R011</v>
      </c>
      <c r="E1273" t="str">
        <f>IFERROR(VLOOKUP(Orders!D1273,Products!$A$2:$C$61,3,FALSE),"Unknown")</f>
        <v>Grocery</v>
      </c>
      <c r="F1273" t="str">
        <f>IFERROR(VLOOKUP(Orders!C1273,Customers!$A$2:$E$301,5,FALSE),"Unknown")</f>
        <v>Retail</v>
      </c>
      <c r="G1273">
        <f>IFERROR(VLOOKUP(Orders!C1273,Customers!$A$2:$C$301,3,FALSE),"")</f>
        <v>65</v>
      </c>
      <c r="H1273" t="str">
        <f>VLOOKUP(D1273,Sales_Reps!$A$2:$C$31,3,FALSE)</f>
        <v>South</v>
      </c>
      <c r="I1273" s="44">
        <f t="shared" si="41"/>
        <v>45566</v>
      </c>
      <c r="L1273" t="str">
        <f>Orders!K1273</f>
        <v>Pune</v>
      </c>
      <c r="M1273">
        <f>Orders!G1273</f>
        <v>3660</v>
      </c>
      <c r="N1273">
        <f>IFERROR(VLOOKUP(Orders!D1273,Products!$A$2:$D$61,4,FALSE),"")</f>
        <v>2214</v>
      </c>
      <c r="O1273">
        <f t="shared" si="42"/>
        <v>0.39508196721311473</v>
      </c>
      <c r="Q1273" t="str">
        <f>Orders!D1273</f>
        <v>PROD-028</v>
      </c>
    </row>
    <row r="1274" spans="1:17" x14ac:dyDescent="0.3">
      <c r="A1274" t="str">
        <f>Orders!A1274</f>
        <v>ORD-01273</v>
      </c>
      <c r="B1274">
        <f>Orders!B1274</f>
        <v>45443</v>
      </c>
      <c r="C1274">
        <f>Orders!I1274</f>
        <v>31200.48</v>
      </c>
      <c r="D1274" t="str">
        <f>Orders!E1274</f>
        <v>R029</v>
      </c>
      <c r="E1274" t="str">
        <f>IFERROR(VLOOKUP(Orders!D1274,Products!$A$2:$C$61,3,FALSE),"Unknown")</f>
        <v>Home</v>
      </c>
      <c r="F1274" t="str">
        <f>IFERROR(VLOOKUP(Orders!C1274,Customers!$A$2:$E$301,5,FALSE),"Unknown")</f>
        <v>SMB</v>
      </c>
      <c r="G1274">
        <f>IFERROR(VLOOKUP(Orders!C1274,Customers!$A$2:$C$301,3,FALSE),"")</f>
        <v>49</v>
      </c>
      <c r="H1274" t="str">
        <f>VLOOKUP(D1274,Sales_Reps!$A$2:$C$31,3,FALSE)</f>
        <v>West</v>
      </c>
      <c r="I1274" s="44">
        <f t="shared" si="41"/>
        <v>45413</v>
      </c>
      <c r="L1274" t="str">
        <f>Orders!K1274</f>
        <v>Bengaluru</v>
      </c>
      <c r="M1274">
        <f>Orders!G1274</f>
        <v>4610</v>
      </c>
      <c r="N1274">
        <f>IFERROR(VLOOKUP(Orders!D1274,Products!$A$2:$D$61,4,FALSE),"")</f>
        <v>1850</v>
      </c>
      <c r="O1274">
        <f t="shared" si="42"/>
        <v>0.59869848156182215</v>
      </c>
      <c r="Q1274" t="str">
        <f>Orders!D1274</f>
        <v>PROD-039</v>
      </c>
    </row>
    <row r="1275" spans="1:17" x14ac:dyDescent="0.3">
      <c r="A1275" t="str">
        <f>Orders!A1275</f>
        <v>ORD-01274</v>
      </c>
      <c r="B1275">
        <f>Orders!B1275</f>
        <v>45525</v>
      </c>
      <c r="C1275">
        <f>Orders!I1275</f>
        <v>34333.199999999997</v>
      </c>
      <c r="D1275" t="str">
        <f>Orders!E1275</f>
        <v>R006</v>
      </c>
      <c r="E1275" t="str">
        <f>IFERROR(VLOOKUP(Orders!D1275,Products!$A$2:$C$61,3,FALSE),"Unknown")</f>
        <v>Beauty</v>
      </c>
      <c r="F1275" t="str">
        <f>IFERROR(VLOOKUP(Orders!C1275,Customers!$A$2:$E$301,5,FALSE),"Unknown")</f>
        <v>SMB</v>
      </c>
      <c r="G1275">
        <f>IFERROR(VLOOKUP(Orders!C1275,Customers!$A$2:$C$301,3,FALSE),"")</f>
        <v>49</v>
      </c>
      <c r="H1275" t="str">
        <f>VLOOKUP(D1275,Sales_Reps!$A$2:$C$31,3,FALSE)</f>
        <v>North</v>
      </c>
      <c r="I1275" s="44">
        <f t="shared" si="41"/>
        <v>45505</v>
      </c>
      <c r="L1275" t="str">
        <f>Orders!K1275</f>
        <v>Bengaluru</v>
      </c>
      <c r="M1275">
        <f>Orders!G1275</f>
        <v>5100</v>
      </c>
      <c r="N1275">
        <f>IFERROR(VLOOKUP(Orders!D1275,Products!$A$2:$D$61,4,FALSE),"")</f>
        <v>2237</v>
      </c>
      <c r="O1275">
        <f t="shared" si="42"/>
        <v>0.56137254901960787</v>
      </c>
      <c r="Q1275" t="str">
        <f>Orders!D1275</f>
        <v>PROD-048</v>
      </c>
    </row>
    <row r="1276" spans="1:17" x14ac:dyDescent="0.3">
      <c r="A1276" t="str">
        <f>Orders!A1276</f>
        <v>ORD-01275</v>
      </c>
      <c r="B1276">
        <f>Orders!B1276</f>
        <v>45377</v>
      </c>
      <c r="C1276">
        <f>Orders!I1276</f>
        <v>11627</v>
      </c>
      <c r="D1276" t="str">
        <f>Orders!E1276</f>
        <v>R019</v>
      </c>
      <c r="E1276" t="str">
        <f>IFERROR(VLOOKUP(Orders!D1276,Products!$A$2:$C$61,3,FALSE),"Unknown")</f>
        <v>Beauty</v>
      </c>
      <c r="F1276" t="str">
        <f>IFERROR(VLOOKUP(Orders!C1276,Customers!$A$2:$E$301,5,FALSE),"Unknown")</f>
        <v>Retail</v>
      </c>
      <c r="G1276">
        <f>IFERROR(VLOOKUP(Orders!C1276,Customers!$A$2:$C$301,3,FALSE),"")</f>
        <v>59</v>
      </c>
      <c r="H1276" t="str">
        <f>VLOOKUP(D1276,Sales_Reps!$A$2:$C$31,3,FALSE)</f>
        <v>East</v>
      </c>
      <c r="I1276" s="44">
        <f t="shared" si="41"/>
        <v>45352</v>
      </c>
      <c r="L1276" t="str">
        <f>Orders!K1276</f>
        <v>Bengaluru</v>
      </c>
      <c r="M1276">
        <f>Orders!G1276</f>
        <v>3020</v>
      </c>
      <c r="N1276">
        <f>IFERROR(VLOOKUP(Orders!D1276,Products!$A$2:$D$61,4,FALSE),"")</f>
        <v>1626</v>
      </c>
      <c r="O1276">
        <f t="shared" si="42"/>
        <v>0.46158940397350995</v>
      </c>
      <c r="Q1276" t="str">
        <f>Orders!D1276</f>
        <v>PROD-045</v>
      </c>
    </row>
    <row r="1277" spans="1:17" x14ac:dyDescent="0.3">
      <c r="A1277" t="str">
        <f>Orders!A1277</f>
        <v>ORD-01276</v>
      </c>
      <c r="B1277">
        <f>Orders!B1277</f>
        <v>45413</v>
      </c>
      <c r="C1277">
        <f>Orders!I1277</f>
        <v>25068.959999999999</v>
      </c>
      <c r="D1277" t="str">
        <f>Orders!E1277</f>
        <v>R015</v>
      </c>
      <c r="E1277" t="str">
        <f>IFERROR(VLOOKUP(Orders!D1277,Products!$A$2:$C$61,3,FALSE),"Unknown")</f>
        <v>Sports</v>
      </c>
      <c r="F1277" t="str">
        <f>IFERROR(VLOOKUP(Orders!C1277,Customers!$A$2:$E$301,5,FALSE),"Unknown")</f>
        <v>Retail</v>
      </c>
      <c r="G1277">
        <f>IFERROR(VLOOKUP(Orders!C1277,Customers!$A$2:$C$301,3,FALSE),"")</f>
        <v>52</v>
      </c>
      <c r="H1277" t="str">
        <f>VLOOKUP(D1277,Sales_Reps!$A$2:$C$31,3,FALSE)</f>
        <v>South</v>
      </c>
      <c r="I1277" s="44">
        <f t="shared" si="41"/>
        <v>45413</v>
      </c>
      <c r="L1277" t="str">
        <f>Orders!K1277</f>
        <v>Mumbai</v>
      </c>
      <c r="M1277">
        <f>Orders!G1277</f>
        <v>3780</v>
      </c>
      <c r="N1277">
        <f>IFERROR(VLOOKUP(Orders!D1277,Products!$A$2:$D$61,4,FALSE),"")</f>
        <v>1860</v>
      </c>
      <c r="O1277">
        <f t="shared" si="42"/>
        <v>0.50793650793650791</v>
      </c>
      <c r="Q1277" t="str">
        <f>Orders!D1277</f>
        <v>PROD-059</v>
      </c>
    </row>
    <row r="1278" spans="1:17" x14ac:dyDescent="0.3">
      <c r="A1278" t="str">
        <f>Orders!A1278</f>
        <v>ORD-01277</v>
      </c>
      <c r="B1278">
        <f>Orders!B1278</f>
        <v>45437</v>
      </c>
      <c r="C1278">
        <f>Orders!I1278</f>
        <v>20221.5</v>
      </c>
      <c r="D1278" t="str">
        <f>Orders!E1278</f>
        <v>R001</v>
      </c>
      <c r="E1278" t="str">
        <f>IFERROR(VLOOKUP(Orders!D1278,Products!$A$2:$C$61,3,FALSE),"Unknown")</f>
        <v>Grocery</v>
      </c>
      <c r="F1278" t="str">
        <f>IFERROR(VLOOKUP(Orders!C1278,Customers!$A$2:$E$301,5,FALSE),"Unknown")</f>
        <v>Corporate</v>
      </c>
      <c r="G1278">
        <f>IFERROR(VLOOKUP(Orders!C1278,Customers!$A$2:$C$301,3,FALSE),"")</f>
        <v>47</v>
      </c>
      <c r="H1278" t="str">
        <f>VLOOKUP(D1278,Sales_Reps!$A$2:$C$31,3,FALSE)</f>
        <v>North</v>
      </c>
      <c r="I1278" s="44">
        <f t="shared" si="41"/>
        <v>45413</v>
      </c>
      <c r="L1278" t="str">
        <f>Orders!K1278</f>
        <v>Pune</v>
      </c>
      <c r="M1278">
        <f>Orders!G1278</f>
        <v>2210</v>
      </c>
      <c r="N1278">
        <f>IFERROR(VLOOKUP(Orders!D1278,Products!$A$2:$D$61,4,FALSE),"")</f>
        <v>1010</v>
      </c>
      <c r="O1278">
        <f t="shared" si="42"/>
        <v>0.54298642533936647</v>
      </c>
      <c r="Q1278" t="str">
        <f>Orders!D1278</f>
        <v>PROD-029</v>
      </c>
    </row>
    <row r="1279" spans="1:17" x14ac:dyDescent="0.3">
      <c r="A1279" t="str">
        <f>Orders!A1279</f>
        <v>ORD-01278</v>
      </c>
      <c r="B1279">
        <f>Orders!B1279</f>
        <v>45604</v>
      </c>
      <c r="C1279">
        <f>Orders!I1279</f>
        <v>8565.9599999999991</v>
      </c>
      <c r="D1279" t="str">
        <f>Orders!E1279</f>
        <v>R015</v>
      </c>
      <c r="E1279" t="str">
        <f>IFERROR(VLOOKUP(Orders!D1279,Products!$A$2:$C$61,3,FALSE),"Unknown")</f>
        <v>Grocery</v>
      </c>
      <c r="F1279" t="str">
        <f>IFERROR(VLOOKUP(Orders!C1279,Customers!$A$2:$E$301,5,FALSE),"Unknown")</f>
        <v>Retail</v>
      </c>
      <c r="G1279">
        <f>IFERROR(VLOOKUP(Orders!C1279,Customers!$A$2:$C$301,3,FALSE),"")</f>
        <v>42</v>
      </c>
      <c r="H1279" t="str">
        <f>VLOOKUP(D1279,Sales_Reps!$A$2:$C$31,3,FALSE)</f>
        <v>South</v>
      </c>
      <c r="I1279" s="44">
        <f t="shared" si="41"/>
        <v>45597</v>
      </c>
      <c r="L1279" t="str">
        <f>Orders!K1279</f>
        <v>Pune</v>
      </c>
      <c r="M1279">
        <f>Orders!G1279</f>
        <v>2210</v>
      </c>
      <c r="N1279">
        <f>IFERROR(VLOOKUP(Orders!D1279,Products!$A$2:$D$61,4,FALSE),"")</f>
        <v>1010</v>
      </c>
      <c r="O1279">
        <f t="shared" si="42"/>
        <v>0.54298642533936647</v>
      </c>
      <c r="Q1279" t="str">
        <f>Orders!D1279</f>
        <v>PROD-029</v>
      </c>
    </row>
    <row r="1280" spans="1:17" x14ac:dyDescent="0.3">
      <c r="A1280" t="str">
        <f>Orders!A1280</f>
        <v>ORD-01279</v>
      </c>
      <c r="B1280">
        <f>Orders!B1280</f>
        <v>45540</v>
      </c>
      <c r="C1280">
        <f>Orders!I1280</f>
        <v>1485</v>
      </c>
      <c r="D1280" t="str">
        <f>Orders!E1280</f>
        <v>R015</v>
      </c>
      <c r="E1280" t="str">
        <f>IFERROR(VLOOKUP(Orders!D1280,Products!$A$2:$C$61,3,FALSE),"Unknown")</f>
        <v>Beauty</v>
      </c>
      <c r="F1280" t="str">
        <f>IFERROR(VLOOKUP(Orders!C1280,Customers!$A$2:$E$301,5,FALSE),"Unknown")</f>
        <v>Corporate</v>
      </c>
      <c r="G1280">
        <f>IFERROR(VLOOKUP(Orders!C1280,Customers!$A$2:$C$301,3,FALSE),"")</f>
        <v>37</v>
      </c>
      <c r="H1280" t="str">
        <f>VLOOKUP(D1280,Sales_Reps!$A$2:$C$31,3,FALSE)</f>
        <v>South</v>
      </c>
      <c r="I1280" s="44">
        <f t="shared" si="41"/>
        <v>45536</v>
      </c>
      <c r="L1280" t="str">
        <f>Orders!K1280</f>
        <v>Pune</v>
      </c>
      <c r="M1280">
        <f>Orders!G1280</f>
        <v>1650</v>
      </c>
      <c r="N1280">
        <f>IFERROR(VLOOKUP(Orders!D1280,Products!$A$2:$D$61,4,FALSE),"")</f>
        <v>1222</v>
      </c>
      <c r="O1280">
        <f t="shared" si="42"/>
        <v>0.2593939393939394</v>
      </c>
      <c r="Q1280" t="str">
        <f>Orders!D1280</f>
        <v>PROD-044</v>
      </c>
    </row>
    <row r="1281" spans="1:17" x14ac:dyDescent="0.3">
      <c r="A1281" t="str">
        <f>Orders!A1281</f>
        <v>ORD-01280</v>
      </c>
      <c r="B1281">
        <f>Orders!B1281</f>
        <v>45597</v>
      </c>
      <c r="C1281">
        <f>Orders!I1281</f>
        <v>1100.0999999999999</v>
      </c>
      <c r="D1281" t="str">
        <f>Orders!E1281</f>
        <v>R005</v>
      </c>
      <c r="E1281" t="str">
        <f>IFERROR(VLOOKUP(Orders!D1281,Products!$A$2:$C$61,3,FALSE),"Unknown")</f>
        <v>Sports</v>
      </c>
      <c r="F1281" t="str">
        <f>IFERROR(VLOOKUP(Orders!C1281,Customers!$A$2:$E$301,5,FALSE),"Unknown")</f>
        <v>Retail</v>
      </c>
      <c r="G1281">
        <f>IFERROR(VLOOKUP(Orders!C1281,Customers!$A$2:$C$301,3,FALSE),"")</f>
        <v>61</v>
      </c>
      <c r="H1281" t="str">
        <f>VLOOKUP(D1281,Sales_Reps!$A$2:$C$31,3,FALSE)</f>
        <v>North</v>
      </c>
      <c r="I1281" s="44">
        <f t="shared" si="41"/>
        <v>45597</v>
      </c>
      <c r="L1281" t="str">
        <f>Orders!K1281</f>
        <v>Mumbai</v>
      </c>
      <c r="M1281">
        <f>Orders!G1281</f>
        <v>190</v>
      </c>
      <c r="N1281">
        <f>IFERROR(VLOOKUP(Orders!D1281,Products!$A$2:$D$61,4,FALSE),"")</f>
        <v>147</v>
      </c>
      <c r="O1281">
        <f t="shared" si="42"/>
        <v>0.22631578947368422</v>
      </c>
      <c r="Q1281" t="str">
        <f>Orders!D1281</f>
        <v>PROD-060</v>
      </c>
    </row>
    <row r="1282" spans="1:17" x14ac:dyDescent="0.3">
      <c r="A1282" t="str">
        <f>Orders!A1282</f>
        <v>ORD-01281</v>
      </c>
      <c r="B1282">
        <f>Orders!B1282</f>
        <v>45589</v>
      </c>
      <c r="C1282">
        <f>Orders!I1282</f>
        <v>19516.64</v>
      </c>
      <c r="D1282" t="str">
        <f>Orders!E1282</f>
        <v>R027</v>
      </c>
      <c r="E1282" t="str">
        <f>IFERROR(VLOOKUP(Orders!D1282,Products!$A$2:$C$61,3,FALSE),"Unknown")</f>
        <v>Sports</v>
      </c>
      <c r="F1282" t="str">
        <f>IFERROR(VLOOKUP(Orders!C1282,Customers!$A$2:$E$301,5,FALSE),"Unknown")</f>
        <v>SMB</v>
      </c>
      <c r="G1282">
        <f>IFERROR(VLOOKUP(Orders!C1282,Customers!$A$2:$C$301,3,FALSE),"")</f>
        <v>28</v>
      </c>
      <c r="H1282" t="str">
        <f>VLOOKUP(D1282,Sales_Reps!$A$2:$C$31,3,FALSE)</f>
        <v>West</v>
      </c>
      <c r="I1282" s="44">
        <f t="shared" si="41"/>
        <v>45566</v>
      </c>
      <c r="L1282" t="str">
        <f>Orders!K1282</f>
        <v>Bengaluru</v>
      </c>
      <c r="M1282">
        <f>Orders!G1282</f>
        <v>2860</v>
      </c>
      <c r="N1282">
        <f>IFERROR(VLOOKUP(Orders!D1282,Products!$A$2:$D$61,4,FALSE),"")</f>
        <v>2028</v>
      </c>
      <c r="O1282">
        <f t="shared" si="42"/>
        <v>0.29090909090909089</v>
      </c>
      <c r="Q1282" t="str">
        <f>Orders!D1282</f>
        <v>PROD-055</v>
      </c>
    </row>
    <row r="1283" spans="1:17" x14ac:dyDescent="0.3">
      <c r="A1283" t="str">
        <f>Orders!A1283</f>
        <v>ORD-01282</v>
      </c>
      <c r="B1283">
        <f>Orders!B1283</f>
        <v>45448</v>
      </c>
      <c r="C1283">
        <f>Orders!I1283</f>
        <v>2173.5</v>
      </c>
      <c r="D1283" t="str">
        <f>Orders!E1283</f>
        <v>R030</v>
      </c>
      <c r="E1283" t="str">
        <f>IFERROR(VLOOKUP(Orders!D1283,Products!$A$2:$C$61,3,FALSE),"Unknown")</f>
        <v>Electronics</v>
      </c>
      <c r="F1283" t="str">
        <f>IFERROR(VLOOKUP(Orders!C1283,Customers!$A$2:$E$301,5,FALSE),"Unknown")</f>
        <v>SMB</v>
      </c>
      <c r="G1283">
        <f>IFERROR(VLOOKUP(Orders!C1283,Customers!$A$2:$C$301,3,FALSE),"")</f>
        <v>50</v>
      </c>
      <c r="H1283" t="str">
        <f>VLOOKUP(D1283,Sales_Reps!$A$2:$C$31,3,FALSE)</f>
        <v>West</v>
      </c>
      <c r="I1283" s="44">
        <f t="shared" ref="I1283:I1346" si="43">DATE(YEAR(B1283),MONTH(B1283),1)</f>
        <v>45444</v>
      </c>
      <c r="L1283" t="str">
        <f>Orders!K1283</f>
        <v>Delhi</v>
      </c>
      <c r="M1283">
        <f>Orders!G1283</f>
        <v>300</v>
      </c>
      <c r="N1283">
        <f>IFERROR(VLOOKUP(Orders!D1283,Products!$A$2:$D$61,4,FALSE),"")</f>
        <v>128</v>
      </c>
      <c r="O1283">
        <f t="shared" ref="O1283:O1346" si="44">IF(OR(N1283="",M1283&lt;=0),"",(M1283-N1283)/M1283)</f>
        <v>0.57333333333333336</v>
      </c>
      <c r="Q1283" t="str">
        <f>Orders!D1283</f>
        <v>PROD-005</v>
      </c>
    </row>
    <row r="1284" spans="1:17" x14ac:dyDescent="0.3">
      <c r="A1284" t="str">
        <f>Orders!A1284</f>
        <v>ORD-01283</v>
      </c>
      <c r="B1284">
        <f>Orders!B1284</f>
        <v>45608</v>
      </c>
      <c r="C1284">
        <f>Orders!I1284</f>
        <v>8668.7999999999993</v>
      </c>
      <c r="D1284" t="str">
        <f>Orders!E1284</f>
        <v>R007</v>
      </c>
      <c r="E1284" t="str">
        <f>IFERROR(VLOOKUP(Orders!D1284,Products!$A$2:$C$61,3,FALSE),"Unknown")</f>
        <v>Beauty</v>
      </c>
      <c r="F1284" t="str">
        <f>IFERROR(VLOOKUP(Orders!C1284,Customers!$A$2:$E$301,5,FALSE),"Unknown")</f>
        <v>Retail</v>
      </c>
      <c r="G1284">
        <f>IFERROR(VLOOKUP(Orders!C1284,Customers!$A$2:$C$301,3,FALSE),"")</f>
        <v>40</v>
      </c>
      <c r="H1284" t="str">
        <f>VLOOKUP(D1284,Sales_Reps!$A$2:$C$31,3,FALSE)</f>
        <v>North</v>
      </c>
      <c r="I1284" s="44">
        <f t="shared" si="43"/>
        <v>45597</v>
      </c>
      <c r="L1284" t="str">
        <f>Orders!K1284</f>
        <v>Mumbai</v>
      </c>
      <c r="M1284">
        <f>Orders!G1284</f>
        <v>960</v>
      </c>
      <c r="N1284">
        <f>IFERROR(VLOOKUP(Orders!D1284,Products!$A$2:$D$61,4,FALSE),"")</f>
        <v>675</v>
      </c>
      <c r="O1284">
        <f t="shared" si="44"/>
        <v>0.296875</v>
      </c>
      <c r="Q1284" t="str">
        <f>Orders!D1284</f>
        <v>PROD-049</v>
      </c>
    </row>
    <row r="1285" spans="1:17" x14ac:dyDescent="0.3">
      <c r="A1285" t="str">
        <f>Orders!A1285</f>
        <v>ORD-01284</v>
      </c>
      <c r="B1285">
        <f>Orders!B1285</f>
        <v>45421</v>
      </c>
      <c r="C1285">
        <f>Orders!I1285</f>
        <v>4079.5</v>
      </c>
      <c r="D1285" t="str">
        <f>Orders!E1285</f>
        <v>R013</v>
      </c>
      <c r="E1285" t="str">
        <f>IFERROR(VLOOKUP(Orders!D1285,Products!$A$2:$C$61,3,FALSE),"Unknown")</f>
        <v>Apparel</v>
      </c>
      <c r="F1285" t="str">
        <f>IFERROR(VLOOKUP(Orders!C1285,Customers!$A$2:$E$301,5,FALSE),"Unknown")</f>
        <v>Retail</v>
      </c>
      <c r="G1285">
        <f>IFERROR(VLOOKUP(Orders!C1285,Customers!$A$2:$C$301,3,FALSE),"")</f>
        <v>54</v>
      </c>
      <c r="H1285" t="str">
        <f>VLOOKUP(D1285,Sales_Reps!$A$2:$C$31,3,FALSE)</f>
        <v>South</v>
      </c>
      <c r="I1285" s="44">
        <f t="shared" si="43"/>
        <v>45413</v>
      </c>
      <c r="L1285" t="str">
        <f>Orders!K1285</f>
        <v>Pune</v>
      </c>
      <c r="M1285">
        <f>Orders!G1285</f>
        <v>820</v>
      </c>
      <c r="N1285">
        <f>IFERROR(VLOOKUP(Orders!D1285,Products!$A$2:$D$61,4,FALSE),"")</f>
        <v>391</v>
      </c>
      <c r="O1285">
        <f t="shared" si="44"/>
        <v>0.52317073170731709</v>
      </c>
      <c r="Q1285" t="str">
        <f>Orders!D1285</f>
        <v>PROD-020</v>
      </c>
    </row>
    <row r="1286" spans="1:17" x14ac:dyDescent="0.3">
      <c r="A1286" t="str">
        <f>Orders!A1286</f>
        <v>ORD-01285</v>
      </c>
      <c r="B1286">
        <f>Orders!B1286</f>
        <v>45383</v>
      </c>
      <c r="C1286">
        <f>Orders!I1286</f>
        <v>662.3</v>
      </c>
      <c r="D1286" t="str">
        <f>Orders!E1286</f>
        <v>R004</v>
      </c>
      <c r="E1286" t="str">
        <f>IFERROR(VLOOKUP(Orders!D1286,Products!$A$2:$C$61,3,FALSE),"Unknown")</f>
        <v>Home</v>
      </c>
      <c r="F1286" t="str">
        <f>IFERROR(VLOOKUP(Orders!C1286,Customers!$A$2:$E$301,5,FALSE),"Unknown")</f>
        <v>Retail</v>
      </c>
      <c r="G1286">
        <f>IFERROR(VLOOKUP(Orders!C1286,Customers!$A$2:$C$301,3,FALSE),"")</f>
        <v>28</v>
      </c>
      <c r="H1286" t="str">
        <f>VLOOKUP(D1286,Sales_Reps!$A$2:$C$31,3,FALSE)</f>
        <v>North</v>
      </c>
      <c r="I1286" s="44">
        <f t="shared" si="43"/>
        <v>45383</v>
      </c>
      <c r="L1286" t="str">
        <f>Orders!K1286</f>
        <v>Chennai</v>
      </c>
      <c r="M1286">
        <f>Orders!G1286</f>
        <v>370</v>
      </c>
      <c r="N1286">
        <f>IFERROR(VLOOKUP(Orders!D1286,Products!$A$2:$D$61,4,FALSE),"")</f>
        <v>288</v>
      </c>
      <c r="O1286">
        <f t="shared" si="44"/>
        <v>0.22162162162162163</v>
      </c>
      <c r="Q1286" t="str">
        <f>Orders!D1286</f>
        <v>PROD-032</v>
      </c>
    </row>
    <row r="1287" spans="1:17" x14ac:dyDescent="0.3">
      <c r="A1287" t="str">
        <f>Orders!A1287</f>
        <v>ORD-01286</v>
      </c>
      <c r="B1287">
        <f>Orders!B1287</f>
        <v>45453</v>
      </c>
      <c r="C1287">
        <f>Orders!I1287</f>
        <v>42393.78</v>
      </c>
      <c r="D1287" t="str">
        <f>Orders!E1287</f>
        <v>R023</v>
      </c>
      <c r="E1287" t="str">
        <f>IFERROR(VLOOKUP(Orders!D1287,Products!$A$2:$C$61,3,FALSE),"Unknown")</f>
        <v>Home</v>
      </c>
      <c r="F1287" t="str">
        <f>IFERROR(VLOOKUP(Orders!C1287,Customers!$A$2:$E$301,5,FALSE),"Unknown")</f>
        <v>Retail</v>
      </c>
      <c r="G1287">
        <f>IFERROR(VLOOKUP(Orders!C1287,Customers!$A$2:$C$301,3,FALSE),"")</f>
        <v>35</v>
      </c>
      <c r="H1287" t="str">
        <f>VLOOKUP(D1287,Sales_Reps!$A$2:$C$31,3,FALSE)</f>
        <v>East</v>
      </c>
      <c r="I1287" s="44">
        <f t="shared" si="43"/>
        <v>45444</v>
      </c>
      <c r="L1287" t="str">
        <f>Orders!K1287</f>
        <v>Mumbai</v>
      </c>
      <c r="M1287">
        <f>Orders!G1287</f>
        <v>5490</v>
      </c>
      <c r="N1287">
        <f>IFERROR(VLOOKUP(Orders!D1287,Products!$A$2:$D$61,4,FALSE),"")</f>
        <v>2549</v>
      </c>
      <c r="O1287">
        <f t="shared" si="44"/>
        <v>0.53570127504553733</v>
      </c>
      <c r="Q1287" t="str">
        <f>Orders!D1287</f>
        <v>PROD-038</v>
      </c>
    </row>
    <row r="1288" spans="1:17" x14ac:dyDescent="0.3">
      <c r="A1288" t="str">
        <f>Orders!A1288</f>
        <v>ORD-01287</v>
      </c>
      <c r="B1288">
        <f>Orders!B1288</f>
        <v>45398</v>
      </c>
      <c r="C1288">
        <f>Orders!I1288</f>
        <v>905.76</v>
      </c>
      <c r="D1288" t="str">
        <f>Orders!E1288</f>
        <v>R018</v>
      </c>
      <c r="E1288" t="str">
        <f>IFERROR(VLOOKUP(Orders!D1288,Products!$A$2:$C$61,3,FALSE),"Unknown")</f>
        <v>Home</v>
      </c>
      <c r="F1288" t="str">
        <f>IFERROR(VLOOKUP(Orders!C1288,Customers!$A$2:$E$301,5,FALSE),"Unknown")</f>
        <v>SMB</v>
      </c>
      <c r="G1288">
        <f>IFERROR(VLOOKUP(Orders!C1288,Customers!$A$2:$C$301,3,FALSE),"")</f>
        <v>28</v>
      </c>
      <c r="H1288" t="str">
        <f>VLOOKUP(D1288,Sales_Reps!$A$2:$C$31,3,FALSE)</f>
        <v>East</v>
      </c>
      <c r="I1288" s="44">
        <f t="shared" si="43"/>
        <v>45383</v>
      </c>
      <c r="L1288" t="str">
        <f>Orders!K1288</f>
        <v>Hyderabad</v>
      </c>
      <c r="M1288">
        <f>Orders!G1288</f>
        <v>370</v>
      </c>
      <c r="N1288">
        <f>IFERROR(VLOOKUP(Orders!D1288,Products!$A$2:$D$61,4,FALSE),"")</f>
        <v>288</v>
      </c>
      <c r="O1288">
        <f t="shared" si="44"/>
        <v>0.22162162162162163</v>
      </c>
      <c r="Q1288" t="str">
        <f>Orders!D1288</f>
        <v>PROD-032</v>
      </c>
    </row>
    <row r="1289" spans="1:17" x14ac:dyDescent="0.3">
      <c r="A1289" t="str">
        <f>Orders!A1289</f>
        <v>ORD-01288</v>
      </c>
      <c r="B1289">
        <f>Orders!B1289</f>
        <v>45584</v>
      </c>
      <c r="C1289">
        <f>Orders!I1289</f>
        <v>992.94</v>
      </c>
      <c r="D1289" t="str">
        <f>Orders!E1289</f>
        <v>R018</v>
      </c>
      <c r="E1289" t="str">
        <f>IFERROR(VLOOKUP(Orders!D1289,Products!$A$2:$C$61,3,FALSE),"Unknown")</f>
        <v>Sports</v>
      </c>
      <c r="F1289" t="str">
        <f>IFERROR(VLOOKUP(Orders!C1289,Customers!$A$2:$E$301,5,FALSE),"Unknown")</f>
        <v>SMB</v>
      </c>
      <c r="G1289">
        <f>IFERROR(VLOOKUP(Orders!C1289,Customers!$A$2:$C$301,3,FALSE),"")</f>
        <v>48</v>
      </c>
      <c r="H1289" t="str">
        <f>VLOOKUP(D1289,Sales_Reps!$A$2:$C$31,3,FALSE)</f>
        <v>East</v>
      </c>
      <c r="I1289" s="44">
        <f t="shared" si="43"/>
        <v>45566</v>
      </c>
      <c r="L1289" t="str">
        <f>Orders!K1289</f>
        <v>Delhi</v>
      </c>
      <c r="M1289">
        <f>Orders!G1289</f>
        <v>190</v>
      </c>
      <c r="N1289">
        <f>IFERROR(VLOOKUP(Orders!D1289,Products!$A$2:$D$61,4,FALSE),"")</f>
        <v>147</v>
      </c>
      <c r="O1289">
        <f t="shared" si="44"/>
        <v>0.22631578947368422</v>
      </c>
      <c r="Q1289" t="str">
        <f>Orders!D1289</f>
        <v>PROD-060</v>
      </c>
    </row>
    <row r="1290" spans="1:17" x14ac:dyDescent="0.3">
      <c r="A1290" t="str">
        <f>Orders!A1290</f>
        <v>ORD-01289</v>
      </c>
      <c r="B1290">
        <f>Orders!B1290</f>
        <v>45397</v>
      </c>
      <c r="C1290">
        <f>Orders!I1290</f>
        <v>15947.36</v>
      </c>
      <c r="D1290" t="str">
        <f>Orders!E1290</f>
        <v>R023</v>
      </c>
      <c r="E1290" t="str">
        <f>IFERROR(VLOOKUP(Orders!D1290,Products!$A$2:$C$61,3,FALSE),"Unknown")</f>
        <v>Grocery</v>
      </c>
      <c r="F1290" t="str">
        <f>IFERROR(VLOOKUP(Orders!C1290,Customers!$A$2:$E$301,5,FALSE),"Unknown")</f>
        <v>SMB</v>
      </c>
      <c r="G1290">
        <f>IFERROR(VLOOKUP(Orders!C1290,Customers!$A$2:$C$301,3,FALSE),"")</f>
        <v>44</v>
      </c>
      <c r="H1290" t="str">
        <f>VLOOKUP(D1290,Sales_Reps!$A$2:$C$31,3,FALSE)</f>
        <v>East</v>
      </c>
      <c r="I1290" s="44">
        <f t="shared" si="43"/>
        <v>45383</v>
      </c>
      <c r="L1290" t="str">
        <f>Orders!K1290</f>
        <v>Bengaluru</v>
      </c>
      <c r="M1290">
        <f>Orders!G1290</f>
        <v>2210</v>
      </c>
      <c r="N1290">
        <f>IFERROR(VLOOKUP(Orders!D1290,Products!$A$2:$D$61,4,FALSE),"")</f>
        <v>1010</v>
      </c>
      <c r="O1290">
        <f t="shared" si="44"/>
        <v>0.54298642533936647</v>
      </c>
      <c r="Q1290" t="str">
        <f>Orders!D1290</f>
        <v>PROD-029</v>
      </c>
    </row>
    <row r="1291" spans="1:17" x14ac:dyDescent="0.3">
      <c r="A1291" t="str">
        <f>Orders!A1291</f>
        <v>ORD-01290</v>
      </c>
      <c r="B1291">
        <f>Orders!B1291</f>
        <v>45453</v>
      </c>
      <c r="C1291">
        <f>Orders!I1291</f>
        <v>10579.8</v>
      </c>
      <c r="D1291" t="str">
        <f>Orders!E1291</f>
        <v>R009</v>
      </c>
      <c r="E1291" t="str">
        <f>IFERROR(VLOOKUP(Orders!D1291,Products!$A$2:$C$61,3,FALSE),"Unknown")</f>
        <v>Beauty</v>
      </c>
      <c r="F1291" t="str">
        <f>IFERROR(VLOOKUP(Orders!C1291,Customers!$A$2:$E$301,5,FALSE),"Unknown")</f>
        <v>Retail</v>
      </c>
      <c r="G1291">
        <f>IFERROR(VLOOKUP(Orders!C1291,Customers!$A$2:$C$301,3,FALSE),"")</f>
        <v>55</v>
      </c>
      <c r="H1291" t="str">
        <f>VLOOKUP(D1291,Sales_Reps!$A$2:$C$31,3,FALSE)</f>
        <v>South</v>
      </c>
      <c r="I1291" s="44">
        <f t="shared" si="43"/>
        <v>45444</v>
      </c>
      <c r="L1291" t="str">
        <f>Orders!K1291</f>
        <v>Bengaluru</v>
      </c>
      <c r="M1291">
        <f>Orders!G1291</f>
        <v>1650</v>
      </c>
      <c r="N1291">
        <f>IFERROR(VLOOKUP(Orders!D1291,Products!$A$2:$D$61,4,FALSE),"")</f>
        <v>1222</v>
      </c>
      <c r="O1291">
        <f t="shared" si="44"/>
        <v>0.2593939393939394</v>
      </c>
      <c r="Q1291" t="str">
        <f>Orders!D1291</f>
        <v>PROD-044</v>
      </c>
    </row>
    <row r="1292" spans="1:17" x14ac:dyDescent="0.3">
      <c r="A1292" t="str">
        <f>Orders!A1292</f>
        <v>ORD-01291</v>
      </c>
      <c r="B1292">
        <f>Orders!B1292</f>
        <v>45359</v>
      </c>
      <c r="C1292">
        <f>Orders!I1292</f>
        <v>4884</v>
      </c>
      <c r="D1292" t="str">
        <f>Orders!E1292</f>
        <v>R013</v>
      </c>
      <c r="E1292" t="str">
        <f>IFERROR(VLOOKUP(Orders!D1292,Products!$A$2:$C$61,3,FALSE),"Unknown")</f>
        <v>Home</v>
      </c>
      <c r="F1292" t="str">
        <f>IFERROR(VLOOKUP(Orders!C1292,Customers!$A$2:$E$301,5,FALSE),"Unknown")</f>
        <v>Retail</v>
      </c>
      <c r="G1292">
        <f>IFERROR(VLOOKUP(Orders!C1292,Customers!$A$2:$C$301,3,FALSE),"")</f>
        <v>32</v>
      </c>
      <c r="H1292" t="str">
        <f>VLOOKUP(D1292,Sales_Reps!$A$2:$C$31,3,FALSE)</f>
        <v>South</v>
      </c>
      <c r="I1292" s="44">
        <f t="shared" si="43"/>
        <v>45352</v>
      </c>
      <c r="L1292" t="str">
        <f>Orders!K1292</f>
        <v>Chennai</v>
      </c>
      <c r="M1292">
        <f>Orders!G1292</f>
        <v>660</v>
      </c>
      <c r="N1292">
        <f>IFERROR(VLOOKUP(Orders!D1292,Products!$A$2:$D$61,4,FALSE),"")</f>
        <v>329</v>
      </c>
      <c r="O1292">
        <f t="shared" si="44"/>
        <v>0.50151515151515147</v>
      </c>
      <c r="Q1292" t="str">
        <f>Orders!D1292</f>
        <v>PROD-037</v>
      </c>
    </row>
    <row r="1293" spans="1:17" x14ac:dyDescent="0.3">
      <c r="A1293" t="str">
        <f>Orders!A1293</f>
        <v>ORD-01292</v>
      </c>
      <c r="B1293">
        <f>Orders!B1293</f>
        <v>45644</v>
      </c>
      <c r="C1293">
        <f>Orders!I1293</f>
        <v>9736.32</v>
      </c>
      <c r="D1293" t="str">
        <f>Orders!E1293</f>
        <v>R004</v>
      </c>
      <c r="E1293" t="str">
        <f>IFERROR(VLOOKUP(Orders!D1293,Products!$A$2:$C$61,3,FALSE),"Unknown")</f>
        <v>Home</v>
      </c>
      <c r="F1293" t="str">
        <f>IFERROR(VLOOKUP(Orders!C1293,Customers!$A$2:$E$301,5,FALSE),"Unknown")</f>
        <v>SMB</v>
      </c>
      <c r="G1293">
        <f>IFERROR(VLOOKUP(Orders!C1293,Customers!$A$2:$C$301,3,FALSE),"")</f>
        <v>44</v>
      </c>
      <c r="H1293" t="str">
        <f>VLOOKUP(D1293,Sales_Reps!$A$2:$C$31,3,FALSE)</f>
        <v>North</v>
      </c>
      <c r="I1293" s="44">
        <f t="shared" si="43"/>
        <v>45627</v>
      </c>
      <c r="L1293" t="str">
        <f>Orders!K1293</f>
        <v>Bengaluru</v>
      </c>
      <c r="M1293">
        <f>Orders!G1293</f>
        <v>4610</v>
      </c>
      <c r="N1293">
        <f>IFERROR(VLOOKUP(Orders!D1293,Products!$A$2:$D$61,4,FALSE),"")</f>
        <v>1850</v>
      </c>
      <c r="O1293">
        <f t="shared" si="44"/>
        <v>0.59869848156182215</v>
      </c>
      <c r="Q1293" t="str">
        <f>Orders!D1293</f>
        <v>PROD-039</v>
      </c>
    </row>
    <row r="1294" spans="1:17" x14ac:dyDescent="0.3">
      <c r="A1294" t="str">
        <f>Orders!A1294</f>
        <v>ORD-01293</v>
      </c>
      <c r="B1294">
        <f>Orders!B1294</f>
        <v>45325</v>
      </c>
      <c r="C1294">
        <f>Orders!I1294</f>
        <v>12000.3</v>
      </c>
      <c r="D1294" t="str">
        <f>Orders!E1294</f>
        <v>R025</v>
      </c>
      <c r="E1294" t="str">
        <f>IFERROR(VLOOKUP(Orders!D1294,Products!$A$2:$C$61,3,FALSE),"Unknown")</f>
        <v>Grocery</v>
      </c>
      <c r="F1294" t="str">
        <f>IFERROR(VLOOKUP(Orders!C1294,Customers!$A$2:$E$301,5,FALSE),"Unknown")</f>
        <v>SMB</v>
      </c>
      <c r="G1294">
        <f>IFERROR(VLOOKUP(Orders!C1294,Customers!$A$2:$C$301,3,FALSE),"")</f>
        <v>22</v>
      </c>
      <c r="H1294" t="str">
        <f>VLOOKUP(D1294,Sales_Reps!$A$2:$C$31,3,FALSE)</f>
        <v>West</v>
      </c>
      <c r="I1294" s="44">
        <f t="shared" si="43"/>
        <v>45323</v>
      </c>
      <c r="L1294" t="str">
        <f>Orders!K1294</f>
        <v>Mumbai</v>
      </c>
      <c r="M1294">
        <f>Orders!G1294</f>
        <v>2210</v>
      </c>
      <c r="N1294">
        <f>IFERROR(VLOOKUP(Orders!D1294,Products!$A$2:$D$61,4,FALSE),"")</f>
        <v>1010</v>
      </c>
      <c r="O1294">
        <f t="shared" si="44"/>
        <v>0.54298642533936647</v>
      </c>
      <c r="Q1294" t="str">
        <f>Orders!D1294</f>
        <v>PROD-029</v>
      </c>
    </row>
    <row r="1295" spans="1:17" x14ac:dyDescent="0.3">
      <c r="A1295" t="str">
        <f>Orders!A1295</f>
        <v>ORD-01294</v>
      </c>
      <c r="B1295">
        <f>Orders!B1295</f>
        <v>45533</v>
      </c>
      <c r="C1295">
        <f>Orders!I1295</f>
        <v>8857.7199999999993</v>
      </c>
      <c r="D1295" t="str">
        <f>Orders!E1295</f>
        <v>R017</v>
      </c>
      <c r="E1295" t="str">
        <f>IFERROR(VLOOKUP(Orders!D1295,Products!$A$2:$C$61,3,FALSE),"Unknown")</f>
        <v>Beauty</v>
      </c>
      <c r="F1295" t="str">
        <f>IFERROR(VLOOKUP(Orders!C1295,Customers!$A$2:$E$301,5,FALSE),"Unknown")</f>
        <v>SMB</v>
      </c>
      <c r="G1295">
        <f>IFERROR(VLOOKUP(Orders!C1295,Customers!$A$2:$C$301,3,FALSE),"")</f>
        <v>62</v>
      </c>
      <c r="H1295" t="str">
        <f>VLOOKUP(D1295,Sales_Reps!$A$2:$C$31,3,FALSE)</f>
        <v>East</v>
      </c>
      <c r="I1295" s="44">
        <f t="shared" si="43"/>
        <v>45505</v>
      </c>
      <c r="L1295" t="str">
        <f>Orders!K1295</f>
        <v>Chennai</v>
      </c>
      <c r="M1295">
        <f>Orders!G1295</f>
        <v>2290</v>
      </c>
      <c r="N1295">
        <f>IFERROR(VLOOKUP(Orders!D1295,Products!$A$2:$D$61,4,FALSE),"")</f>
        <v>1219</v>
      </c>
      <c r="O1295">
        <f t="shared" si="44"/>
        <v>0.46768558951965067</v>
      </c>
      <c r="Q1295" t="str">
        <f>Orders!D1295</f>
        <v>PROD-042</v>
      </c>
    </row>
    <row r="1296" spans="1:17" x14ac:dyDescent="0.3">
      <c r="A1296" t="str">
        <f>Orders!A1296</f>
        <v>ORD-01295</v>
      </c>
      <c r="B1296">
        <f>Orders!B1296</f>
        <v>45369</v>
      </c>
      <c r="C1296">
        <f>Orders!I1296</f>
        <v>3990.6</v>
      </c>
      <c r="D1296" t="str">
        <f>Orders!E1296</f>
        <v>R026</v>
      </c>
      <c r="E1296" t="str">
        <f>IFERROR(VLOOKUP(Orders!D1296,Products!$A$2:$C$61,3,FALSE),"Unknown")</f>
        <v>Home</v>
      </c>
      <c r="F1296" t="str">
        <f>IFERROR(VLOOKUP(Orders!C1296,Customers!$A$2:$E$301,5,FALSE),"Unknown")</f>
        <v>Corporate</v>
      </c>
      <c r="G1296">
        <f>IFERROR(VLOOKUP(Orders!C1296,Customers!$A$2:$C$301,3,FALSE),"")</f>
        <v>46</v>
      </c>
      <c r="H1296" t="str">
        <f>VLOOKUP(D1296,Sales_Reps!$A$2:$C$31,3,FALSE)</f>
        <v>West</v>
      </c>
      <c r="I1296" s="44">
        <f t="shared" si="43"/>
        <v>45352</v>
      </c>
      <c r="L1296" t="str">
        <f>Orders!K1296</f>
        <v>Delhi</v>
      </c>
      <c r="M1296">
        <f>Orders!G1296</f>
        <v>1080</v>
      </c>
      <c r="N1296">
        <f>IFERROR(VLOOKUP(Orders!D1296,Products!$A$2:$D$61,4,FALSE),"")</f>
        <v>519</v>
      </c>
      <c r="O1296">
        <f t="shared" si="44"/>
        <v>0.51944444444444449</v>
      </c>
      <c r="Q1296" t="str">
        <f>Orders!D1296</f>
        <v>PROD-040</v>
      </c>
    </row>
    <row r="1297" spans="1:17" x14ac:dyDescent="0.3">
      <c r="A1297" t="str">
        <f>Orders!A1297</f>
        <v>ORD-01296</v>
      </c>
      <c r="B1297">
        <f>Orders!B1297</f>
        <v>45312</v>
      </c>
      <c r="C1297">
        <f>Orders!I1297</f>
        <v>5530.56</v>
      </c>
      <c r="D1297" t="str">
        <f>Orders!E1297</f>
        <v>R010</v>
      </c>
      <c r="E1297" t="str">
        <f>IFERROR(VLOOKUP(Orders!D1297,Products!$A$2:$C$61,3,FALSE),"Unknown")</f>
        <v>Sports</v>
      </c>
      <c r="F1297" t="str">
        <f>IFERROR(VLOOKUP(Orders!C1297,Customers!$A$2:$E$301,5,FALSE),"Unknown")</f>
        <v>SMB</v>
      </c>
      <c r="G1297">
        <f>IFERROR(VLOOKUP(Orders!C1297,Customers!$A$2:$C$301,3,FALSE),"")</f>
        <v>30</v>
      </c>
      <c r="H1297" t="str">
        <f>VLOOKUP(D1297,Sales_Reps!$A$2:$C$31,3,FALSE)</f>
        <v>South</v>
      </c>
      <c r="I1297" s="44">
        <f t="shared" si="43"/>
        <v>45292</v>
      </c>
      <c r="L1297" t="str">
        <f>Orders!K1297</f>
        <v>Pune</v>
      </c>
      <c r="M1297">
        <f>Orders!G1297</f>
        <v>960</v>
      </c>
      <c r="N1297">
        <f>IFERROR(VLOOKUP(Orders!D1297,Products!$A$2:$D$61,4,FALSE),"")</f>
        <v>705</v>
      </c>
      <c r="O1297">
        <f t="shared" si="44"/>
        <v>0.265625</v>
      </c>
      <c r="Q1297" t="str">
        <f>Orders!D1297</f>
        <v>PROD-057</v>
      </c>
    </row>
    <row r="1298" spans="1:17" x14ac:dyDescent="0.3">
      <c r="A1298" t="str">
        <f>Orders!A1298</f>
        <v>ORD-01297</v>
      </c>
      <c r="B1298">
        <f>Orders!B1298</f>
        <v>45445</v>
      </c>
      <c r="C1298">
        <f>Orders!I1298</f>
        <v>1682.4</v>
      </c>
      <c r="D1298" t="str">
        <f>Orders!E1298</f>
        <v>R008</v>
      </c>
      <c r="E1298" t="str">
        <f>IFERROR(VLOOKUP(Orders!D1298,Products!$A$2:$C$61,3,FALSE),"Unknown")</f>
        <v>Sports</v>
      </c>
      <c r="F1298" t="str">
        <f>IFERROR(VLOOKUP(Orders!C1298,Customers!$A$2:$E$301,5,FALSE),"Unknown")</f>
        <v>SMB</v>
      </c>
      <c r="G1298">
        <f>IFERROR(VLOOKUP(Orders!C1298,Customers!$A$2:$C$301,3,FALSE),"")</f>
        <v>47</v>
      </c>
      <c r="H1298" t="str">
        <f>VLOOKUP(D1298,Sales_Reps!$A$2:$C$31,3,FALSE)</f>
        <v>North</v>
      </c>
      <c r="I1298" s="44">
        <f t="shared" si="43"/>
        <v>45444</v>
      </c>
      <c r="L1298" t="str">
        <f>Orders!K1298</f>
        <v>Mumbai</v>
      </c>
      <c r="M1298">
        <f>Orders!G1298</f>
        <v>2400</v>
      </c>
      <c r="N1298">
        <f>IFERROR(VLOOKUP(Orders!D1298,Products!$A$2:$D$61,4,FALSE),"")</f>
        <v>974</v>
      </c>
      <c r="O1298">
        <f t="shared" si="44"/>
        <v>0.59416666666666662</v>
      </c>
      <c r="Q1298" t="str">
        <f>Orders!D1298</f>
        <v>PROD-058</v>
      </c>
    </row>
    <row r="1299" spans="1:17" x14ac:dyDescent="0.3">
      <c r="A1299" t="str">
        <f>Orders!A1299</f>
        <v>ORD-01298</v>
      </c>
      <c r="B1299">
        <f>Orders!B1299</f>
        <v>45636</v>
      </c>
      <c r="C1299">
        <f>Orders!I1299</f>
        <v>14674.32</v>
      </c>
      <c r="D1299" t="str">
        <f>Orders!E1299</f>
        <v>R010</v>
      </c>
      <c r="E1299" t="str">
        <f>IFERROR(VLOOKUP(Orders!D1299,Products!$A$2:$C$61,3,FALSE),"Unknown")</f>
        <v>Beauty</v>
      </c>
      <c r="F1299" t="str">
        <f>IFERROR(VLOOKUP(Orders!C1299,Customers!$A$2:$E$301,5,FALSE),"Unknown")</f>
        <v>Retail</v>
      </c>
      <c r="G1299">
        <f>IFERROR(VLOOKUP(Orders!C1299,Customers!$A$2:$C$301,3,FALSE),"")</f>
        <v>38</v>
      </c>
      <c r="H1299" t="str">
        <f>VLOOKUP(D1299,Sales_Reps!$A$2:$C$31,3,FALSE)</f>
        <v>South</v>
      </c>
      <c r="I1299" s="44">
        <f t="shared" si="43"/>
        <v>45627</v>
      </c>
      <c r="L1299" t="str">
        <f>Orders!K1299</f>
        <v>Mumbai</v>
      </c>
      <c r="M1299">
        <f>Orders!G1299</f>
        <v>2290</v>
      </c>
      <c r="N1299">
        <f>IFERROR(VLOOKUP(Orders!D1299,Products!$A$2:$D$61,4,FALSE),"")</f>
        <v>1219</v>
      </c>
      <c r="O1299">
        <f t="shared" si="44"/>
        <v>0.46768558951965067</v>
      </c>
      <c r="Q1299" t="str">
        <f>Orders!D1299</f>
        <v>PROD-042</v>
      </c>
    </row>
    <row r="1300" spans="1:17" x14ac:dyDescent="0.3">
      <c r="A1300" t="str">
        <f>Orders!A1300</f>
        <v>ORD-01299</v>
      </c>
      <c r="B1300">
        <f>Orders!B1300</f>
        <v>45294</v>
      </c>
      <c r="C1300">
        <f>Orders!I1300</f>
        <v>8718.84</v>
      </c>
      <c r="D1300" t="str">
        <f>Orders!E1300</f>
        <v>R018</v>
      </c>
      <c r="E1300" t="str">
        <f>IFERROR(VLOOKUP(Orders!D1300,Products!$A$2:$C$61,3,FALSE),"Unknown")</f>
        <v>Home</v>
      </c>
      <c r="F1300" t="str">
        <f>IFERROR(VLOOKUP(Orders!C1300,Customers!$A$2:$E$301,5,FALSE),"Unknown")</f>
        <v>Retail</v>
      </c>
      <c r="G1300">
        <f>IFERROR(VLOOKUP(Orders!C1300,Customers!$A$2:$C$301,3,FALSE),"")</f>
        <v>37</v>
      </c>
      <c r="H1300" t="str">
        <f>VLOOKUP(D1300,Sales_Reps!$A$2:$C$31,3,FALSE)</f>
        <v>East</v>
      </c>
      <c r="I1300" s="44">
        <f t="shared" si="43"/>
        <v>45292</v>
      </c>
      <c r="L1300" t="str">
        <f>Orders!K1300</f>
        <v>Chennai</v>
      </c>
      <c r="M1300">
        <f>Orders!G1300</f>
        <v>1080</v>
      </c>
      <c r="N1300">
        <f>IFERROR(VLOOKUP(Orders!D1300,Products!$A$2:$D$61,4,FALSE),"")</f>
        <v>519</v>
      </c>
      <c r="O1300">
        <f t="shared" si="44"/>
        <v>0.51944444444444449</v>
      </c>
      <c r="Q1300" t="str">
        <f>Orders!D1300</f>
        <v>PROD-040</v>
      </c>
    </row>
    <row r="1301" spans="1:17" x14ac:dyDescent="0.3">
      <c r="A1301" t="str">
        <f>Orders!A1301</f>
        <v>ORD-01300</v>
      </c>
      <c r="B1301">
        <f>Orders!B1301</f>
        <v>45449</v>
      </c>
      <c r="C1301">
        <f>Orders!I1301</f>
        <v>1026.78</v>
      </c>
      <c r="D1301" t="str">
        <f>Orders!E1301</f>
        <v>R004</v>
      </c>
      <c r="E1301" t="str">
        <f>IFERROR(VLOOKUP(Orders!D1301,Products!$A$2:$C$61,3,FALSE),"Unknown")</f>
        <v>Home</v>
      </c>
      <c r="F1301" t="str">
        <f>IFERROR(VLOOKUP(Orders!C1301,Customers!$A$2:$E$301,5,FALSE),"Unknown")</f>
        <v>Retail</v>
      </c>
      <c r="G1301">
        <f>IFERROR(VLOOKUP(Orders!C1301,Customers!$A$2:$C$301,3,FALSE),"")</f>
        <v>55</v>
      </c>
      <c r="H1301" t="str">
        <f>VLOOKUP(D1301,Sales_Reps!$A$2:$C$31,3,FALSE)</f>
        <v>North</v>
      </c>
      <c r="I1301" s="44">
        <f t="shared" si="43"/>
        <v>45444</v>
      </c>
      <c r="L1301" t="str">
        <f>Orders!K1301</f>
        <v>Delhi</v>
      </c>
      <c r="M1301">
        <f>Orders!G1301</f>
        <v>1090</v>
      </c>
      <c r="N1301">
        <f>IFERROR(VLOOKUP(Orders!D1301,Products!$A$2:$D$61,4,FALSE),"")</f>
        <v>464</v>
      </c>
      <c r="O1301">
        <f t="shared" si="44"/>
        <v>0.57431192660550456</v>
      </c>
      <c r="Q1301" t="str">
        <f>Orders!D1301</f>
        <v>PROD-035</v>
      </c>
    </row>
    <row r="1302" spans="1:17" x14ac:dyDescent="0.3">
      <c r="A1302" t="str">
        <f>Orders!A1302</f>
        <v>ORD-01301</v>
      </c>
      <c r="B1302">
        <f>Orders!B1302</f>
        <v>45560</v>
      </c>
      <c r="C1302">
        <f>Orders!I1302</f>
        <v>5423.34</v>
      </c>
      <c r="D1302" t="str">
        <f>Orders!E1302</f>
        <v>R018</v>
      </c>
      <c r="E1302" t="str">
        <f>IFERROR(VLOOKUP(Orders!D1302,Products!$A$2:$C$61,3,FALSE),"Unknown")</f>
        <v>Grocery</v>
      </c>
      <c r="F1302" t="str">
        <f>IFERROR(VLOOKUP(Orders!C1302,Customers!$A$2:$E$301,5,FALSE),"Unknown")</f>
        <v>Retail</v>
      </c>
      <c r="G1302">
        <f>IFERROR(VLOOKUP(Orders!C1302,Customers!$A$2:$C$301,3,FALSE),"")</f>
        <v>37</v>
      </c>
      <c r="H1302" t="str">
        <f>VLOOKUP(D1302,Sales_Reps!$A$2:$C$31,3,FALSE)</f>
        <v>East</v>
      </c>
      <c r="I1302" s="44">
        <f t="shared" si="43"/>
        <v>45536</v>
      </c>
      <c r="L1302" t="str">
        <f>Orders!K1302</f>
        <v>Mumbai</v>
      </c>
      <c r="M1302">
        <f>Orders!G1302</f>
        <v>2210</v>
      </c>
      <c r="N1302">
        <f>IFERROR(VLOOKUP(Orders!D1302,Products!$A$2:$D$61,4,FALSE),"")</f>
        <v>1010</v>
      </c>
      <c r="O1302">
        <f t="shared" si="44"/>
        <v>0.54298642533936647</v>
      </c>
      <c r="Q1302" t="str">
        <f>Orders!D1302</f>
        <v>PROD-029</v>
      </c>
    </row>
    <row r="1303" spans="1:17" x14ac:dyDescent="0.3">
      <c r="A1303" t="str">
        <f>Orders!A1303</f>
        <v>ORD-01302</v>
      </c>
      <c r="B1303">
        <f>Orders!B1303</f>
        <v>45588</v>
      </c>
      <c r="C1303">
        <f>Orders!I1303</f>
        <v>28554.560000000001</v>
      </c>
      <c r="D1303" t="str">
        <f>Orders!E1303</f>
        <v>R015</v>
      </c>
      <c r="E1303" t="str">
        <f>IFERROR(VLOOKUP(Orders!D1303,Products!$A$2:$C$61,3,FALSE),"Unknown")</f>
        <v>Apparel</v>
      </c>
      <c r="F1303" t="str">
        <f>IFERROR(VLOOKUP(Orders!C1303,Customers!$A$2:$E$301,5,FALSE),"Unknown")</f>
        <v>Corporate</v>
      </c>
      <c r="G1303">
        <f>IFERROR(VLOOKUP(Orders!C1303,Customers!$A$2:$C$301,3,FALSE),"")</f>
        <v>47</v>
      </c>
      <c r="H1303" t="str">
        <f>VLOOKUP(D1303,Sales_Reps!$A$2:$C$31,3,FALSE)</f>
        <v>South</v>
      </c>
      <c r="I1303" s="44">
        <f t="shared" si="43"/>
        <v>45566</v>
      </c>
      <c r="L1303" t="str">
        <f>Orders!K1303</f>
        <v>Pune</v>
      </c>
      <c r="M1303">
        <f>Orders!G1303</f>
        <v>3620</v>
      </c>
      <c r="N1303">
        <f>IFERROR(VLOOKUP(Orders!D1303,Products!$A$2:$D$61,4,FALSE),"")</f>
        <v>2509</v>
      </c>
      <c r="O1303">
        <f t="shared" si="44"/>
        <v>0.3069060773480663</v>
      </c>
      <c r="Q1303" t="str">
        <f>Orders!D1303</f>
        <v>PROD-014</v>
      </c>
    </row>
    <row r="1304" spans="1:17" x14ac:dyDescent="0.3">
      <c r="A1304" t="str">
        <f>Orders!A1304</f>
        <v>ORD-01303</v>
      </c>
      <c r="B1304">
        <f>Orders!B1304</f>
        <v>45360</v>
      </c>
      <c r="C1304">
        <f>Orders!I1304</f>
        <v>10273.83</v>
      </c>
      <c r="D1304" t="str">
        <f>Orders!E1304</f>
        <v>R011</v>
      </c>
      <c r="E1304" t="str">
        <f>IFERROR(VLOOKUP(Orders!D1304,Products!$A$2:$C$61,3,FALSE),"Unknown")</f>
        <v>Home</v>
      </c>
      <c r="F1304" t="str">
        <f>IFERROR(VLOOKUP(Orders!C1304,Customers!$A$2:$E$301,5,FALSE),"Unknown")</f>
        <v>Retail</v>
      </c>
      <c r="G1304">
        <f>IFERROR(VLOOKUP(Orders!C1304,Customers!$A$2:$C$301,3,FALSE),"")</f>
        <v>26</v>
      </c>
      <c r="H1304" t="str">
        <f>VLOOKUP(D1304,Sales_Reps!$A$2:$C$31,3,FALSE)</f>
        <v>South</v>
      </c>
      <c r="I1304" s="44">
        <f t="shared" si="43"/>
        <v>45352</v>
      </c>
      <c r="L1304" t="str">
        <f>Orders!K1304</f>
        <v>Hyderabad</v>
      </c>
      <c r="M1304">
        <f>Orders!G1304</f>
        <v>2030</v>
      </c>
      <c r="N1304">
        <f>IFERROR(VLOOKUP(Orders!D1304,Products!$A$2:$D$61,4,FALSE),"")</f>
        <v>1143</v>
      </c>
      <c r="O1304">
        <f t="shared" si="44"/>
        <v>0.43694581280788175</v>
      </c>
      <c r="Q1304" t="str">
        <f>Orders!D1304</f>
        <v>PROD-033</v>
      </c>
    </row>
    <row r="1305" spans="1:17" x14ac:dyDescent="0.3">
      <c r="A1305" t="str">
        <f>Orders!A1305</f>
        <v>ORD-01304</v>
      </c>
      <c r="B1305">
        <f>Orders!B1305</f>
        <v>45316</v>
      </c>
      <c r="C1305">
        <f>Orders!I1305</f>
        <v>2724.48</v>
      </c>
      <c r="D1305" t="str">
        <f>Orders!E1305</f>
        <v>R023</v>
      </c>
      <c r="E1305" t="str">
        <f>IFERROR(VLOOKUP(Orders!D1305,Products!$A$2:$C$61,3,FALSE),"Unknown")</f>
        <v>Electronics</v>
      </c>
      <c r="F1305" t="str">
        <f>IFERROR(VLOOKUP(Orders!C1305,Customers!$A$2:$E$301,5,FALSE),"Unknown")</f>
        <v>Corporate</v>
      </c>
      <c r="G1305">
        <f>IFERROR(VLOOKUP(Orders!C1305,Customers!$A$2:$C$301,3,FALSE),"")</f>
        <v>26</v>
      </c>
      <c r="H1305" t="str">
        <f>VLOOKUP(D1305,Sales_Reps!$A$2:$C$31,3,FALSE)</f>
        <v>East</v>
      </c>
      <c r="I1305" s="44">
        <f t="shared" si="43"/>
        <v>45292</v>
      </c>
      <c r="L1305" t="str">
        <f>Orders!K1305</f>
        <v>Bengaluru</v>
      </c>
      <c r="M1305">
        <f>Orders!G1305</f>
        <v>3870</v>
      </c>
      <c r="N1305">
        <f>IFERROR(VLOOKUP(Orders!D1305,Products!$A$2:$D$61,4,FALSE),"")</f>
        <v>1559</v>
      </c>
      <c r="O1305">
        <f t="shared" si="44"/>
        <v>0.59715762273901807</v>
      </c>
      <c r="Q1305" t="str">
        <f>Orders!D1305</f>
        <v>PROD-004</v>
      </c>
    </row>
    <row r="1306" spans="1:17" x14ac:dyDescent="0.3">
      <c r="A1306" t="str">
        <f>Orders!A1306</f>
        <v>ORD-01305</v>
      </c>
      <c r="B1306">
        <f>Orders!B1306</f>
        <v>45324</v>
      </c>
      <c r="C1306">
        <f>Orders!I1306</f>
        <v>15743.7</v>
      </c>
      <c r="D1306" t="str">
        <f>Orders!E1306</f>
        <v>R014</v>
      </c>
      <c r="E1306" t="str">
        <f>IFERROR(VLOOKUP(Orders!D1306,Products!$A$2:$C$61,3,FALSE),"Unknown")</f>
        <v>Electronics</v>
      </c>
      <c r="F1306" t="str">
        <f>IFERROR(VLOOKUP(Orders!C1306,Customers!$A$2:$E$301,5,FALSE),"Unknown")</f>
        <v>Retail</v>
      </c>
      <c r="G1306">
        <f>IFERROR(VLOOKUP(Orders!C1306,Customers!$A$2:$C$301,3,FALSE),"")</f>
        <v>52</v>
      </c>
      <c r="H1306" t="str">
        <f>VLOOKUP(D1306,Sales_Reps!$A$2:$C$31,3,FALSE)</f>
        <v>South</v>
      </c>
      <c r="I1306" s="44">
        <f t="shared" si="43"/>
        <v>45323</v>
      </c>
      <c r="L1306" t="str">
        <f>Orders!K1306</f>
        <v>Bengaluru</v>
      </c>
      <c r="M1306">
        <f>Orders!G1306</f>
        <v>3570</v>
      </c>
      <c r="N1306">
        <f>IFERROR(VLOOKUP(Orders!D1306,Products!$A$2:$D$61,4,FALSE),"")</f>
        <v>1665</v>
      </c>
      <c r="O1306">
        <f t="shared" si="44"/>
        <v>0.53361344537815125</v>
      </c>
      <c r="Q1306" t="str">
        <f>Orders!D1306</f>
        <v>PROD-003</v>
      </c>
    </row>
    <row r="1307" spans="1:17" x14ac:dyDescent="0.3">
      <c r="A1307" t="str">
        <f>Orders!A1307</f>
        <v>ORD-01306</v>
      </c>
      <c r="B1307">
        <f>Orders!B1307</f>
        <v>45650</v>
      </c>
      <c r="C1307">
        <f>Orders!I1307</f>
        <v>34250.58</v>
      </c>
      <c r="D1307" t="str">
        <f>Orders!E1307</f>
        <v>R019</v>
      </c>
      <c r="E1307" t="str">
        <f>IFERROR(VLOOKUP(Orders!D1307,Products!$A$2:$C$61,3,FALSE),"Unknown")</f>
        <v>Electronics</v>
      </c>
      <c r="F1307" t="str">
        <f>IFERROR(VLOOKUP(Orders!C1307,Customers!$A$2:$E$301,5,FALSE),"Unknown")</f>
        <v>Corporate</v>
      </c>
      <c r="G1307">
        <f>IFERROR(VLOOKUP(Orders!C1307,Customers!$A$2:$C$301,3,FALSE),"")</f>
        <v>31</v>
      </c>
      <c r="H1307" t="str">
        <f>VLOOKUP(D1307,Sales_Reps!$A$2:$C$31,3,FALSE)</f>
        <v>East</v>
      </c>
      <c r="I1307" s="44">
        <f t="shared" si="43"/>
        <v>45627</v>
      </c>
      <c r="L1307" t="str">
        <f>Orders!K1307</f>
        <v>Bengaluru</v>
      </c>
      <c r="M1307">
        <f>Orders!G1307</f>
        <v>5330</v>
      </c>
      <c r="N1307">
        <f>IFERROR(VLOOKUP(Orders!D1307,Products!$A$2:$D$61,4,FALSE),"")</f>
        <v>2405</v>
      </c>
      <c r="O1307">
        <f t="shared" si="44"/>
        <v>0.54878048780487809</v>
      </c>
      <c r="Q1307" t="str">
        <f>Orders!D1307</f>
        <v>PROD-001</v>
      </c>
    </row>
    <row r="1308" spans="1:17" x14ac:dyDescent="0.3">
      <c r="A1308" t="str">
        <f>Orders!A1308</f>
        <v>ORD-01307</v>
      </c>
      <c r="B1308">
        <f>Orders!B1308</f>
        <v>45564</v>
      </c>
      <c r="C1308">
        <f>Orders!I1308</f>
        <v>5014.2</v>
      </c>
      <c r="D1308" t="str">
        <f>Orders!E1308</f>
        <v>R009</v>
      </c>
      <c r="E1308" t="str">
        <f>IFERROR(VLOOKUP(Orders!D1308,Products!$A$2:$C$61,3,FALSE),"Unknown")</f>
        <v>Electronics</v>
      </c>
      <c r="F1308" t="str">
        <f>IFERROR(VLOOKUP(Orders!C1308,Customers!$A$2:$E$301,5,FALSE),"Unknown")</f>
        <v>Retail</v>
      </c>
      <c r="G1308">
        <f>IFERROR(VLOOKUP(Orders!C1308,Customers!$A$2:$C$301,3,FALSE),"")</f>
        <v>36</v>
      </c>
      <c r="H1308" t="str">
        <f>VLOOKUP(D1308,Sales_Reps!$A$2:$C$31,3,FALSE)</f>
        <v>South</v>
      </c>
      <c r="I1308" s="44">
        <f t="shared" si="43"/>
        <v>45536</v>
      </c>
      <c r="L1308" t="str">
        <f>Orders!K1308</f>
        <v>Pune</v>
      </c>
      <c r="M1308">
        <f>Orders!G1308</f>
        <v>1220</v>
      </c>
      <c r="N1308">
        <f>IFERROR(VLOOKUP(Orders!D1308,Products!$A$2:$D$61,4,FALSE),"")</f>
        <v>517</v>
      </c>
      <c r="O1308">
        <f t="shared" si="44"/>
        <v>0.57622950819672136</v>
      </c>
      <c r="Q1308" t="str">
        <f>Orders!D1308</f>
        <v>PROD-009</v>
      </c>
    </row>
    <row r="1309" spans="1:17" x14ac:dyDescent="0.3">
      <c r="A1309" t="str">
        <f>Orders!A1309</f>
        <v>ORD-01308</v>
      </c>
      <c r="B1309">
        <f>Orders!B1309</f>
        <v>45587</v>
      </c>
      <c r="C1309">
        <f>Orders!I1309</f>
        <v>17074.05</v>
      </c>
      <c r="D1309" t="str">
        <f>Orders!E1309</f>
        <v>R019</v>
      </c>
      <c r="E1309" t="str">
        <f>IFERROR(VLOOKUP(Orders!D1309,Products!$A$2:$C$61,3,FALSE),"Unknown")</f>
        <v>Apparel</v>
      </c>
      <c r="F1309" t="str">
        <f>IFERROR(VLOOKUP(Orders!C1309,Customers!$A$2:$E$301,5,FALSE),"Unknown")</f>
        <v>Retail</v>
      </c>
      <c r="G1309">
        <f>IFERROR(VLOOKUP(Orders!C1309,Customers!$A$2:$C$301,3,FALSE),"")</f>
        <v>49</v>
      </c>
      <c r="H1309" t="str">
        <f>VLOOKUP(D1309,Sales_Reps!$A$2:$C$31,3,FALSE)</f>
        <v>East</v>
      </c>
      <c r="I1309" s="44">
        <f t="shared" si="43"/>
        <v>45566</v>
      </c>
      <c r="L1309" t="str">
        <f>Orders!K1309</f>
        <v>Chennai</v>
      </c>
      <c r="M1309">
        <f>Orders!G1309</f>
        <v>3450</v>
      </c>
      <c r="N1309">
        <f>IFERROR(VLOOKUP(Orders!D1309,Products!$A$2:$D$61,4,FALSE),"")</f>
        <v>1748</v>
      </c>
      <c r="O1309">
        <f t="shared" si="44"/>
        <v>0.49333333333333335</v>
      </c>
      <c r="Q1309" t="str">
        <f>Orders!D1309</f>
        <v>PROD-011</v>
      </c>
    </row>
    <row r="1310" spans="1:17" x14ac:dyDescent="0.3">
      <c r="A1310" t="str">
        <f>Orders!A1310</f>
        <v>ORD-01309</v>
      </c>
      <c r="B1310">
        <f>Orders!B1310</f>
        <v>45538</v>
      </c>
      <c r="C1310">
        <f>Orders!I1310</f>
        <v>19352.16</v>
      </c>
      <c r="D1310" t="str">
        <f>Orders!E1310</f>
        <v>R013</v>
      </c>
      <c r="E1310" t="str">
        <f>IFERROR(VLOOKUP(Orders!D1310,Products!$A$2:$C$61,3,FALSE),"Unknown")</f>
        <v>Apparel</v>
      </c>
      <c r="F1310" t="str">
        <f>IFERROR(VLOOKUP(Orders!C1310,Customers!$A$2:$E$301,5,FALSE),"Unknown")</f>
        <v>SMB</v>
      </c>
      <c r="G1310">
        <f>IFERROR(VLOOKUP(Orders!C1310,Customers!$A$2:$C$301,3,FALSE),"")</f>
        <v>65</v>
      </c>
      <c r="H1310" t="str">
        <f>VLOOKUP(D1310,Sales_Reps!$A$2:$C$31,3,FALSE)</f>
        <v>South</v>
      </c>
      <c r="I1310" s="44">
        <f t="shared" si="43"/>
        <v>45536</v>
      </c>
      <c r="L1310" t="str">
        <f>Orders!K1310</f>
        <v>Mumbai</v>
      </c>
      <c r="M1310">
        <f>Orders!G1310</f>
        <v>3560</v>
      </c>
      <c r="N1310">
        <f>IFERROR(VLOOKUP(Orders!D1310,Products!$A$2:$D$61,4,FALSE),"")</f>
        <v>2629</v>
      </c>
      <c r="O1310">
        <f t="shared" si="44"/>
        <v>0.26151685393258428</v>
      </c>
      <c r="Q1310" t="str">
        <f>Orders!D1310</f>
        <v>PROD-018</v>
      </c>
    </row>
    <row r="1311" spans="1:17" x14ac:dyDescent="0.3">
      <c r="A1311" t="str">
        <f>Orders!A1311</f>
        <v>ORD-01310</v>
      </c>
      <c r="B1311">
        <f>Orders!B1311</f>
        <v>45385</v>
      </c>
      <c r="C1311">
        <f>Orders!I1311</f>
        <v>1407.48</v>
      </c>
      <c r="D1311" t="str">
        <f>Orders!E1311</f>
        <v>R005</v>
      </c>
      <c r="E1311" t="str">
        <f>IFERROR(VLOOKUP(Orders!D1311,Products!$A$2:$C$61,3,FALSE),"Unknown")</f>
        <v>Home</v>
      </c>
      <c r="F1311" t="str">
        <f>IFERROR(VLOOKUP(Orders!C1311,Customers!$A$2:$E$301,5,FALSE),"Unknown")</f>
        <v>Corporate</v>
      </c>
      <c r="G1311">
        <f>IFERROR(VLOOKUP(Orders!C1311,Customers!$A$2:$C$301,3,FALSE),"")</f>
        <v>36</v>
      </c>
      <c r="H1311" t="str">
        <f>VLOOKUP(D1311,Sales_Reps!$A$2:$C$31,3,FALSE)</f>
        <v>North</v>
      </c>
      <c r="I1311" s="44">
        <f t="shared" si="43"/>
        <v>45383</v>
      </c>
      <c r="L1311" t="str">
        <f>Orders!K1311</f>
        <v>Bengaluru</v>
      </c>
      <c r="M1311">
        <f>Orders!G1311</f>
        <v>370</v>
      </c>
      <c r="N1311">
        <f>IFERROR(VLOOKUP(Orders!D1311,Products!$A$2:$D$61,4,FALSE),"")</f>
        <v>288</v>
      </c>
      <c r="O1311">
        <f t="shared" si="44"/>
        <v>0.22162162162162163</v>
      </c>
      <c r="Q1311" t="str">
        <f>Orders!D1311</f>
        <v>PROD-032</v>
      </c>
    </row>
    <row r="1312" spans="1:17" x14ac:dyDescent="0.3">
      <c r="A1312" t="str">
        <f>Orders!A1312</f>
        <v>ORD-01311</v>
      </c>
      <c r="B1312">
        <f>Orders!B1312</f>
        <v>45647</v>
      </c>
      <c r="C1312">
        <f>Orders!I1312</f>
        <v>1034.56</v>
      </c>
      <c r="D1312" t="str">
        <f>Orders!E1312</f>
        <v>R003</v>
      </c>
      <c r="E1312" t="str">
        <f>IFERROR(VLOOKUP(Orders!D1312,Products!$A$2:$C$61,3,FALSE),"Unknown")</f>
        <v>Electronics</v>
      </c>
      <c r="F1312" t="str">
        <f>IFERROR(VLOOKUP(Orders!C1312,Customers!$A$2:$E$301,5,FALSE),"Unknown")</f>
        <v>Retail</v>
      </c>
      <c r="G1312">
        <f>IFERROR(VLOOKUP(Orders!C1312,Customers!$A$2:$C$301,3,FALSE),"")</f>
        <v>48</v>
      </c>
      <c r="H1312" t="str">
        <f>VLOOKUP(D1312,Sales_Reps!$A$2:$C$31,3,FALSE)</f>
        <v>North</v>
      </c>
      <c r="I1312" s="44">
        <f t="shared" si="43"/>
        <v>45627</v>
      </c>
      <c r="L1312" t="str">
        <f>Orders!K1312</f>
        <v>Pune</v>
      </c>
      <c r="M1312">
        <f>Orders!G1312</f>
        <v>1220</v>
      </c>
      <c r="N1312">
        <f>IFERROR(VLOOKUP(Orders!D1312,Products!$A$2:$D$61,4,FALSE),"")</f>
        <v>517</v>
      </c>
      <c r="O1312">
        <f t="shared" si="44"/>
        <v>0.57622950819672136</v>
      </c>
      <c r="Q1312" t="str">
        <f>Orders!D1312</f>
        <v>PROD-009</v>
      </c>
    </row>
    <row r="1313" spans="1:17" x14ac:dyDescent="0.3">
      <c r="A1313" t="str">
        <f>Orders!A1313</f>
        <v>ORD-01312</v>
      </c>
      <c r="B1313">
        <f>Orders!B1313</f>
        <v>45466</v>
      </c>
      <c r="C1313">
        <f>Orders!I1313</f>
        <v>9576.84</v>
      </c>
      <c r="D1313" t="str">
        <f>Orders!E1313</f>
        <v>R006</v>
      </c>
      <c r="E1313" t="str">
        <f>IFERROR(VLOOKUP(Orders!D1313,Products!$A$2:$C$61,3,FALSE),"Unknown")</f>
        <v>Apparel</v>
      </c>
      <c r="F1313" t="str">
        <f>IFERROR(VLOOKUP(Orders!C1313,Customers!$A$2:$E$301,5,FALSE),"Unknown")</f>
        <v>SMB</v>
      </c>
      <c r="G1313">
        <f>IFERROR(VLOOKUP(Orders!C1313,Customers!$A$2:$C$301,3,FALSE),"")</f>
        <v>39</v>
      </c>
      <c r="H1313" t="str">
        <f>VLOOKUP(D1313,Sales_Reps!$A$2:$C$31,3,FALSE)</f>
        <v>North</v>
      </c>
      <c r="I1313" s="44">
        <f t="shared" si="43"/>
        <v>45444</v>
      </c>
      <c r="L1313" t="str">
        <f>Orders!K1313</f>
        <v>Chennai</v>
      </c>
      <c r="M1313">
        <f>Orders!G1313</f>
        <v>3640</v>
      </c>
      <c r="N1313">
        <f>IFERROR(VLOOKUP(Orders!D1313,Products!$A$2:$D$61,4,FALSE),"")</f>
        <v>2611</v>
      </c>
      <c r="O1313">
        <f t="shared" si="44"/>
        <v>0.28269230769230769</v>
      </c>
      <c r="Q1313" t="str">
        <f>Orders!D1313</f>
        <v>PROD-013</v>
      </c>
    </row>
    <row r="1314" spans="1:17" x14ac:dyDescent="0.3">
      <c r="A1314" t="str">
        <f>Orders!A1314</f>
        <v>ORD-01313</v>
      </c>
      <c r="B1314">
        <f>Orders!B1314</f>
        <v>45559</v>
      </c>
      <c r="C1314">
        <f>Orders!I1314</f>
        <v>17346.88</v>
      </c>
      <c r="D1314" t="str">
        <f>Orders!E1314</f>
        <v>R010</v>
      </c>
      <c r="E1314" t="str">
        <f>IFERROR(VLOOKUP(Orders!D1314,Products!$A$2:$C$61,3,FALSE),"Unknown")</f>
        <v>Beauty</v>
      </c>
      <c r="F1314" t="str">
        <f>IFERROR(VLOOKUP(Orders!C1314,Customers!$A$2:$E$301,5,FALSE),"Unknown")</f>
        <v>Corporate</v>
      </c>
      <c r="G1314">
        <f>IFERROR(VLOOKUP(Orders!C1314,Customers!$A$2:$C$301,3,FALSE),"")</f>
        <v>62</v>
      </c>
      <c r="H1314" t="str">
        <f>VLOOKUP(D1314,Sales_Reps!$A$2:$C$31,3,FALSE)</f>
        <v>South</v>
      </c>
      <c r="I1314" s="44">
        <f t="shared" si="43"/>
        <v>45536</v>
      </c>
      <c r="L1314" t="str">
        <f>Orders!K1314</f>
        <v>Mumbai</v>
      </c>
      <c r="M1314">
        <f>Orders!G1314</f>
        <v>3020</v>
      </c>
      <c r="N1314">
        <f>IFERROR(VLOOKUP(Orders!D1314,Products!$A$2:$D$61,4,FALSE),"")</f>
        <v>1626</v>
      </c>
      <c r="O1314">
        <f t="shared" si="44"/>
        <v>0.46158940397350995</v>
      </c>
      <c r="Q1314" t="str">
        <f>Orders!D1314</f>
        <v>PROD-045</v>
      </c>
    </row>
    <row r="1315" spans="1:17" x14ac:dyDescent="0.3">
      <c r="A1315" t="str">
        <f>Orders!A1315</f>
        <v>ORD-01314</v>
      </c>
      <c r="B1315">
        <f>Orders!B1315</f>
        <v>45469</v>
      </c>
      <c r="C1315">
        <f>Orders!I1315</f>
        <v>14106.6</v>
      </c>
      <c r="D1315" t="str">
        <f>Orders!E1315</f>
        <v>R008</v>
      </c>
      <c r="E1315" t="str">
        <f>IFERROR(VLOOKUP(Orders!D1315,Products!$A$2:$C$61,3,FALSE),"Unknown")</f>
        <v>Beauty</v>
      </c>
      <c r="F1315" t="str">
        <f>IFERROR(VLOOKUP(Orders!C1315,Customers!$A$2:$E$301,5,FALSE),"Unknown")</f>
        <v>Retail</v>
      </c>
      <c r="G1315">
        <f>IFERROR(VLOOKUP(Orders!C1315,Customers!$A$2:$C$301,3,FALSE),"")</f>
        <v>27</v>
      </c>
      <c r="H1315" t="str">
        <f>VLOOKUP(D1315,Sales_Reps!$A$2:$C$31,3,FALSE)</f>
        <v>North</v>
      </c>
      <c r="I1315" s="44">
        <f t="shared" si="43"/>
        <v>45444</v>
      </c>
      <c r="L1315" t="str">
        <f>Orders!K1315</f>
        <v>Hyderabad</v>
      </c>
      <c r="M1315">
        <f>Orders!G1315</f>
        <v>5100</v>
      </c>
      <c r="N1315">
        <f>IFERROR(VLOOKUP(Orders!D1315,Products!$A$2:$D$61,4,FALSE),"")</f>
        <v>2237</v>
      </c>
      <c r="O1315">
        <f t="shared" si="44"/>
        <v>0.56137254901960787</v>
      </c>
      <c r="Q1315" t="str">
        <f>Orders!D1315</f>
        <v>PROD-048</v>
      </c>
    </row>
    <row r="1316" spans="1:17" x14ac:dyDescent="0.3">
      <c r="A1316" t="str">
        <f>Orders!A1316</f>
        <v>ORD-01315</v>
      </c>
      <c r="B1316">
        <f>Orders!B1316</f>
        <v>45407</v>
      </c>
      <c r="C1316">
        <f>Orders!I1316</f>
        <v>2187</v>
      </c>
      <c r="D1316" t="str">
        <f>Orders!E1316</f>
        <v>R001</v>
      </c>
      <c r="E1316" t="str">
        <f>IFERROR(VLOOKUP(Orders!D1316,Products!$A$2:$C$61,3,FALSE),"Unknown")</f>
        <v>Electronics</v>
      </c>
      <c r="F1316" t="str">
        <f>IFERROR(VLOOKUP(Orders!C1316,Customers!$A$2:$E$301,5,FALSE),"Unknown")</f>
        <v>Retail</v>
      </c>
      <c r="G1316">
        <f>IFERROR(VLOOKUP(Orders!C1316,Customers!$A$2:$C$301,3,FALSE),"")</f>
        <v>49</v>
      </c>
      <c r="H1316" t="str">
        <f>VLOOKUP(D1316,Sales_Reps!$A$2:$C$31,3,FALSE)</f>
        <v>North</v>
      </c>
      <c r="I1316" s="44">
        <f t="shared" si="43"/>
        <v>45383</v>
      </c>
      <c r="L1316" t="str">
        <f>Orders!K1316</f>
        <v>Pune</v>
      </c>
      <c r="M1316">
        <f>Orders!G1316</f>
        <v>300</v>
      </c>
      <c r="N1316">
        <f>IFERROR(VLOOKUP(Orders!D1316,Products!$A$2:$D$61,4,FALSE),"")</f>
        <v>128</v>
      </c>
      <c r="O1316">
        <f t="shared" si="44"/>
        <v>0.57333333333333336</v>
      </c>
      <c r="Q1316" t="str">
        <f>Orders!D1316</f>
        <v>PROD-005</v>
      </c>
    </row>
    <row r="1317" spans="1:17" x14ac:dyDescent="0.3">
      <c r="A1317" t="str">
        <f>Orders!A1317</f>
        <v>ORD-01316</v>
      </c>
      <c r="B1317">
        <f>Orders!B1317</f>
        <v>45634</v>
      </c>
      <c r="C1317">
        <f>Orders!I1317</f>
        <v>16556.7</v>
      </c>
      <c r="D1317" t="str">
        <f>Orders!E1317</f>
        <v>R007</v>
      </c>
      <c r="E1317" t="str">
        <f>IFERROR(VLOOKUP(Orders!D1317,Products!$A$2:$C$61,3,FALSE),"Unknown")</f>
        <v>Beauty</v>
      </c>
      <c r="F1317" t="str">
        <f>IFERROR(VLOOKUP(Orders!C1317,Customers!$A$2:$E$301,5,FALSE),"Unknown")</f>
        <v>SMB</v>
      </c>
      <c r="G1317">
        <f>IFERROR(VLOOKUP(Orders!C1317,Customers!$A$2:$C$301,3,FALSE),"")</f>
        <v>44</v>
      </c>
      <c r="H1317" t="str">
        <f>VLOOKUP(D1317,Sales_Reps!$A$2:$C$31,3,FALSE)</f>
        <v>North</v>
      </c>
      <c r="I1317" s="44">
        <f t="shared" si="43"/>
        <v>45627</v>
      </c>
      <c r="L1317" t="str">
        <f>Orders!K1317</f>
        <v>Pune</v>
      </c>
      <c r="M1317">
        <f>Orders!G1317</f>
        <v>2290</v>
      </c>
      <c r="N1317">
        <f>IFERROR(VLOOKUP(Orders!D1317,Products!$A$2:$D$61,4,FALSE),"")</f>
        <v>1219</v>
      </c>
      <c r="O1317">
        <f t="shared" si="44"/>
        <v>0.46768558951965067</v>
      </c>
      <c r="Q1317" t="str">
        <f>Orders!D1317</f>
        <v>PROD-042</v>
      </c>
    </row>
    <row r="1318" spans="1:17" x14ac:dyDescent="0.3">
      <c r="A1318" t="str">
        <f>Orders!A1318</f>
        <v>ORD-01317</v>
      </c>
      <c r="B1318">
        <f>Orders!B1318</f>
        <v>45454</v>
      </c>
      <c r="C1318">
        <f>Orders!I1318</f>
        <v>26175.24</v>
      </c>
      <c r="D1318" t="str">
        <f>Orders!E1318</f>
        <v>R024</v>
      </c>
      <c r="E1318" t="str">
        <f>IFERROR(VLOOKUP(Orders!D1318,Products!$A$2:$C$61,3,FALSE),"Unknown")</f>
        <v>Apparel</v>
      </c>
      <c r="F1318" t="str">
        <f>IFERROR(VLOOKUP(Orders!C1318,Customers!$A$2:$E$301,5,FALSE),"Unknown")</f>
        <v>Corporate</v>
      </c>
      <c r="G1318">
        <f>IFERROR(VLOOKUP(Orders!C1318,Customers!$A$2:$C$301,3,FALSE),"")</f>
        <v>55</v>
      </c>
      <c r="H1318" t="str">
        <f>VLOOKUP(D1318,Sales_Reps!$A$2:$C$31,3,FALSE)</f>
        <v>West</v>
      </c>
      <c r="I1318" s="44">
        <f t="shared" si="43"/>
        <v>45444</v>
      </c>
      <c r="L1318" t="str">
        <f>Orders!K1318</f>
        <v>Chennai</v>
      </c>
      <c r="M1318">
        <f>Orders!G1318</f>
        <v>3640</v>
      </c>
      <c r="N1318">
        <f>IFERROR(VLOOKUP(Orders!D1318,Products!$A$2:$D$61,4,FALSE),"")</f>
        <v>2611</v>
      </c>
      <c r="O1318">
        <f t="shared" si="44"/>
        <v>0.28269230769230769</v>
      </c>
      <c r="Q1318" t="str">
        <f>Orders!D1318</f>
        <v>PROD-013</v>
      </c>
    </row>
    <row r="1319" spans="1:17" x14ac:dyDescent="0.3">
      <c r="A1319" t="str">
        <f>Orders!A1319</f>
        <v>ORD-01318</v>
      </c>
      <c r="B1319">
        <f>Orders!B1319</f>
        <v>45565</v>
      </c>
      <c r="C1319">
        <f>Orders!I1319</f>
        <v>3030.72</v>
      </c>
      <c r="D1319" t="str">
        <f>Orders!E1319</f>
        <v>R022</v>
      </c>
      <c r="E1319" t="str">
        <f>IFERROR(VLOOKUP(Orders!D1319,Products!$A$2:$C$61,3,FALSE),"Unknown")</f>
        <v>Apparel</v>
      </c>
      <c r="F1319" t="str">
        <f>IFERROR(VLOOKUP(Orders!C1319,Customers!$A$2:$E$301,5,FALSE),"Unknown")</f>
        <v>Retail</v>
      </c>
      <c r="G1319">
        <f>IFERROR(VLOOKUP(Orders!C1319,Customers!$A$2:$C$301,3,FALSE),"")</f>
        <v>52</v>
      </c>
      <c r="H1319" t="str">
        <f>VLOOKUP(D1319,Sales_Reps!$A$2:$C$31,3,FALSE)</f>
        <v>East</v>
      </c>
      <c r="I1319" s="44">
        <f t="shared" si="43"/>
        <v>45536</v>
      </c>
      <c r="L1319" t="str">
        <f>Orders!K1319</f>
        <v>Mumbai</v>
      </c>
      <c r="M1319">
        <f>Orders!G1319</f>
        <v>820</v>
      </c>
      <c r="N1319">
        <f>IFERROR(VLOOKUP(Orders!D1319,Products!$A$2:$D$61,4,FALSE),"")</f>
        <v>391</v>
      </c>
      <c r="O1319">
        <f t="shared" si="44"/>
        <v>0.52317073170731709</v>
      </c>
      <c r="Q1319" t="str">
        <f>Orders!D1319</f>
        <v>PROD-020</v>
      </c>
    </row>
    <row r="1320" spans="1:17" x14ac:dyDescent="0.3">
      <c r="A1320" t="str">
        <f>Orders!A1320</f>
        <v>ORD-01319</v>
      </c>
      <c r="B1320">
        <f>Orders!B1320</f>
        <v>45443</v>
      </c>
      <c r="C1320">
        <f>Orders!I1320</f>
        <v>953.51</v>
      </c>
      <c r="D1320" t="str">
        <f>Orders!E1320</f>
        <v>R014</v>
      </c>
      <c r="E1320" t="str">
        <f>IFERROR(VLOOKUP(Orders!D1320,Products!$A$2:$C$61,3,FALSE),"Unknown")</f>
        <v>Grocery</v>
      </c>
      <c r="F1320" t="str">
        <f>IFERROR(VLOOKUP(Orders!C1320,Customers!$A$2:$E$301,5,FALSE),"Unknown")</f>
        <v>Corporate</v>
      </c>
      <c r="G1320">
        <f>IFERROR(VLOOKUP(Orders!C1320,Customers!$A$2:$C$301,3,FALSE),"")</f>
        <v>42</v>
      </c>
      <c r="H1320" t="str">
        <f>VLOOKUP(D1320,Sales_Reps!$A$2:$C$31,3,FALSE)</f>
        <v>South</v>
      </c>
      <c r="I1320" s="44">
        <f t="shared" si="43"/>
        <v>45413</v>
      </c>
      <c r="L1320" t="str">
        <f>Orders!K1320</f>
        <v>Mumbai</v>
      </c>
      <c r="M1320">
        <f>Orders!G1320</f>
        <v>970</v>
      </c>
      <c r="N1320">
        <f>IFERROR(VLOOKUP(Orders!D1320,Products!$A$2:$D$61,4,FALSE),"")</f>
        <v>434</v>
      </c>
      <c r="O1320">
        <f t="shared" si="44"/>
        <v>0.5525773195876289</v>
      </c>
      <c r="Q1320" t="str">
        <f>Orders!D1320</f>
        <v>PROD-030</v>
      </c>
    </row>
    <row r="1321" spans="1:17" x14ac:dyDescent="0.3">
      <c r="A1321" t="str">
        <f>Orders!A1321</f>
        <v>ORD-01320</v>
      </c>
      <c r="B1321">
        <f>Orders!B1321</f>
        <v>45318</v>
      </c>
      <c r="C1321">
        <f>Orders!I1321</f>
        <v>15931</v>
      </c>
      <c r="D1321" t="str">
        <f>Orders!E1321</f>
        <v>R019</v>
      </c>
      <c r="E1321" t="str">
        <f>IFERROR(VLOOKUP(Orders!D1321,Products!$A$2:$C$61,3,FALSE),"Unknown")</f>
        <v>Apparel</v>
      </c>
      <c r="F1321" t="str">
        <f>IFERROR(VLOOKUP(Orders!C1321,Customers!$A$2:$E$301,5,FALSE),"Unknown")</f>
        <v>Retail</v>
      </c>
      <c r="G1321">
        <f>IFERROR(VLOOKUP(Orders!C1321,Customers!$A$2:$C$301,3,FALSE),"")</f>
        <v>60</v>
      </c>
      <c r="H1321" t="str">
        <f>VLOOKUP(D1321,Sales_Reps!$A$2:$C$31,3,FALSE)</f>
        <v>East</v>
      </c>
      <c r="I1321" s="44">
        <f t="shared" si="43"/>
        <v>45292</v>
      </c>
      <c r="L1321" t="str">
        <f>Orders!K1321</f>
        <v>Hyderabad</v>
      </c>
      <c r="M1321">
        <f>Orders!G1321</f>
        <v>3560</v>
      </c>
      <c r="N1321">
        <f>IFERROR(VLOOKUP(Orders!D1321,Products!$A$2:$D$61,4,FALSE),"")</f>
        <v>2629</v>
      </c>
      <c r="O1321">
        <f t="shared" si="44"/>
        <v>0.26151685393258428</v>
      </c>
      <c r="Q1321" t="str">
        <f>Orders!D1321</f>
        <v>PROD-018</v>
      </c>
    </row>
    <row r="1322" spans="1:17" x14ac:dyDescent="0.3">
      <c r="A1322" t="str">
        <f>Orders!A1322</f>
        <v>ORD-01321</v>
      </c>
      <c r="B1322">
        <f>Orders!B1322</f>
        <v>45308</v>
      </c>
      <c r="C1322">
        <f>Orders!I1322</f>
        <v>6383.04</v>
      </c>
      <c r="D1322" t="str">
        <f>Orders!E1322</f>
        <v>R009</v>
      </c>
      <c r="E1322" t="str">
        <f>IFERROR(VLOOKUP(Orders!D1322,Products!$A$2:$C$61,3,FALSE),"Unknown")</f>
        <v>Home</v>
      </c>
      <c r="F1322" t="str">
        <f>IFERROR(VLOOKUP(Orders!C1322,Customers!$A$2:$E$301,5,FALSE),"Unknown")</f>
        <v>Retail</v>
      </c>
      <c r="G1322">
        <f>IFERROR(VLOOKUP(Orders!C1322,Customers!$A$2:$C$301,3,FALSE),"")</f>
        <v>60</v>
      </c>
      <c r="H1322" t="str">
        <f>VLOOKUP(D1322,Sales_Reps!$A$2:$C$31,3,FALSE)</f>
        <v>South</v>
      </c>
      <c r="I1322" s="44">
        <f t="shared" si="43"/>
        <v>45292</v>
      </c>
      <c r="L1322" t="str">
        <f>Orders!K1322</f>
        <v>Chennai</v>
      </c>
      <c r="M1322">
        <f>Orders!G1322</f>
        <v>1090</v>
      </c>
      <c r="N1322">
        <f>IFERROR(VLOOKUP(Orders!D1322,Products!$A$2:$D$61,4,FALSE),"")</f>
        <v>464</v>
      </c>
      <c r="O1322">
        <f t="shared" si="44"/>
        <v>0.57431192660550456</v>
      </c>
      <c r="Q1322" t="str">
        <f>Orders!D1322</f>
        <v>PROD-035</v>
      </c>
    </row>
    <row r="1323" spans="1:17" x14ac:dyDescent="0.3">
      <c r="A1323" t="str">
        <f>Orders!A1323</f>
        <v>ORD-01322</v>
      </c>
      <c r="B1323">
        <f>Orders!B1323</f>
        <v>45306</v>
      </c>
      <c r="C1323">
        <f>Orders!I1323</f>
        <v>14938.56</v>
      </c>
      <c r="D1323" t="str">
        <f>Orders!E1323</f>
        <v>R017</v>
      </c>
      <c r="E1323" t="str">
        <f>IFERROR(VLOOKUP(Orders!D1323,Products!$A$2:$C$61,3,FALSE),"Unknown")</f>
        <v>Electronics</v>
      </c>
      <c r="F1323" t="str">
        <f>IFERROR(VLOOKUP(Orders!C1323,Customers!$A$2:$E$301,5,FALSE),"Unknown")</f>
        <v>Retail</v>
      </c>
      <c r="G1323">
        <f>IFERROR(VLOOKUP(Orders!C1323,Customers!$A$2:$C$301,3,FALSE),"")</f>
        <v>33</v>
      </c>
      <c r="H1323" t="str">
        <f>VLOOKUP(D1323,Sales_Reps!$A$2:$C$31,3,FALSE)</f>
        <v>East</v>
      </c>
      <c r="I1323" s="44">
        <f t="shared" si="43"/>
        <v>45292</v>
      </c>
      <c r="L1323" t="str">
        <f>Orders!K1323</f>
        <v>Mumbai</v>
      </c>
      <c r="M1323">
        <f>Orders!G1323</f>
        <v>2660</v>
      </c>
      <c r="N1323">
        <f>IFERROR(VLOOKUP(Orders!D1323,Products!$A$2:$D$61,4,FALSE),"")</f>
        <v>1259</v>
      </c>
      <c r="O1323">
        <f t="shared" si="44"/>
        <v>0.52669172932330832</v>
      </c>
      <c r="Q1323" t="str">
        <f>Orders!D1323</f>
        <v>PROD-008</v>
      </c>
    </row>
    <row r="1324" spans="1:17" x14ac:dyDescent="0.3">
      <c r="A1324" t="str">
        <f>Orders!A1324</f>
        <v>ORD-01323</v>
      </c>
      <c r="B1324">
        <f>Orders!B1324</f>
        <v>45432</v>
      </c>
      <c r="C1324">
        <f>Orders!I1324</f>
        <v>16118.2</v>
      </c>
      <c r="D1324" t="str">
        <f>Orders!E1324</f>
        <v>R001</v>
      </c>
      <c r="E1324" t="str">
        <f>IFERROR(VLOOKUP(Orders!D1324,Products!$A$2:$C$61,3,FALSE),"Unknown")</f>
        <v>Electronics</v>
      </c>
      <c r="F1324" t="str">
        <f>IFERROR(VLOOKUP(Orders!C1324,Customers!$A$2:$E$301,5,FALSE),"Unknown")</f>
        <v>Retail</v>
      </c>
      <c r="G1324">
        <f>IFERROR(VLOOKUP(Orders!C1324,Customers!$A$2:$C$301,3,FALSE),"")</f>
        <v>28</v>
      </c>
      <c r="H1324" t="str">
        <f>VLOOKUP(D1324,Sales_Reps!$A$2:$C$31,3,FALSE)</f>
        <v>North</v>
      </c>
      <c r="I1324" s="44">
        <f t="shared" si="43"/>
        <v>45413</v>
      </c>
      <c r="L1324" t="str">
        <f>Orders!K1324</f>
        <v>Hyderabad</v>
      </c>
      <c r="M1324">
        <f>Orders!G1324</f>
        <v>3970</v>
      </c>
      <c r="N1324">
        <f>IFERROR(VLOOKUP(Orders!D1324,Products!$A$2:$D$61,4,FALSE),"")</f>
        <v>2865</v>
      </c>
      <c r="O1324">
        <f t="shared" si="44"/>
        <v>0.27833753148614609</v>
      </c>
      <c r="Q1324" t="str">
        <f>Orders!D1324</f>
        <v>PROD-006</v>
      </c>
    </row>
    <row r="1325" spans="1:17" x14ac:dyDescent="0.3">
      <c r="A1325" t="str">
        <f>Orders!A1325</f>
        <v>ORD-01324</v>
      </c>
      <c r="B1325">
        <f>Orders!B1325</f>
        <v>45369</v>
      </c>
      <c r="C1325">
        <f>Orders!I1325</f>
        <v>37017.96</v>
      </c>
      <c r="D1325" t="str">
        <f>Orders!E1325</f>
        <v>R021</v>
      </c>
      <c r="E1325" t="str">
        <f>IFERROR(VLOOKUP(Orders!D1325,Products!$A$2:$C$61,3,FALSE),"Unknown")</f>
        <v>Sports</v>
      </c>
      <c r="F1325" t="str">
        <f>IFERROR(VLOOKUP(Orders!C1325,Customers!$A$2:$E$301,5,FALSE),"Unknown")</f>
        <v>Retail</v>
      </c>
      <c r="G1325">
        <f>IFERROR(VLOOKUP(Orders!C1325,Customers!$A$2:$C$301,3,FALSE),"")</f>
        <v>49</v>
      </c>
      <c r="H1325" t="str">
        <f>VLOOKUP(D1325,Sales_Reps!$A$2:$C$31,3,FALSE)</f>
        <v>East</v>
      </c>
      <c r="I1325" s="44">
        <f t="shared" si="43"/>
        <v>45352</v>
      </c>
      <c r="L1325" t="str">
        <f>Orders!K1325</f>
        <v>Mumbai</v>
      </c>
      <c r="M1325">
        <f>Orders!G1325</f>
        <v>6940</v>
      </c>
      <c r="N1325">
        <f>IFERROR(VLOOKUP(Orders!D1325,Products!$A$2:$D$61,4,FALSE),"")</f>
        <v>2827</v>
      </c>
      <c r="O1325">
        <f t="shared" si="44"/>
        <v>0.5926512968299712</v>
      </c>
      <c r="Q1325" t="str">
        <f>Orders!D1325</f>
        <v>PROD-056</v>
      </c>
    </row>
    <row r="1326" spans="1:17" x14ac:dyDescent="0.3">
      <c r="A1326" t="str">
        <f>Orders!A1326</f>
        <v>ORD-01325</v>
      </c>
      <c r="B1326">
        <f>Orders!B1326</f>
        <v>45544</v>
      </c>
      <c r="C1326">
        <f>Orders!I1326</f>
        <v>6494.4</v>
      </c>
      <c r="D1326" t="str">
        <f>Orders!E1326</f>
        <v>R004</v>
      </c>
      <c r="E1326" t="str">
        <f>IFERROR(VLOOKUP(Orders!D1326,Products!$A$2:$C$61,3,FALSE),"Unknown")</f>
        <v>Sports</v>
      </c>
      <c r="F1326" t="str">
        <f>IFERROR(VLOOKUP(Orders!C1326,Customers!$A$2:$E$301,5,FALSE),"Unknown")</f>
        <v>SMB</v>
      </c>
      <c r="G1326">
        <f>IFERROR(VLOOKUP(Orders!C1326,Customers!$A$2:$C$301,3,FALSE),"")</f>
        <v>27</v>
      </c>
      <c r="H1326" t="str">
        <f>VLOOKUP(D1326,Sales_Reps!$A$2:$C$31,3,FALSE)</f>
        <v>North</v>
      </c>
      <c r="I1326" s="44">
        <f t="shared" si="43"/>
        <v>45536</v>
      </c>
      <c r="L1326" t="str">
        <f>Orders!K1326</f>
        <v>Mumbai</v>
      </c>
      <c r="M1326">
        <f>Orders!G1326</f>
        <v>2400</v>
      </c>
      <c r="N1326">
        <f>IFERROR(VLOOKUP(Orders!D1326,Products!$A$2:$D$61,4,FALSE),"")</f>
        <v>974</v>
      </c>
      <c r="O1326">
        <f t="shared" si="44"/>
        <v>0.59416666666666662</v>
      </c>
      <c r="Q1326" t="str">
        <f>Orders!D1326</f>
        <v>PROD-058</v>
      </c>
    </row>
    <row r="1327" spans="1:17" x14ac:dyDescent="0.3">
      <c r="A1327" t="str">
        <f>Orders!A1327</f>
        <v>ORD-01326</v>
      </c>
      <c r="B1327">
        <f>Orders!B1327</f>
        <v>45395</v>
      </c>
      <c r="C1327">
        <f>Orders!I1327</f>
        <v>20258.400000000001</v>
      </c>
      <c r="D1327" t="str">
        <f>Orders!E1327</f>
        <v>R023</v>
      </c>
      <c r="E1327" t="str">
        <f>IFERROR(VLOOKUP(Orders!D1327,Products!$A$2:$C$61,3,FALSE),"Unknown")</f>
        <v>Sports</v>
      </c>
      <c r="F1327" t="str">
        <f>IFERROR(VLOOKUP(Orders!C1327,Customers!$A$2:$E$301,5,FALSE),"Unknown")</f>
        <v>Retail</v>
      </c>
      <c r="G1327">
        <f>IFERROR(VLOOKUP(Orders!C1327,Customers!$A$2:$C$301,3,FALSE),"")</f>
        <v>44</v>
      </c>
      <c r="H1327" t="str">
        <f>VLOOKUP(D1327,Sales_Reps!$A$2:$C$31,3,FALSE)</f>
        <v>East</v>
      </c>
      <c r="I1327" s="44">
        <f t="shared" si="43"/>
        <v>45383</v>
      </c>
      <c r="L1327" t="str">
        <f>Orders!K1327</f>
        <v>Pune</v>
      </c>
      <c r="M1327">
        <f>Orders!G1327</f>
        <v>3450</v>
      </c>
      <c r="N1327">
        <f>IFERROR(VLOOKUP(Orders!D1327,Products!$A$2:$D$61,4,FALSE),"")</f>
        <v>2467</v>
      </c>
      <c r="O1327">
        <f t="shared" si="44"/>
        <v>0.28492753623188405</v>
      </c>
      <c r="Q1327" t="str">
        <f>Orders!D1327</f>
        <v>PROD-051</v>
      </c>
    </row>
    <row r="1328" spans="1:17" x14ac:dyDescent="0.3">
      <c r="A1328" t="str">
        <f>Orders!A1328</f>
        <v>ORD-01327</v>
      </c>
      <c r="B1328">
        <f>Orders!B1328</f>
        <v>45389</v>
      </c>
      <c r="C1328">
        <f>Orders!I1328</f>
        <v>4611.6000000000004</v>
      </c>
      <c r="D1328" t="str">
        <f>Orders!E1328</f>
        <v>R004</v>
      </c>
      <c r="E1328" t="str">
        <f>IFERROR(VLOOKUP(Orders!D1328,Products!$A$2:$C$61,3,FALSE),"Unknown")</f>
        <v>Electronics</v>
      </c>
      <c r="F1328" t="str">
        <f>IFERROR(VLOOKUP(Orders!C1328,Customers!$A$2:$E$301,5,FALSE),"Unknown")</f>
        <v>SMB</v>
      </c>
      <c r="G1328">
        <f>IFERROR(VLOOKUP(Orders!C1328,Customers!$A$2:$C$301,3,FALSE),"")</f>
        <v>30</v>
      </c>
      <c r="H1328" t="str">
        <f>VLOOKUP(D1328,Sales_Reps!$A$2:$C$31,3,FALSE)</f>
        <v>North</v>
      </c>
      <c r="I1328" s="44">
        <f t="shared" si="43"/>
        <v>45383</v>
      </c>
      <c r="L1328" t="str">
        <f>Orders!K1328</f>
        <v>Pune</v>
      </c>
      <c r="M1328">
        <f>Orders!G1328</f>
        <v>1220</v>
      </c>
      <c r="N1328">
        <f>IFERROR(VLOOKUP(Orders!D1328,Products!$A$2:$D$61,4,FALSE),"")</f>
        <v>517</v>
      </c>
      <c r="O1328">
        <f t="shared" si="44"/>
        <v>0.57622950819672136</v>
      </c>
      <c r="Q1328" t="str">
        <f>Orders!D1328</f>
        <v>PROD-009</v>
      </c>
    </row>
    <row r="1329" spans="1:17" x14ac:dyDescent="0.3">
      <c r="A1329" t="str">
        <f>Orders!A1329</f>
        <v>ORD-01328</v>
      </c>
      <c r="B1329">
        <f>Orders!B1329</f>
        <v>45536</v>
      </c>
      <c r="C1329">
        <f>Orders!I1329</f>
        <v>481.74</v>
      </c>
      <c r="D1329" t="str">
        <f>Orders!E1329</f>
        <v>R007</v>
      </c>
      <c r="E1329" t="str">
        <f>IFERROR(VLOOKUP(Orders!D1329,Products!$A$2:$C$61,3,FALSE),"Unknown")</f>
        <v>Apparel</v>
      </c>
      <c r="F1329" t="str">
        <f>IFERROR(VLOOKUP(Orders!C1329,Customers!$A$2:$E$301,5,FALSE),"Unknown")</f>
        <v>Retail</v>
      </c>
      <c r="G1329">
        <f>IFERROR(VLOOKUP(Orders!C1329,Customers!$A$2:$C$301,3,FALSE),"")</f>
        <v>62</v>
      </c>
      <c r="H1329" t="str">
        <f>VLOOKUP(D1329,Sales_Reps!$A$2:$C$31,3,FALSE)</f>
        <v>North</v>
      </c>
      <c r="I1329" s="44">
        <f t="shared" si="43"/>
        <v>45536</v>
      </c>
      <c r="L1329" t="str">
        <f>Orders!K1329</f>
        <v>Delhi</v>
      </c>
      <c r="M1329">
        <f>Orders!G1329</f>
        <v>620</v>
      </c>
      <c r="N1329">
        <f>IFERROR(VLOOKUP(Orders!D1329,Products!$A$2:$D$61,4,FALSE),"")</f>
        <v>396</v>
      </c>
      <c r="O1329">
        <f t="shared" si="44"/>
        <v>0.36129032258064514</v>
      </c>
      <c r="Q1329" t="str">
        <f>Orders!D1329</f>
        <v>PROD-016</v>
      </c>
    </row>
    <row r="1330" spans="1:17" x14ac:dyDescent="0.3">
      <c r="A1330" t="str">
        <f>Orders!A1330</f>
        <v>ORD-01329</v>
      </c>
      <c r="B1330">
        <f>Orders!B1330</f>
        <v>45348</v>
      </c>
      <c r="C1330">
        <f>Orders!I1330</f>
        <v>262.5</v>
      </c>
      <c r="D1330" t="str">
        <f>Orders!E1330</f>
        <v>R023</v>
      </c>
      <c r="E1330" t="str">
        <f>IFERROR(VLOOKUP(Orders!D1330,Products!$A$2:$C$61,3,FALSE),"Unknown")</f>
        <v>Electronics</v>
      </c>
      <c r="F1330" t="str">
        <f>IFERROR(VLOOKUP(Orders!C1330,Customers!$A$2:$E$301,5,FALSE),"Unknown")</f>
        <v>SMB</v>
      </c>
      <c r="G1330">
        <f>IFERROR(VLOOKUP(Orders!C1330,Customers!$A$2:$C$301,3,FALSE),"")</f>
        <v>64</v>
      </c>
      <c r="H1330" t="str">
        <f>VLOOKUP(D1330,Sales_Reps!$A$2:$C$31,3,FALSE)</f>
        <v>East</v>
      </c>
      <c r="I1330" s="44">
        <f t="shared" si="43"/>
        <v>45323</v>
      </c>
      <c r="L1330" t="str">
        <f>Orders!K1330</f>
        <v>Bengaluru</v>
      </c>
      <c r="M1330">
        <f>Orders!G1330</f>
        <v>300</v>
      </c>
      <c r="N1330">
        <f>IFERROR(VLOOKUP(Orders!D1330,Products!$A$2:$D$61,4,FALSE),"")</f>
        <v>128</v>
      </c>
      <c r="O1330">
        <f t="shared" si="44"/>
        <v>0.57333333333333336</v>
      </c>
      <c r="Q1330" t="str">
        <f>Orders!D1330</f>
        <v>PROD-005</v>
      </c>
    </row>
    <row r="1331" spans="1:17" x14ac:dyDescent="0.3">
      <c r="A1331" t="str">
        <f>Orders!A1331</f>
        <v>ORD-01330</v>
      </c>
      <c r="B1331">
        <f>Orders!B1331</f>
        <v>45502</v>
      </c>
      <c r="C1331">
        <f>Orders!I1331</f>
        <v>2602.77</v>
      </c>
      <c r="D1331" t="str">
        <f>Orders!E1331</f>
        <v>R020</v>
      </c>
      <c r="E1331" t="str">
        <f>IFERROR(VLOOKUP(Orders!D1331,Products!$A$2:$C$61,3,FALSE),"Unknown")</f>
        <v>Sports</v>
      </c>
      <c r="F1331" t="str">
        <f>IFERROR(VLOOKUP(Orders!C1331,Customers!$A$2:$E$301,5,FALSE),"Unknown")</f>
        <v>Retail</v>
      </c>
      <c r="G1331">
        <f>IFERROR(VLOOKUP(Orders!C1331,Customers!$A$2:$C$301,3,FALSE),"")</f>
        <v>35</v>
      </c>
      <c r="H1331" t="str">
        <f>VLOOKUP(D1331,Sales_Reps!$A$2:$C$31,3,FALSE)</f>
        <v>East</v>
      </c>
      <c r="I1331" s="44">
        <f t="shared" si="43"/>
        <v>45474</v>
      </c>
      <c r="L1331" t="str">
        <f>Orders!K1331</f>
        <v>Bengaluru</v>
      </c>
      <c r="M1331">
        <f>Orders!G1331</f>
        <v>1010</v>
      </c>
      <c r="N1331">
        <f>IFERROR(VLOOKUP(Orders!D1331,Products!$A$2:$D$61,4,FALSE),"")</f>
        <v>516</v>
      </c>
      <c r="O1331">
        <f t="shared" si="44"/>
        <v>0.4891089108910891</v>
      </c>
      <c r="Q1331" t="str">
        <f>Orders!D1331</f>
        <v>PROD-054</v>
      </c>
    </row>
    <row r="1332" spans="1:17" x14ac:dyDescent="0.3">
      <c r="A1332" t="str">
        <f>Orders!A1332</f>
        <v>ORD-01331</v>
      </c>
      <c r="B1332">
        <f>Orders!B1332</f>
        <v>45600</v>
      </c>
      <c r="C1332">
        <f>Orders!I1332</f>
        <v>8453.1200000000008</v>
      </c>
      <c r="D1332" t="str">
        <f>Orders!E1332</f>
        <v>R027</v>
      </c>
      <c r="E1332" t="str">
        <f>IFERROR(VLOOKUP(Orders!D1332,Products!$A$2:$C$61,3,FALSE),"Unknown")</f>
        <v>Home</v>
      </c>
      <c r="F1332" t="str">
        <f>IFERROR(VLOOKUP(Orders!C1332,Customers!$A$2:$E$301,5,FALSE),"Unknown")</f>
        <v>Retail</v>
      </c>
      <c r="G1332">
        <f>IFERROR(VLOOKUP(Orders!C1332,Customers!$A$2:$C$301,3,FALSE),"")</f>
        <v>63</v>
      </c>
      <c r="H1332" t="str">
        <f>VLOOKUP(D1332,Sales_Reps!$A$2:$C$31,3,FALSE)</f>
        <v>West</v>
      </c>
      <c r="I1332" s="44">
        <f t="shared" si="43"/>
        <v>45597</v>
      </c>
      <c r="L1332" t="str">
        <f>Orders!K1332</f>
        <v>Delhi</v>
      </c>
      <c r="M1332">
        <f>Orders!G1332</f>
        <v>5080</v>
      </c>
      <c r="N1332">
        <f>IFERROR(VLOOKUP(Orders!D1332,Products!$A$2:$D$61,4,FALSE),"")</f>
        <v>2459</v>
      </c>
      <c r="O1332">
        <f t="shared" si="44"/>
        <v>0.51594488188976373</v>
      </c>
      <c r="Q1332" t="str">
        <f>Orders!D1332</f>
        <v>PROD-034</v>
      </c>
    </row>
    <row r="1333" spans="1:17" x14ac:dyDescent="0.3">
      <c r="A1333" t="str">
        <f>Orders!A1333</f>
        <v>ORD-01332</v>
      </c>
      <c r="B1333">
        <f>Orders!B1333</f>
        <v>45416</v>
      </c>
      <c r="C1333">
        <f>Orders!I1333</f>
        <v>4967.5200000000004</v>
      </c>
      <c r="D1333" t="str">
        <f>Orders!E1333</f>
        <v>R027</v>
      </c>
      <c r="E1333" t="str">
        <f>IFERROR(VLOOKUP(Orders!D1333,Products!$A$2:$C$61,3,FALSE),"Unknown")</f>
        <v>Apparel</v>
      </c>
      <c r="F1333" t="str">
        <f>IFERROR(VLOOKUP(Orders!C1333,Customers!$A$2:$E$301,5,FALSE),"Unknown")</f>
        <v>SMB</v>
      </c>
      <c r="G1333">
        <f>IFERROR(VLOOKUP(Orders!C1333,Customers!$A$2:$C$301,3,FALSE),"")</f>
        <v>40</v>
      </c>
      <c r="H1333" t="str">
        <f>VLOOKUP(D1333,Sales_Reps!$A$2:$C$31,3,FALSE)</f>
        <v>West</v>
      </c>
      <c r="I1333" s="44">
        <f t="shared" si="43"/>
        <v>45413</v>
      </c>
      <c r="L1333" t="str">
        <f>Orders!K1333</f>
        <v>HYDERABAD</v>
      </c>
      <c r="M1333">
        <f>Orders!G1333</f>
        <v>3160</v>
      </c>
      <c r="N1333">
        <f>IFERROR(VLOOKUP(Orders!D1333,Products!$A$2:$D$61,4,FALSE),"")</f>
        <v>1886</v>
      </c>
      <c r="O1333">
        <f t="shared" si="44"/>
        <v>0.4031645569620253</v>
      </c>
      <c r="Q1333" t="str">
        <f>Orders!D1333</f>
        <v>PROD-012</v>
      </c>
    </row>
    <row r="1334" spans="1:17" x14ac:dyDescent="0.3">
      <c r="A1334" t="str">
        <f>Orders!A1334</f>
        <v>ORD-01333</v>
      </c>
      <c r="B1334">
        <f>Orders!B1334</f>
        <v>45535</v>
      </c>
      <c r="C1334">
        <f>Orders!I1334</f>
        <v>19006.05</v>
      </c>
      <c r="D1334" t="str">
        <f>Orders!E1334</f>
        <v>R016</v>
      </c>
      <c r="E1334" t="str">
        <f>IFERROR(VLOOKUP(Orders!D1334,Products!$A$2:$C$61,3,FALSE),"Unknown")</f>
        <v>Beauty</v>
      </c>
      <c r="F1334" t="str">
        <f>IFERROR(VLOOKUP(Orders!C1334,Customers!$A$2:$E$301,5,FALSE),"Unknown")</f>
        <v>SMB</v>
      </c>
      <c r="G1334">
        <f>IFERROR(VLOOKUP(Orders!C1334,Customers!$A$2:$C$301,3,FALSE),"")</f>
        <v>49</v>
      </c>
      <c r="H1334" t="str">
        <f>VLOOKUP(D1334,Sales_Reps!$A$2:$C$31,3,FALSE)</f>
        <v>South</v>
      </c>
      <c r="I1334" s="44">
        <f t="shared" si="43"/>
        <v>45505</v>
      </c>
      <c r="L1334" t="str">
        <f>Orders!K1334</f>
        <v>Bengaluru</v>
      </c>
      <c r="M1334">
        <f>Orders!G1334</f>
        <v>3450</v>
      </c>
      <c r="N1334">
        <f>IFERROR(VLOOKUP(Orders!D1334,Products!$A$2:$D$61,4,FALSE),"")</f>
        <v>2420</v>
      </c>
      <c r="O1334">
        <f t="shared" si="44"/>
        <v>0.29855072463768118</v>
      </c>
      <c r="Q1334" t="str">
        <f>Orders!D1334</f>
        <v>PROD-047</v>
      </c>
    </row>
    <row r="1335" spans="1:17" x14ac:dyDescent="0.3">
      <c r="A1335" t="str">
        <f>Orders!A1335</f>
        <v>ORD-01334</v>
      </c>
      <c r="B1335">
        <f>Orders!B1335</f>
        <v>45322</v>
      </c>
      <c r="C1335">
        <f>Orders!I1335</f>
        <v>10201.620000000001</v>
      </c>
      <c r="D1335" t="str">
        <f>Orders!E1335</f>
        <v>R006</v>
      </c>
      <c r="E1335" t="str">
        <f>IFERROR(VLOOKUP(Orders!D1335,Products!$A$2:$C$61,3,FALSE),"Unknown")</f>
        <v>Electronics</v>
      </c>
      <c r="F1335" t="str">
        <f>IFERROR(VLOOKUP(Orders!C1335,Customers!$A$2:$E$301,5,FALSE),"Unknown")</f>
        <v>Corporate</v>
      </c>
      <c r="G1335">
        <f>IFERROR(VLOOKUP(Orders!C1335,Customers!$A$2:$C$301,3,FALSE),"")</f>
        <v>47</v>
      </c>
      <c r="H1335" t="str">
        <f>VLOOKUP(D1335,Sales_Reps!$A$2:$C$31,3,FALSE)</f>
        <v>North</v>
      </c>
      <c r="I1335" s="44">
        <f t="shared" si="43"/>
        <v>45292</v>
      </c>
      <c r="L1335" t="str">
        <f>Orders!K1335</f>
        <v>Delhi</v>
      </c>
      <c r="M1335">
        <f>Orders!G1335</f>
        <v>5330</v>
      </c>
      <c r="N1335">
        <f>IFERROR(VLOOKUP(Orders!D1335,Products!$A$2:$D$61,4,FALSE),"")</f>
        <v>2405</v>
      </c>
      <c r="O1335">
        <f t="shared" si="44"/>
        <v>0.54878048780487809</v>
      </c>
      <c r="Q1335" t="str">
        <f>Orders!D1335</f>
        <v>PROD-001</v>
      </c>
    </row>
    <row r="1336" spans="1:17" x14ac:dyDescent="0.3">
      <c r="A1336" t="str">
        <f>Orders!A1336</f>
        <v>ORD-01335</v>
      </c>
      <c r="B1336">
        <f>Orders!B1336</f>
        <v>45626</v>
      </c>
      <c r="C1336">
        <f>Orders!I1336</f>
        <v>33693.699999999997</v>
      </c>
      <c r="D1336" t="str">
        <f>Orders!E1336</f>
        <v>R014</v>
      </c>
      <c r="E1336" t="str">
        <f>IFERROR(VLOOKUP(Orders!D1336,Products!$A$2:$C$61,3,FALSE),"Unknown")</f>
        <v>Sports</v>
      </c>
      <c r="F1336" t="str">
        <f>IFERROR(VLOOKUP(Orders!C1336,Customers!$A$2:$E$301,5,FALSE),"Unknown")</f>
        <v>Retail</v>
      </c>
      <c r="G1336">
        <f>IFERROR(VLOOKUP(Orders!C1336,Customers!$A$2:$C$301,3,FALSE),"")</f>
        <v>44</v>
      </c>
      <c r="H1336" t="str">
        <f>VLOOKUP(D1336,Sales_Reps!$A$2:$C$31,3,FALSE)</f>
        <v>South</v>
      </c>
      <c r="I1336" s="44">
        <f t="shared" si="43"/>
        <v>45597</v>
      </c>
      <c r="L1336" t="str">
        <f>Orders!K1336</f>
        <v>Mumbai</v>
      </c>
      <c r="M1336">
        <f>Orders!G1336</f>
        <v>6940</v>
      </c>
      <c r="N1336">
        <f>IFERROR(VLOOKUP(Orders!D1336,Products!$A$2:$D$61,4,FALSE),"")</f>
        <v>2827</v>
      </c>
      <c r="O1336">
        <f t="shared" si="44"/>
        <v>0.5926512968299712</v>
      </c>
      <c r="Q1336" t="str">
        <f>Orders!D1336</f>
        <v>PROD-056</v>
      </c>
    </row>
    <row r="1337" spans="1:17" x14ac:dyDescent="0.3">
      <c r="A1337" t="str">
        <f>Orders!A1337</f>
        <v>ORD-01336</v>
      </c>
      <c r="B1337">
        <f>Orders!B1337</f>
        <v>45534</v>
      </c>
      <c r="C1337">
        <f>Orders!I1337</f>
        <v>2778.6</v>
      </c>
      <c r="D1337" t="str">
        <f>Orders!E1337</f>
        <v>R028</v>
      </c>
      <c r="E1337" t="str">
        <f>IFERROR(VLOOKUP(Orders!D1337,Products!$A$2:$C$61,3,FALSE),"Unknown")</f>
        <v>Home</v>
      </c>
      <c r="F1337" t="str">
        <f>IFERROR(VLOOKUP(Orders!C1337,Customers!$A$2:$E$301,5,FALSE),"Unknown")</f>
        <v>Retail</v>
      </c>
      <c r="G1337">
        <f>IFERROR(VLOOKUP(Orders!C1337,Customers!$A$2:$C$301,3,FALSE),"")</f>
        <v>34</v>
      </c>
      <c r="H1337" t="str">
        <f>VLOOKUP(D1337,Sales_Reps!$A$2:$C$31,3,FALSE)</f>
        <v>West</v>
      </c>
      <c r="I1337" s="44">
        <f t="shared" si="43"/>
        <v>45505</v>
      </c>
      <c r="L1337" t="str">
        <f>Orders!K1337</f>
        <v>Bengaluru</v>
      </c>
      <c r="M1337">
        <f>Orders!G1337</f>
        <v>660</v>
      </c>
      <c r="N1337">
        <f>IFERROR(VLOOKUP(Orders!D1337,Products!$A$2:$D$61,4,FALSE),"")</f>
        <v>329</v>
      </c>
      <c r="O1337">
        <f t="shared" si="44"/>
        <v>0.50151515151515147</v>
      </c>
      <c r="Q1337" t="str">
        <f>Orders!D1337</f>
        <v>PROD-037</v>
      </c>
    </row>
    <row r="1338" spans="1:17" x14ac:dyDescent="0.3">
      <c r="A1338" t="str">
        <f>Orders!A1338</f>
        <v>ORD-01337</v>
      </c>
      <c r="B1338">
        <f>Orders!B1338</f>
        <v>45519</v>
      </c>
      <c r="C1338">
        <f>Orders!I1338</f>
        <v>45716.4</v>
      </c>
      <c r="D1338" t="str">
        <f>Orders!E1338</f>
        <v>R013</v>
      </c>
      <c r="E1338" t="str">
        <f>IFERROR(VLOOKUP(Orders!D1338,Products!$A$2:$C$61,3,FALSE),"Unknown")</f>
        <v>Beauty</v>
      </c>
      <c r="F1338" t="str">
        <f>IFERROR(VLOOKUP(Orders!C1338,Customers!$A$2:$E$301,5,FALSE),"Unknown")</f>
        <v>Corporate</v>
      </c>
      <c r="G1338">
        <f>IFERROR(VLOOKUP(Orders!C1338,Customers!$A$2:$C$301,3,FALSE),"")</f>
        <v>52</v>
      </c>
      <c r="H1338" t="str">
        <f>VLOOKUP(D1338,Sales_Reps!$A$2:$C$31,3,FALSE)</f>
        <v>South</v>
      </c>
      <c r="I1338" s="44">
        <f t="shared" si="43"/>
        <v>45505</v>
      </c>
      <c r="L1338" t="str">
        <f>Orders!K1338</f>
        <v>Chennai</v>
      </c>
      <c r="M1338">
        <f>Orders!G1338</f>
        <v>5100</v>
      </c>
      <c r="N1338">
        <f>IFERROR(VLOOKUP(Orders!D1338,Products!$A$2:$D$61,4,FALSE),"")</f>
        <v>2237</v>
      </c>
      <c r="O1338">
        <f t="shared" si="44"/>
        <v>0.56137254901960787</v>
      </c>
      <c r="Q1338" t="str">
        <f>Orders!D1338</f>
        <v>PROD-048</v>
      </c>
    </row>
    <row r="1339" spans="1:17" x14ac:dyDescent="0.3">
      <c r="A1339" t="str">
        <f>Orders!A1339</f>
        <v>ORD-01338</v>
      </c>
      <c r="B1339">
        <f>Orders!B1339</f>
        <v>45315</v>
      </c>
      <c r="C1339">
        <f>Orders!I1339</f>
        <v>8184</v>
      </c>
      <c r="D1339" t="str">
        <f>Orders!E1339</f>
        <v>R014</v>
      </c>
      <c r="E1339" t="str">
        <f>IFERROR(VLOOKUP(Orders!D1339,Products!$A$2:$C$61,3,FALSE),"Unknown")</f>
        <v>Beauty</v>
      </c>
      <c r="F1339" t="str">
        <f>IFERROR(VLOOKUP(Orders!C1339,Customers!$A$2:$E$301,5,FALSE),"Unknown")</f>
        <v>Unknown</v>
      </c>
      <c r="G1339" t="str">
        <f>IFERROR(VLOOKUP(Orders!C1339,Customers!$A$2:$C$301,3,FALSE),"")</f>
        <v/>
      </c>
      <c r="H1339" t="str">
        <f>VLOOKUP(D1339,Sales_Reps!$A$2:$C$31,3,FALSE)</f>
        <v>South</v>
      </c>
      <c r="I1339" s="44">
        <f t="shared" si="43"/>
        <v>45292</v>
      </c>
      <c r="L1339" t="str">
        <f>Orders!K1339</f>
        <v>Chennai</v>
      </c>
      <c r="M1339">
        <f>Orders!G1339</f>
        <v>1650</v>
      </c>
      <c r="N1339">
        <f>IFERROR(VLOOKUP(Orders!D1339,Products!$A$2:$D$61,4,FALSE),"")</f>
        <v>1222</v>
      </c>
      <c r="O1339">
        <f t="shared" si="44"/>
        <v>0.2593939393939394</v>
      </c>
      <c r="Q1339" t="str">
        <f>Orders!D1339</f>
        <v>PROD-044</v>
      </c>
    </row>
    <row r="1340" spans="1:17" x14ac:dyDescent="0.3">
      <c r="A1340" t="str">
        <f>Orders!A1340</f>
        <v>ORD-01339</v>
      </c>
      <c r="B1340">
        <f>Orders!B1340</f>
        <v>45566</v>
      </c>
      <c r="C1340">
        <f>Orders!I1340</f>
        <v>18982.599999999999</v>
      </c>
      <c r="D1340" t="str">
        <f>Orders!E1340</f>
        <v>R018</v>
      </c>
      <c r="E1340" t="str">
        <f>IFERROR(VLOOKUP(Orders!D1340,Products!$A$2:$C$61,3,FALSE),"Unknown")</f>
        <v>Apparel</v>
      </c>
      <c r="F1340" t="str">
        <f>IFERROR(VLOOKUP(Orders!C1340,Customers!$A$2:$E$301,5,FALSE),"Unknown")</f>
        <v>Retail</v>
      </c>
      <c r="G1340">
        <f>IFERROR(VLOOKUP(Orders!C1340,Customers!$A$2:$C$301,3,FALSE),"")</f>
        <v>24</v>
      </c>
      <c r="H1340" t="str">
        <f>VLOOKUP(D1340,Sales_Reps!$A$2:$C$31,3,FALSE)</f>
        <v>East</v>
      </c>
      <c r="I1340" s="44">
        <f t="shared" si="43"/>
        <v>45566</v>
      </c>
      <c r="L1340" t="str">
        <f>Orders!K1340</f>
        <v>Chennai</v>
      </c>
      <c r="M1340">
        <f>Orders!G1340</f>
        <v>3640</v>
      </c>
      <c r="N1340">
        <f>IFERROR(VLOOKUP(Orders!D1340,Products!$A$2:$D$61,4,FALSE),"")</f>
        <v>2611</v>
      </c>
      <c r="O1340">
        <f t="shared" si="44"/>
        <v>0.28269230769230769</v>
      </c>
      <c r="Q1340" t="str">
        <f>Orders!D1340</f>
        <v>PROD-013</v>
      </c>
    </row>
    <row r="1341" spans="1:17" x14ac:dyDescent="0.3">
      <c r="A1341" t="str">
        <f>Orders!A1341</f>
        <v>ORD-01340</v>
      </c>
      <c r="B1341">
        <f>Orders!B1341</f>
        <v>45643</v>
      </c>
      <c r="C1341">
        <f>Orders!I1341</f>
        <v>25590.720000000001</v>
      </c>
      <c r="D1341" t="str">
        <f>Orders!E1341</f>
        <v>R029</v>
      </c>
      <c r="E1341" t="str">
        <f>IFERROR(VLOOKUP(Orders!D1341,Products!$A$2:$C$61,3,FALSE),"Unknown")</f>
        <v>Beauty</v>
      </c>
      <c r="F1341" t="str">
        <f>IFERROR(VLOOKUP(Orders!C1341,Customers!$A$2:$E$301,5,FALSE),"Unknown")</f>
        <v>Retail</v>
      </c>
      <c r="G1341">
        <f>IFERROR(VLOOKUP(Orders!C1341,Customers!$A$2:$C$301,3,FALSE),"")</f>
        <v>64</v>
      </c>
      <c r="H1341" t="str">
        <f>VLOOKUP(D1341,Sales_Reps!$A$2:$C$31,3,FALSE)</f>
        <v>West</v>
      </c>
      <c r="I1341" s="44">
        <f t="shared" si="43"/>
        <v>45627</v>
      </c>
      <c r="L1341" t="str">
        <f>Orders!K1341</f>
        <v>Hyderabad</v>
      </c>
      <c r="M1341">
        <f>Orders!G1341</f>
        <v>4880</v>
      </c>
      <c r="N1341">
        <f>IFERROR(VLOOKUP(Orders!D1341,Products!$A$2:$D$61,4,FALSE),"")</f>
        <v>2768</v>
      </c>
      <c r="O1341">
        <f t="shared" si="44"/>
        <v>0.43278688524590164</v>
      </c>
      <c r="Q1341" t="str">
        <f>Orders!D1341</f>
        <v>PROD-046</v>
      </c>
    </row>
    <row r="1342" spans="1:17" x14ac:dyDescent="0.3">
      <c r="A1342" t="str">
        <f>Orders!A1342</f>
        <v>ORD-01341</v>
      </c>
      <c r="B1342">
        <f>Orders!B1342</f>
        <v>45422</v>
      </c>
      <c r="C1342">
        <f>Orders!I1342</f>
        <v>17866.16</v>
      </c>
      <c r="D1342" t="str">
        <f>Orders!E1342</f>
        <v>R028</v>
      </c>
      <c r="E1342" t="str">
        <f>IFERROR(VLOOKUP(Orders!D1342,Products!$A$2:$C$61,3,FALSE),"Unknown")</f>
        <v>Electronics</v>
      </c>
      <c r="F1342" t="str">
        <f>IFERROR(VLOOKUP(Orders!C1342,Customers!$A$2:$E$301,5,FALSE),"Unknown")</f>
        <v>Retail</v>
      </c>
      <c r="G1342">
        <f>IFERROR(VLOOKUP(Orders!C1342,Customers!$A$2:$C$301,3,FALSE),"")</f>
        <v>35</v>
      </c>
      <c r="H1342" t="str">
        <f>VLOOKUP(D1342,Sales_Reps!$A$2:$C$31,3,FALSE)</f>
        <v>West</v>
      </c>
      <c r="I1342" s="44">
        <f t="shared" si="43"/>
        <v>45413</v>
      </c>
      <c r="L1342" t="str">
        <f>Orders!K1342</f>
        <v>Bengaluru</v>
      </c>
      <c r="M1342">
        <f>Orders!G1342</f>
        <v>5330</v>
      </c>
      <c r="N1342">
        <f>IFERROR(VLOOKUP(Orders!D1342,Products!$A$2:$D$61,4,FALSE),"")</f>
        <v>2405</v>
      </c>
      <c r="O1342">
        <f t="shared" si="44"/>
        <v>0.54878048780487809</v>
      </c>
      <c r="Q1342" t="str">
        <f>Orders!D1342</f>
        <v>PROD-001</v>
      </c>
    </row>
    <row r="1343" spans="1:17" x14ac:dyDescent="0.3">
      <c r="A1343" t="str">
        <f>Orders!A1343</f>
        <v>ORD-01342</v>
      </c>
      <c r="B1343">
        <f>Orders!B1343</f>
        <v>45400</v>
      </c>
      <c r="C1343">
        <f>Orders!I1343</f>
        <v>12072.51</v>
      </c>
      <c r="D1343" t="str">
        <f>Orders!E1343</f>
        <v>R023</v>
      </c>
      <c r="E1343" t="str">
        <f>IFERROR(VLOOKUP(Orders!D1343,Products!$A$2:$C$61,3,FALSE),"Unknown")</f>
        <v>Home</v>
      </c>
      <c r="F1343" t="str">
        <f>IFERROR(VLOOKUP(Orders!C1343,Customers!$A$2:$E$301,5,FALSE),"Unknown")</f>
        <v>SMB</v>
      </c>
      <c r="G1343">
        <f>IFERROR(VLOOKUP(Orders!C1343,Customers!$A$2:$C$301,3,FALSE),"")</f>
        <v>49</v>
      </c>
      <c r="H1343" t="str">
        <f>VLOOKUP(D1343,Sales_Reps!$A$2:$C$31,3,FALSE)</f>
        <v>East</v>
      </c>
      <c r="I1343" s="44">
        <f t="shared" si="43"/>
        <v>45383</v>
      </c>
      <c r="L1343" t="str">
        <f>Orders!K1343</f>
        <v>Pune</v>
      </c>
      <c r="M1343">
        <f>Orders!G1343</f>
        <v>5490</v>
      </c>
      <c r="N1343">
        <f>IFERROR(VLOOKUP(Orders!D1343,Products!$A$2:$D$61,4,FALSE),"")</f>
        <v>2549</v>
      </c>
      <c r="O1343">
        <f t="shared" si="44"/>
        <v>0.53570127504553733</v>
      </c>
      <c r="Q1343" t="str">
        <f>Orders!D1343</f>
        <v>PROD-038</v>
      </c>
    </row>
    <row r="1344" spans="1:17" x14ac:dyDescent="0.3">
      <c r="A1344" t="str">
        <f>Orders!A1344</f>
        <v>ORD-01343</v>
      </c>
      <c r="B1344">
        <f>Orders!B1344</f>
        <v>45564</v>
      </c>
      <c r="C1344">
        <f>Orders!I1344</f>
        <v>1175.72</v>
      </c>
      <c r="D1344" t="str">
        <f>Orders!E1344</f>
        <v>R002</v>
      </c>
      <c r="E1344" t="str">
        <f>IFERROR(VLOOKUP(Orders!D1344,Products!$A$2:$C$61,3,FALSE),"Unknown")</f>
        <v>Sports</v>
      </c>
      <c r="F1344" t="str">
        <f>IFERROR(VLOOKUP(Orders!C1344,Customers!$A$2:$E$301,5,FALSE),"Unknown")</f>
        <v>Corporate</v>
      </c>
      <c r="G1344">
        <f>IFERROR(VLOOKUP(Orders!C1344,Customers!$A$2:$C$301,3,FALSE),"")</f>
        <v>55</v>
      </c>
      <c r="H1344" t="str">
        <f>VLOOKUP(D1344,Sales_Reps!$A$2:$C$31,3,FALSE)</f>
        <v>North</v>
      </c>
      <c r="I1344" s="44">
        <f t="shared" si="43"/>
        <v>45536</v>
      </c>
      <c r="L1344" t="str">
        <f>Orders!K1344</f>
        <v>Chennai</v>
      </c>
      <c r="M1344">
        <f>Orders!G1344</f>
        <v>190</v>
      </c>
      <c r="N1344">
        <f>IFERROR(VLOOKUP(Orders!D1344,Products!$A$2:$D$61,4,FALSE),"")</f>
        <v>147</v>
      </c>
      <c r="O1344">
        <f t="shared" si="44"/>
        <v>0.22631578947368422</v>
      </c>
      <c r="Q1344" t="str">
        <f>Orders!D1344</f>
        <v>PROD-060</v>
      </c>
    </row>
    <row r="1345" spans="1:17" x14ac:dyDescent="0.3">
      <c r="A1345" t="str">
        <f>Orders!A1345</f>
        <v>ORD-01344</v>
      </c>
      <c r="B1345">
        <f>Orders!B1345</f>
        <v>45437</v>
      </c>
      <c r="C1345">
        <f>Orders!I1345</f>
        <v>11992.2</v>
      </c>
      <c r="D1345" t="str">
        <f>Orders!E1345</f>
        <v>R016</v>
      </c>
      <c r="E1345" t="str">
        <f>IFERROR(VLOOKUP(Orders!D1345,Products!$A$2:$C$61,3,FALSE),"Unknown")</f>
        <v>Apparel</v>
      </c>
      <c r="F1345" t="str">
        <f>IFERROR(VLOOKUP(Orders!C1345,Customers!$A$2:$E$301,5,FALSE),"Unknown")</f>
        <v>Retail</v>
      </c>
      <c r="G1345">
        <f>IFERROR(VLOOKUP(Orders!C1345,Customers!$A$2:$C$301,3,FALSE),"")</f>
        <v>27</v>
      </c>
      <c r="H1345" t="str">
        <f>VLOOKUP(D1345,Sales_Reps!$A$2:$C$31,3,FALSE)</f>
        <v>South</v>
      </c>
      <c r="I1345" s="44">
        <f t="shared" si="43"/>
        <v>45413</v>
      </c>
      <c r="L1345" t="str">
        <f>Orders!K1345</f>
        <v>Bengaluru</v>
      </c>
      <c r="M1345">
        <f>Orders!G1345</f>
        <v>3160</v>
      </c>
      <c r="N1345">
        <f>IFERROR(VLOOKUP(Orders!D1345,Products!$A$2:$D$61,4,FALSE),"")</f>
        <v>1886</v>
      </c>
      <c r="O1345">
        <f t="shared" si="44"/>
        <v>0.4031645569620253</v>
      </c>
      <c r="Q1345" t="str">
        <f>Orders!D1345</f>
        <v>PROD-012</v>
      </c>
    </row>
    <row r="1346" spans="1:17" x14ac:dyDescent="0.3">
      <c r="A1346" t="str">
        <f>Orders!A1346</f>
        <v>ORD-01345</v>
      </c>
      <c r="B1346">
        <f>Orders!B1346</f>
        <v>45395</v>
      </c>
      <c r="C1346">
        <f>Orders!I1346</f>
        <v>985.36</v>
      </c>
      <c r="D1346" t="str">
        <f>Orders!E1346</f>
        <v>R023</v>
      </c>
      <c r="E1346" t="str">
        <f>IFERROR(VLOOKUP(Orders!D1346,Products!$A$2:$C$61,3,FALSE),"Unknown")</f>
        <v>Home</v>
      </c>
      <c r="F1346" t="str">
        <f>IFERROR(VLOOKUP(Orders!C1346,Customers!$A$2:$E$301,5,FALSE),"Unknown")</f>
        <v>Retail</v>
      </c>
      <c r="G1346">
        <f>IFERROR(VLOOKUP(Orders!C1346,Customers!$A$2:$C$301,3,FALSE),"")</f>
        <v>23</v>
      </c>
      <c r="H1346" t="str">
        <f>VLOOKUP(D1346,Sales_Reps!$A$2:$C$31,3,FALSE)</f>
        <v>East</v>
      </c>
      <c r="I1346" s="44">
        <f t="shared" si="43"/>
        <v>45383</v>
      </c>
      <c r="L1346" t="str">
        <f>Orders!K1346</f>
        <v>Bengaluru</v>
      </c>
      <c r="M1346">
        <f>Orders!G1346</f>
        <v>1090</v>
      </c>
      <c r="N1346">
        <f>IFERROR(VLOOKUP(Orders!D1346,Products!$A$2:$D$61,4,FALSE),"")</f>
        <v>464</v>
      </c>
      <c r="O1346">
        <f t="shared" si="44"/>
        <v>0.57431192660550456</v>
      </c>
      <c r="Q1346" t="str">
        <f>Orders!D1346</f>
        <v>PROD-035</v>
      </c>
    </row>
    <row r="1347" spans="1:17" x14ac:dyDescent="0.3">
      <c r="A1347" t="str">
        <f>Orders!A1347</f>
        <v>ORD-01346</v>
      </c>
      <c r="B1347">
        <f>Orders!B1347</f>
        <v>45447</v>
      </c>
      <c r="C1347">
        <f>Orders!I1347</f>
        <v>3196.8</v>
      </c>
      <c r="D1347" t="str">
        <f>Orders!E1347</f>
        <v>R004</v>
      </c>
      <c r="E1347" t="str">
        <f>IFERROR(VLOOKUP(Orders!D1347,Products!$A$2:$C$61,3,FALSE),"Unknown")</f>
        <v>Home</v>
      </c>
      <c r="F1347" t="str">
        <f>IFERROR(VLOOKUP(Orders!C1347,Customers!$A$2:$E$301,5,FALSE),"Unknown")</f>
        <v>Corporate</v>
      </c>
      <c r="G1347">
        <f>IFERROR(VLOOKUP(Orders!C1347,Customers!$A$2:$C$301,3,FALSE),"")</f>
        <v>27</v>
      </c>
      <c r="H1347" t="str">
        <f>VLOOKUP(D1347,Sales_Reps!$A$2:$C$31,3,FALSE)</f>
        <v>North</v>
      </c>
      <c r="I1347" s="44">
        <f t="shared" ref="I1347:I1410" si="45">DATE(YEAR(B1347),MONTH(B1347),1)</f>
        <v>45444</v>
      </c>
      <c r="L1347" t="str">
        <f>Orders!K1347</f>
        <v>Delhi</v>
      </c>
      <c r="M1347">
        <f>Orders!G1347</f>
        <v>370</v>
      </c>
      <c r="N1347">
        <f>IFERROR(VLOOKUP(Orders!D1347,Products!$A$2:$D$61,4,FALSE),"")</f>
        <v>288</v>
      </c>
      <c r="O1347">
        <f t="shared" ref="O1347:O1410" si="46">IF(OR(N1347="",M1347&lt;=0),"",(M1347-N1347)/M1347)</f>
        <v>0.22162162162162163</v>
      </c>
      <c r="Q1347" t="str">
        <f>Orders!D1347</f>
        <v>PROD-032</v>
      </c>
    </row>
    <row r="1348" spans="1:17" x14ac:dyDescent="0.3">
      <c r="A1348" t="str">
        <f>Orders!A1348</f>
        <v>ORD-01347</v>
      </c>
      <c r="B1348">
        <f>Orders!B1348</f>
        <v>45300</v>
      </c>
      <c r="C1348">
        <f>Orders!I1348</f>
        <v>10028.200000000001</v>
      </c>
      <c r="D1348" t="str">
        <f>Orders!E1348</f>
        <v>R002</v>
      </c>
      <c r="E1348" t="str">
        <f>IFERROR(VLOOKUP(Orders!D1348,Products!$A$2:$C$61,3,FALSE),"Unknown")</f>
        <v>Electronics</v>
      </c>
      <c r="F1348" t="str">
        <f>IFERROR(VLOOKUP(Orders!C1348,Customers!$A$2:$E$301,5,FALSE),"Unknown")</f>
        <v>Retail</v>
      </c>
      <c r="G1348">
        <f>IFERROR(VLOOKUP(Orders!C1348,Customers!$A$2:$C$301,3,FALSE),"")</f>
        <v>51</v>
      </c>
      <c r="H1348" t="str">
        <f>VLOOKUP(D1348,Sales_Reps!$A$2:$C$31,3,FALSE)</f>
        <v>North</v>
      </c>
      <c r="I1348" s="44">
        <f t="shared" si="45"/>
        <v>45292</v>
      </c>
      <c r="L1348" t="str">
        <f>Orders!K1348</f>
        <v>Chennai</v>
      </c>
      <c r="M1348">
        <f>Orders!G1348</f>
        <v>2660</v>
      </c>
      <c r="N1348">
        <f>IFERROR(VLOOKUP(Orders!D1348,Products!$A$2:$D$61,4,FALSE),"")</f>
        <v>1259</v>
      </c>
      <c r="O1348">
        <f t="shared" si="46"/>
        <v>0.52669172932330832</v>
      </c>
      <c r="Q1348" t="str">
        <f>Orders!D1348</f>
        <v>PROD-008</v>
      </c>
    </row>
    <row r="1349" spans="1:17" x14ac:dyDescent="0.3">
      <c r="A1349" t="str">
        <f>Orders!A1349</f>
        <v>ORD-01348</v>
      </c>
      <c r="B1349">
        <f>Orders!B1349</f>
        <v>45327</v>
      </c>
      <c r="C1349">
        <f>Orders!I1349</f>
        <v>10580.32</v>
      </c>
      <c r="D1349" t="str">
        <f>Orders!E1349</f>
        <v>R018</v>
      </c>
      <c r="E1349" t="str">
        <f>IFERROR(VLOOKUP(Orders!D1349,Products!$A$2:$C$61,3,FALSE),"Unknown")</f>
        <v>Apparel</v>
      </c>
      <c r="F1349" t="str">
        <f>IFERROR(VLOOKUP(Orders!C1349,Customers!$A$2:$E$301,5,FALSE),"Unknown")</f>
        <v>Retail</v>
      </c>
      <c r="G1349">
        <f>IFERROR(VLOOKUP(Orders!C1349,Customers!$A$2:$C$301,3,FALSE),"")</f>
        <v>34</v>
      </c>
      <c r="H1349" t="str">
        <f>VLOOKUP(D1349,Sales_Reps!$A$2:$C$31,3,FALSE)</f>
        <v>East</v>
      </c>
      <c r="I1349" s="44">
        <f t="shared" si="45"/>
        <v>45323</v>
      </c>
      <c r="L1349" t="str">
        <f>Orders!K1349</f>
        <v>Chennai</v>
      </c>
      <c r="M1349">
        <f>Orders!G1349</f>
        <v>3560</v>
      </c>
      <c r="N1349">
        <f>IFERROR(VLOOKUP(Orders!D1349,Products!$A$2:$D$61,4,FALSE),"")</f>
        <v>2629</v>
      </c>
      <c r="O1349">
        <f t="shared" si="46"/>
        <v>0.26151685393258428</v>
      </c>
      <c r="Q1349" t="str">
        <f>Orders!D1349</f>
        <v>PROD-018</v>
      </c>
    </row>
    <row r="1350" spans="1:17" x14ac:dyDescent="0.3">
      <c r="A1350" t="str">
        <f>Orders!A1350</f>
        <v>ORD-01349</v>
      </c>
      <c r="B1350">
        <f>Orders!B1350</f>
        <v>45410</v>
      </c>
      <c r="C1350">
        <f>Orders!I1350</f>
        <v>7672.32</v>
      </c>
      <c r="D1350" t="str">
        <f>Orders!E1350</f>
        <v>R005</v>
      </c>
      <c r="E1350" t="str">
        <f>IFERROR(VLOOKUP(Orders!D1350,Products!$A$2:$C$61,3,FALSE),"Unknown")</f>
        <v>Beauty</v>
      </c>
      <c r="F1350" t="str">
        <f>IFERROR(VLOOKUP(Orders!C1350,Customers!$A$2:$E$301,5,FALSE),"Unknown")</f>
        <v>Corporate</v>
      </c>
      <c r="G1350">
        <f>IFERROR(VLOOKUP(Orders!C1350,Customers!$A$2:$C$301,3,FALSE),"")</f>
        <v>52</v>
      </c>
      <c r="H1350" t="str">
        <f>VLOOKUP(D1350,Sales_Reps!$A$2:$C$31,3,FALSE)</f>
        <v>North</v>
      </c>
      <c r="I1350" s="44">
        <f t="shared" si="45"/>
        <v>45383</v>
      </c>
      <c r="L1350" t="str">
        <f>Orders!K1350</f>
        <v>Chennai</v>
      </c>
      <c r="M1350">
        <f>Orders!G1350</f>
        <v>960</v>
      </c>
      <c r="N1350">
        <f>IFERROR(VLOOKUP(Orders!D1350,Products!$A$2:$D$61,4,FALSE),"")</f>
        <v>675</v>
      </c>
      <c r="O1350">
        <f t="shared" si="46"/>
        <v>0.296875</v>
      </c>
      <c r="Q1350" t="str">
        <f>Orders!D1350</f>
        <v>PROD-049</v>
      </c>
    </row>
    <row r="1351" spans="1:17" x14ac:dyDescent="0.3">
      <c r="A1351" t="str">
        <f>Orders!A1351</f>
        <v>ORD-01350</v>
      </c>
      <c r="B1351">
        <f>Orders!B1351</f>
        <v>45644</v>
      </c>
      <c r="C1351">
        <f>Orders!I1351</f>
        <v>3093.2</v>
      </c>
      <c r="D1351" t="str">
        <f>Orders!E1351</f>
        <v>R024</v>
      </c>
      <c r="E1351" t="str">
        <f>IFERROR(VLOOKUP(Orders!D1351,Products!$A$2:$C$61,3,FALSE),"Unknown")</f>
        <v>Home</v>
      </c>
      <c r="F1351" t="str">
        <f>IFERROR(VLOOKUP(Orders!C1351,Customers!$A$2:$E$301,5,FALSE),"Unknown")</f>
        <v>Retail</v>
      </c>
      <c r="G1351">
        <f>IFERROR(VLOOKUP(Orders!C1351,Customers!$A$2:$C$301,3,FALSE),"")</f>
        <v>37</v>
      </c>
      <c r="H1351" t="str">
        <f>VLOOKUP(D1351,Sales_Reps!$A$2:$C$31,3,FALSE)</f>
        <v>West</v>
      </c>
      <c r="I1351" s="44">
        <f t="shared" si="45"/>
        <v>45627</v>
      </c>
      <c r="L1351" t="str">
        <f>Orders!K1351</f>
        <v>Chennai</v>
      </c>
      <c r="M1351">
        <f>Orders!G1351</f>
        <v>370</v>
      </c>
      <c r="N1351">
        <f>IFERROR(VLOOKUP(Orders!D1351,Products!$A$2:$D$61,4,FALSE),"")</f>
        <v>288</v>
      </c>
      <c r="O1351">
        <f t="shared" si="46"/>
        <v>0.22162162162162163</v>
      </c>
      <c r="Q1351" t="str">
        <f>Orders!D1351</f>
        <v>PROD-032</v>
      </c>
    </row>
    <row r="1352" spans="1:17" x14ac:dyDescent="0.3">
      <c r="A1352" t="str">
        <f>Orders!A1352</f>
        <v>ORD-01351</v>
      </c>
      <c r="B1352">
        <f>Orders!B1352</f>
        <v>45399</v>
      </c>
      <c r="C1352">
        <f>Orders!I1352</f>
        <v>10542.72</v>
      </c>
      <c r="D1352" t="str">
        <f>Orders!E1352</f>
        <v>R029</v>
      </c>
      <c r="E1352" t="str">
        <f>IFERROR(VLOOKUP(Orders!D1352,Products!$A$2:$C$61,3,FALSE),"Unknown")</f>
        <v>Apparel</v>
      </c>
      <c r="F1352" t="str">
        <f>IFERROR(VLOOKUP(Orders!C1352,Customers!$A$2:$E$301,5,FALSE),"Unknown")</f>
        <v>Retail</v>
      </c>
      <c r="G1352">
        <f>IFERROR(VLOOKUP(Orders!C1352,Customers!$A$2:$C$301,3,FALSE),"")</f>
        <v>37</v>
      </c>
      <c r="H1352" t="str">
        <f>VLOOKUP(D1352,Sales_Reps!$A$2:$C$31,3,FALSE)</f>
        <v>West</v>
      </c>
      <c r="I1352" s="44">
        <f t="shared" si="45"/>
        <v>45383</v>
      </c>
      <c r="L1352" t="str">
        <f>Orders!K1352</f>
        <v>Bengaluru</v>
      </c>
      <c r="M1352">
        <f>Orders!G1352</f>
        <v>2720</v>
      </c>
      <c r="N1352">
        <f>IFERROR(VLOOKUP(Orders!D1352,Products!$A$2:$D$61,4,FALSE),"")</f>
        <v>1962</v>
      </c>
      <c r="O1352">
        <f t="shared" si="46"/>
        <v>0.2786764705882353</v>
      </c>
      <c r="Q1352" t="str">
        <f>Orders!D1352</f>
        <v>PROD-015</v>
      </c>
    </row>
    <row r="1353" spans="1:17" x14ac:dyDescent="0.3">
      <c r="A1353" t="str">
        <f>Orders!A1353</f>
        <v>ORD-01352</v>
      </c>
      <c r="B1353">
        <f>Orders!B1353</f>
        <v>45441</v>
      </c>
      <c r="C1353">
        <f>Orders!I1353</f>
        <v>47345.599999999999</v>
      </c>
      <c r="D1353" t="str">
        <f>Orders!E1353</f>
        <v>R005</v>
      </c>
      <c r="E1353" t="str">
        <f>IFERROR(VLOOKUP(Orders!D1353,Products!$A$2:$C$61,3,FALSE),"Unknown")</f>
        <v>Home</v>
      </c>
      <c r="F1353" t="str">
        <f>IFERROR(VLOOKUP(Orders!C1353,Customers!$A$2:$E$301,5,FALSE),"Unknown")</f>
        <v>Corporate</v>
      </c>
      <c r="G1353">
        <f>IFERROR(VLOOKUP(Orders!C1353,Customers!$A$2:$C$301,3,FALSE),"")</f>
        <v>24</v>
      </c>
      <c r="H1353" t="str">
        <f>VLOOKUP(D1353,Sales_Reps!$A$2:$C$31,3,FALSE)</f>
        <v>North</v>
      </c>
      <c r="I1353" s="44">
        <f t="shared" si="45"/>
        <v>45413</v>
      </c>
      <c r="L1353" t="str">
        <f>Orders!K1353</f>
        <v>Chennai</v>
      </c>
      <c r="M1353">
        <f>Orders!G1353</f>
        <v>5080</v>
      </c>
      <c r="N1353">
        <f>IFERROR(VLOOKUP(Orders!D1353,Products!$A$2:$D$61,4,FALSE),"")</f>
        <v>2459</v>
      </c>
      <c r="O1353">
        <f t="shared" si="46"/>
        <v>0.51594488188976373</v>
      </c>
      <c r="Q1353" t="str">
        <f>Orders!D1353</f>
        <v>PROD-034</v>
      </c>
    </row>
    <row r="1354" spans="1:17" x14ac:dyDescent="0.3">
      <c r="A1354" t="str">
        <f>Orders!A1354</f>
        <v>ORD-01353</v>
      </c>
      <c r="B1354">
        <f>Orders!B1354</f>
        <v>45379</v>
      </c>
      <c r="C1354">
        <f>Orders!I1354</f>
        <v>10634.76</v>
      </c>
      <c r="D1354" t="str">
        <f>Orders!E1354</f>
        <v>R008</v>
      </c>
      <c r="E1354" t="str">
        <f>IFERROR(VLOOKUP(Orders!D1354,Products!$A$2:$C$61,3,FALSE),"Unknown")</f>
        <v>Beauty</v>
      </c>
      <c r="F1354" t="str">
        <f>IFERROR(VLOOKUP(Orders!C1354,Customers!$A$2:$E$301,5,FALSE),"Unknown")</f>
        <v>Corporate</v>
      </c>
      <c r="G1354">
        <f>IFERROR(VLOOKUP(Orders!C1354,Customers!$A$2:$C$301,3,FALSE),"")</f>
        <v>25</v>
      </c>
      <c r="H1354" t="str">
        <f>VLOOKUP(D1354,Sales_Reps!$A$2:$C$31,3,FALSE)</f>
        <v>North</v>
      </c>
      <c r="I1354" s="44">
        <f t="shared" si="45"/>
        <v>45352</v>
      </c>
      <c r="L1354" t="str">
        <f>Orders!K1354</f>
        <v>Hyderabad</v>
      </c>
      <c r="M1354">
        <f>Orders!G1354</f>
        <v>2290</v>
      </c>
      <c r="N1354">
        <f>IFERROR(VLOOKUP(Orders!D1354,Products!$A$2:$D$61,4,FALSE),"")</f>
        <v>1219</v>
      </c>
      <c r="O1354">
        <f t="shared" si="46"/>
        <v>0.46768558951965067</v>
      </c>
      <c r="Q1354" t="str">
        <f>Orders!D1354</f>
        <v>PROD-042</v>
      </c>
    </row>
    <row r="1355" spans="1:17" x14ac:dyDescent="0.3">
      <c r="A1355" t="str">
        <f>Orders!A1355</f>
        <v>ORD-01354</v>
      </c>
      <c r="B1355">
        <f>Orders!B1355</f>
        <v>45502</v>
      </c>
      <c r="C1355">
        <f>Orders!I1355</f>
        <v>8037.12</v>
      </c>
      <c r="D1355" t="str">
        <f>Orders!E1355</f>
        <v>R006</v>
      </c>
      <c r="E1355" t="str">
        <f>IFERROR(VLOOKUP(Orders!D1355,Products!$A$2:$C$61,3,FALSE),"Unknown")</f>
        <v>Grocery</v>
      </c>
      <c r="F1355" t="str">
        <f>IFERROR(VLOOKUP(Orders!C1355,Customers!$A$2:$E$301,5,FALSE),"Unknown")</f>
        <v>Corporate</v>
      </c>
      <c r="G1355">
        <f>IFERROR(VLOOKUP(Orders!C1355,Customers!$A$2:$C$301,3,FALSE),"")</f>
        <v>42</v>
      </c>
      <c r="H1355" t="str">
        <f>VLOOKUP(D1355,Sales_Reps!$A$2:$C$31,3,FALSE)</f>
        <v>North</v>
      </c>
      <c r="I1355" s="44">
        <f t="shared" si="45"/>
        <v>45474</v>
      </c>
      <c r="L1355" t="str">
        <f>Orders!K1355</f>
        <v>Pune</v>
      </c>
      <c r="M1355">
        <f>Orders!G1355</f>
        <v>2760</v>
      </c>
      <c r="N1355">
        <f>IFERROR(VLOOKUP(Orders!D1355,Products!$A$2:$D$61,4,FALSE),"")</f>
        <v>1435</v>
      </c>
      <c r="O1355">
        <f t="shared" si="46"/>
        <v>0.48007246376811596</v>
      </c>
      <c r="Q1355" t="str">
        <f>Orders!D1355</f>
        <v>PROD-021</v>
      </c>
    </row>
    <row r="1356" spans="1:17" x14ac:dyDescent="0.3">
      <c r="A1356" t="str">
        <f>Orders!A1356</f>
        <v>ORD-01355</v>
      </c>
      <c r="B1356">
        <f>Orders!B1356</f>
        <v>45466</v>
      </c>
      <c r="C1356">
        <f>Orders!I1356</f>
        <v>19367.64</v>
      </c>
      <c r="D1356" t="str">
        <f>Orders!E1356</f>
        <v>R027</v>
      </c>
      <c r="E1356" t="str">
        <f>IFERROR(VLOOKUP(Orders!D1356,Products!$A$2:$C$61,3,FALSE),"Unknown")</f>
        <v>Grocery</v>
      </c>
      <c r="F1356" t="str">
        <f>IFERROR(VLOOKUP(Orders!C1356,Customers!$A$2:$E$301,5,FALSE),"Unknown")</f>
        <v>Retail</v>
      </c>
      <c r="G1356">
        <f>IFERROR(VLOOKUP(Orders!C1356,Customers!$A$2:$C$301,3,FALSE),"")</f>
        <v>65</v>
      </c>
      <c r="H1356" t="str">
        <f>VLOOKUP(D1356,Sales_Reps!$A$2:$C$31,3,FALSE)</f>
        <v>West</v>
      </c>
      <c r="I1356" s="44">
        <f t="shared" si="45"/>
        <v>45444</v>
      </c>
      <c r="L1356" t="str">
        <f>Orders!K1356</f>
        <v>Pune</v>
      </c>
      <c r="M1356">
        <f>Orders!G1356</f>
        <v>2270</v>
      </c>
      <c r="N1356">
        <f>IFERROR(VLOOKUP(Orders!D1356,Products!$A$2:$D$61,4,FALSE),"")</f>
        <v>1203</v>
      </c>
      <c r="O1356">
        <f t="shared" si="46"/>
        <v>0.47004405286343615</v>
      </c>
      <c r="Q1356" t="str">
        <f>Orders!D1356</f>
        <v>PROD-024</v>
      </c>
    </row>
    <row r="1357" spans="1:17" x14ac:dyDescent="0.3">
      <c r="A1357" t="str">
        <f>Orders!A1357</f>
        <v>ORD-01356</v>
      </c>
      <c r="B1357">
        <f>Orders!B1357</f>
        <v>45500</v>
      </c>
      <c r="C1357">
        <f>Orders!I1357</f>
        <v>6295.08</v>
      </c>
      <c r="D1357" t="str">
        <f>Orders!E1357</f>
        <v>R008</v>
      </c>
      <c r="E1357" t="str">
        <f>IFERROR(VLOOKUP(Orders!D1357,Products!$A$2:$C$61,3,FALSE),"Unknown")</f>
        <v>Apparel</v>
      </c>
      <c r="F1357" t="str">
        <f>IFERROR(VLOOKUP(Orders!C1357,Customers!$A$2:$E$301,5,FALSE),"Unknown")</f>
        <v>SMB</v>
      </c>
      <c r="G1357">
        <f>IFERROR(VLOOKUP(Orders!C1357,Customers!$A$2:$C$301,3,FALSE),"")</f>
        <v>53</v>
      </c>
      <c r="H1357" t="str">
        <f>VLOOKUP(D1357,Sales_Reps!$A$2:$C$31,3,FALSE)</f>
        <v>North</v>
      </c>
      <c r="I1357" s="44">
        <f t="shared" si="45"/>
        <v>45474</v>
      </c>
      <c r="L1357" t="str">
        <f>Orders!K1357</f>
        <v>Chennai</v>
      </c>
      <c r="M1357">
        <f>Orders!G1357</f>
        <v>2510</v>
      </c>
      <c r="N1357">
        <f>IFERROR(VLOOKUP(Orders!D1357,Products!$A$2:$D$61,4,FALSE),"")</f>
        <v>1075</v>
      </c>
      <c r="O1357">
        <f t="shared" si="46"/>
        <v>0.57171314741035861</v>
      </c>
      <c r="Q1357" t="str">
        <f>Orders!D1357</f>
        <v>PROD-017</v>
      </c>
    </row>
    <row r="1358" spans="1:17" x14ac:dyDescent="0.3">
      <c r="A1358" t="str">
        <f>Orders!A1358</f>
        <v>ORD-01357</v>
      </c>
      <c r="B1358">
        <f>Orders!B1358</f>
        <v>45337</v>
      </c>
      <c r="C1358">
        <f>Orders!I1358</f>
        <v>1820.7</v>
      </c>
      <c r="D1358" t="str">
        <f>Orders!E1358</f>
        <v>R012</v>
      </c>
      <c r="E1358" t="str">
        <f>IFERROR(VLOOKUP(Orders!D1358,Products!$A$2:$C$61,3,FALSE),"Unknown")</f>
        <v>Grocery</v>
      </c>
      <c r="F1358" t="str">
        <f>IFERROR(VLOOKUP(Orders!C1358,Customers!$A$2:$E$301,5,FALSE),"Unknown")</f>
        <v>Retail</v>
      </c>
      <c r="G1358">
        <f>IFERROR(VLOOKUP(Orders!C1358,Customers!$A$2:$C$301,3,FALSE),"")</f>
        <v>46</v>
      </c>
      <c r="H1358" t="str">
        <f>VLOOKUP(D1358,Sales_Reps!$A$2:$C$31,3,FALSE)</f>
        <v>South</v>
      </c>
      <c r="I1358" s="44">
        <f t="shared" si="45"/>
        <v>45323</v>
      </c>
      <c r="L1358" t="str">
        <f>Orders!K1358</f>
        <v>Hyderabad</v>
      </c>
      <c r="M1358">
        <f>Orders!G1358</f>
        <v>2380</v>
      </c>
      <c r="N1358">
        <f>IFERROR(VLOOKUP(Orders!D1358,Products!$A$2:$D$61,4,FALSE),"")</f>
        <v>1182</v>
      </c>
      <c r="O1358">
        <f t="shared" si="46"/>
        <v>0.50336134453781511</v>
      </c>
      <c r="Q1358" t="str">
        <f>Orders!D1358</f>
        <v>PROD-023</v>
      </c>
    </row>
    <row r="1359" spans="1:17" x14ac:dyDescent="0.3">
      <c r="A1359" t="str">
        <f>Orders!A1359</f>
        <v>ORD-01358</v>
      </c>
      <c r="B1359">
        <f>Orders!B1359</f>
        <v>45447</v>
      </c>
      <c r="C1359">
        <f>Orders!I1359</f>
        <v>5360.04</v>
      </c>
      <c r="D1359" t="str">
        <f>Orders!E1359</f>
        <v>R019</v>
      </c>
      <c r="E1359" t="str">
        <f>IFERROR(VLOOKUP(Orders!D1359,Products!$A$2:$C$61,3,FALSE),"Unknown")</f>
        <v>Sports</v>
      </c>
      <c r="F1359" t="str">
        <f>IFERROR(VLOOKUP(Orders!C1359,Customers!$A$2:$E$301,5,FALSE),"Unknown")</f>
        <v>Retail</v>
      </c>
      <c r="G1359">
        <f>IFERROR(VLOOKUP(Orders!C1359,Customers!$A$2:$C$301,3,FALSE),"")</f>
        <v>37</v>
      </c>
      <c r="H1359" t="str">
        <f>VLOOKUP(D1359,Sales_Reps!$A$2:$C$31,3,FALSE)</f>
        <v>East</v>
      </c>
      <c r="I1359" s="44">
        <f t="shared" si="45"/>
        <v>45444</v>
      </c>
      <c r="L1359" t="str">
        <f>Orders!K1359</f>
        <v>Bengaluru</v>
      </c>
      <c r="M1359">
        <f>Orders!G1359</f>
        <v>3780</v>
      </c>
      <c r="N1359">
        <f>IFERROR(VLOOKUP(Orders!D1359,Products!$A$2:$D$61,4,FALSE),"")</f>
        <v>1860</v>
      </c>
      <c r="O1359">
        <f t="shared" si="46"/>
        <v>0.50793650793650791</v>
      </c>
      <c r="Q1359" t="str">
        <f>Orders!D1359</f>
        <v>PROD-059</v>
      </c>
    </row>
    <row r="1360" spans="1:17" x14ac:dyDescent="0.3">
      <c r="A1360" t="str">
        <f>Orders!A1360</f>
        <v>ORD-01359</v>
      </c>
      <c r="B1360">
        <f>Orders!B1360</f>
        <v>45546</v>
      </c>
      <c r="C1360">
        <f>Orders!I1360</f>
        <v>2835.9</v>
      </c>
      <c r="D1360" t="str">
        <f>Orders!E1360</f>
        <v>R026</v>
      </c>
      <c r="E1360" t="str">
        <f>IFERROR(VLOOKUP(Orders!D1360,Products!$A$2:$C$61,3,FALSE),"Unknown")</f>
        <v>Apparel</v>
      </c>
      <c r="F1360" t="str">
        <f>IFERROR(VLOOKUP(Orders!C1360,Customers!$A$2:$E$301,5,FALSE),"Unknown")</f>
        <v>Retail</v>
      </c>
      <c r="G1360">
        <f>IFERROR(VLOOKUP(Orders!C1360,Customers!$A$2:$C$301,3,FALSE),"")</f>
        <v>35</v>
      </c>
      <c r="H1360" t="str">
        <f>VLOOKUP(D1360,Sales_Reps!$A$2:$C$31,3,FALSE)</f>
        <v>West</v>
      </c>
      <c r="I1360" s="44">
        <f t="shared" si="45"/>
        <v>45536</v>
      </c>
      <c r="L1360" t="str">
        <f>Orders!K1360</f>
        <v>Hyderabad</v>
      </c>
      <c r="M1360">
        <f>Orders!G1360</f>
        <v>3450</v>
      </c>
      <c r="N1360">
        <f>IFERROR(VLOOKUP(Orders!D1360,Products!$A$2:$D$61,4,FALSE),"")</f>
        <v>1748</v>
      </c>
      <c r="O1360">
        <f t="shared" si="46"/>
        <v>0.49333333333333335</v>
      </c>
      <c r="Q1360" t="str">
        <f>Orders!D1360</f>
        <v>PROD-011</v>
      </c>
    </row>
    <row r="1361" spans="1:17" x14ac:dyDescent="0.3">
      <c r="A1361" t="str">
        <f>Orders!A1361</f>
        <v>ORD-01360</v>
      </c>
      <c r="B1361">
        <f>Orders!B1361</f>
        <v>45451</v>
      </c>
      <c r="C1361">
        <f>Orders!I1361</f>
        <v>24712.32</v>
      </c>
      <c r="D1361" t="str">
        <f>Orders!E1361</f>
        <v>R006</v>
      </c>
      <c r="E1361" t="str">
        <f>IFERROR(VLOOKUP(Orders!D1361,Products!$A$2:$C$61,3,FALSE),"Unknown")</f>
        <v>Beauty</v>
      </c>
      <c r="F1361" t="str">
        <f>IFERROR(VLOOKUP(Orders!C1361,Customers!$A$2:$E$301,5,FALSE),"Unknown")</f>
        <v>Retail</v>
      </c>
      <c r="G1361">
        <f>IFERROR(VLOOKUP(Orders!C1361,Customers!$A$2:$C$301,3,FALSE),"")</f>
        <v>44</v>
      </c>
      <c r="H1361" t="str">
        <f>VLOOKUP(D1361,Sales_Reps!$A$2:$C$31,3,FALSE)</f>
        <v>North</v>
      </c>
      <c r="I1361" s="44">
        <f t="shared" si="45"/>
        <v>45444</v>
      </c>
      <c r="L1361" t="str">
        <f>Orders!K1361</f>
        <v>Hyderabad</v>
      </c>
      <c r="M1361">
        <f>Orders!G1361</f>
        <v>4880</v>
      </c>
      <c r="N1361">
        <f>IFERROR(VLOOKUP(Orders!D1361,Products!$A$2:$D$61,4,FALSE),"")</f>
        <v>2768</v>
      </c>
      <c r="O1361">
        <f t="shared" si="46"/>
        <v>0.43278688524590164</v>
      </c>
      <c r="Q1361" t="str">
        <f>Orders!D1361</f>
        <v>PROD-046</v>
      </c>
    </row>
    <row r="1362" spans="1:17" x14ac:dyDescent="0.3">
      <c r="A1362" t="str">
        <f>Orders!A1362</f>
        <v>ORD-01361</v>
      </c>
      <c r="B1362">
        <f>Orders!B1362</f>
        <v>45427</v>
      </c>
      <c r="C1362">
        <f>Orders!I1362</f>
        <v>5328</v>
      </c>
      <c r="D1362" t="str">
        <f>Orders!E1362</f>
        <v>R016</v>
      </c>
      <c r="E1362" t="str">
        <f>IFERROR(VLOOKUP(Orders!D1362,Products!$A$2:$C$61,3,FALSE),"Unknown")</f>
        <v>Beauty</v>
      </c>
      <c r="F1362" t="str">
        <f>IFERROR(VLOOKUP(Orders!C1362,Customers!$A$2:$E$301,5,FALSE),"Unknown")</f>
        <v>SMB</v>
      </c>
      <c r="G1362">
        <f>IFERROR(VLOOKUP(Orders!C1362,Customers!$A$2:$C$301,3,FALSE),"")</f>
        <v>40</v>
      </c>
      <c r="H1362" t="str">
        <f>VLOOKUP(D1362,Sales_Reps!$A$2:$C$31,3,FALSE)</f>
        <v>South</v>
      </c>
      <c r="I1362" s="44">
        <f t="shared" si="45"/>
        <v>45413</v>
      </c>
      <c r="L1362" t="str">
        <f>Orders!K1362</f>
        <v>Hyderabad</v>
      </c>
      <c r="M1362">
        <f>Orders!G1362</f>
        <v>960</v>
      </c>
      <c r="N1362">
        <f>IFERROR(VLOOKUP(Orders!D1362,Products!$A$2:$D$61,4,FALSE),"")</f>
        <v>675</v>
      </c>
      <c r="O1362">
        <f t="shared" si="46"/>
        <v>0.296875</v>
      </c>
      <c r="Q1362" t="str">
        <f>Orders!D1362</f>
        <v>PROD-049</v>
      </c>
    </row>
    <row r="1363" spans="1:17" x14ac:dyDescent="0.3">
      <c r="A1363" t="str">
        <f>Orders!A1363</f>
        <v>ORD-01362</v>
      </c>
      <c r="B1363">
        <f>Orders!B1363</f>
        <v>45532</v>
      </c>
      <c r="C1363">
        <f>Orders!I1363</f>
        <v>3100.76</v>
      </c>
      <c r="D1363" t="str">
        <f>Orders!E1363</f>
        <v>R023</v>
      </c>
      <c r="E1363" t="str">
        <f>IFERROR(VLOOKUP(Orders!D1363,Products!$A$2:$C$61,3,FALSE),"Unknown")</f>
        <v>Apparel</v>
      </c>
      <c r="F1363" t="str">
        <f>IFERROR(VLOOKUP(Orders!C1363,Customers!$A$2:$E$301,5,FALSE),"Unknown")</f>
        <v>Retail</v>
      </c>
      <c r="G1363">
        <f>IFERROR(VLOOKUP(Orders!C1363,Customers!$A$2:$C$301,3,FALSE),"")</f>
        <v>22</v>
      </c>
      <c r="H1363" t="str">
        <f>VLOOKUP(D1363,Sales_Reps!$A$2:$C$31,3,FALSE)</f>
        <v>East</v>
      </c>
      <c r="I1363" s="44">
        <f t="shared" si="45"/>
        <v>45505</v>
      </c>
      <c r="L1363" t="str">
        <f>Orders!K1363</f>
        <v>Pune</v>
      </c>
      <c r="M1363">
        <f>Orders!G1363</f>
        <v>3560</v>
      </c>
      <c r="N1363">
        <f>IFERROR(VLOOKUP(Orders!D1363,Products!$A$2:$D$61,4,FALSE),"")</f>
        <v>2629</v>
      </c>
      <c r="O1363">
        <f t="shared" si="46"/>
        <v>0.26151685393258428</v>
      </c>
      <c r="Q1363" t="str">
        <f>Orders!D1363</f>
        <v>PROD-018</v>
      </c>
    </row>
    <row r="1364" spans="1:17" x14ac:dyDescent="0.3">
      <c r="A1364" t="str">
        <f>Orders!A1364</f>
        <v>ORD-01363</v>
      </c>
      <c r="B1364">
        <f>Orders!B1364</f>
        <v>45466</v>
      </c>
      <c r="C1364">
        <f>Orders!I1364</f>
        <v>16625.7</v>
      </c>
      <c r="D1364" t="str">
        <f>Orders!E1364</f>
        <v>R005</v>
      </c>
      <c r="E1364" t="str">
        <f>IFERROR(VLOOKUP(Orders!D1364,Products!$A$2:$C$61,3,FALSE),"Unknown")</f>
        <v>Grocery</v>
      </c>
      <c r="F1364" t="str">
        <f>IFERROR(VLOOKUP(Orders!C1364,Customers!$A$2:$E$301,5,FALSE),"Unknown")</f>
        <v>Retail</v>
      </c>
      <c r="G1364">
        <f>IFERROR(VLOOKUP(Orders!C1364,Customers!$A$2:$C$301,3,FALSE),"")</f>
        <v>26</v>
      </c>
      <c r="H1364" t="str">
        <f>VLOOKUP(D1364,Sales_Reps!$A$2:$C$31,3,FALSE)</f>
        <v>North</v>
      </c>
      <c r="I1364" s="44">
        <f t="shared" si="45"/>
        <v>45444</v>
      </c>
      <c r="L1364" t="str">
        <f>Orders!K1364</f>
        <v>Chennai</v>
      </c>
      <c r="M1364">
        <f>Orders!G1364</f>
        <v>4060</v>
      </c>
      <c r="N1364">
        <f>IFERROR(VLOOKUP(Orders!D1364,Products!$A$2:$D$61,4,FALSE),"")</f>
        <v>2911</v>
      </c>
      <c r="O1364">
        <f t="shared" si="46"/>
        <v>0.28300492610837441</v>
      </c>
      <c r="Q1364" t="str">
        <f>Orders!D1364</f>
        <v>PROD-025</v>
      </c>
    </row>
    <row r="1365" spans="1:17" x14ac:dyDescent="0.3">
      <c r="A1365" t="str">
        <f>Orders!A1365</f>
        <v>ORD-01364</v>
      </c>
      <c r="B1365">
        <f>Orders!B1365</f>
        <v>45545</v>
      </c>
      <c r="C1365">
        <f>Orders!I1365</f>
        <v>20889.599999999999</v>
      </c>
      <c r="D1365" t="str">
        <f>Orders!E1365</f>
        <v>R020</v>
      </c>
      <c r="E1365" t="str">
        <f>IFERROR(VLOOKUP(Orders!D1365,Products!$A$2:$C$61,3,FALSE),"Unknown")</f>
        <v>Apparel</v>
      </c>
      <c r="F1365" t="str">
        <f>IFERROR(VLOOKUP(Orders!C1365,Customers!$A$2:$E$301,5,FALSE),"Unknown")</f>
        <v>Corporate</v>
      </c>
      <c r="G1365">
        <f>IFERROR(VLOOKUP(Orders!C1365,Customers!$A$2:$C$301,3,FALSE),"")</f>
        <v>46</v>
      </c>
      <c r="H1365" t="str">
        <f>VLOOKUP(D1365,Sales_Reps!$A$2:$C$31,3,FALSE)</f>
        <v>East</v>
      </c>
      <c r="I1365" s="44">
        <f t="shared" si="45"/>
        <v>45536</v>
      </c>
      <c r="L1365" t="str">
        <f>Orders!K1365</f>
        <v>Delhi</v>
      </c>
      <c r="M1365">
        <f>Orders!G1365</f>
        <v>2720</v>
      </c>
      <c r="N1365">
        <f>IFERROR(VLOOKUP(Orders!D1365,Products!$A$2:$D$61,4,FALSE),"")</f>
        <v>1962</v>
      </c>
      <c r="O1365">
        <f t="shared" si="46"/>
        <v>0.2786764705882353</v>
      </c>
      <c r="Q1365" t="str">
        <f>Orders!D1365</f>
        <v>PROD-015</v>
      </c>
    </row>
    <row r="1366" spans="1:17" x14ac:dyDescent="0.3">
      <c r="A1366" t="str">
        <f>Orders!A1366</f>
        <v>ORD-01365</v>
      </c>
      <c r="B1366">
        <f>Orders!B1366</f>
        <v>45547</v>
      </c>
      <c r="C1366">
        <f>Orders!I1366</f>
        <v>2081.8200000000002</v>
      </c>
      <c r="D1366" t="str">
        <f>Orders!E1366</f>
        <v>R022</v>
      </c>
      <c r="E1366" t="str">
        <f>IFERROR(VLOOKUP(Orders!D1366,Products!$A$2:$C$61,3,FALSE),"Unknown")</f>
        <v>Grocery</v>
      </c>
      <c r="F1366" t="str">
        <f>IFERROR(VLOOKUP(Orders!C1366,Customers!$A$2:$E$301,5,FALSE),"Unknown")</f>
        <v>SMB</v>
      </c>
      <c r="G1366">
        <f>IFERROR(VLOOKUP(Orders!C1366,Customers!$A$2:$C$301,3,FALSE),"")</f>
        <v>43</v>
      </c>
      <c r="H1366" t="str">
        <f>VLOOKUP(D1366,Sales_Reps!$A$2:$C$31,3,FALSE)</f>
        <v>East</v>
      </c>
      <c r="I1366" s="44">
        <f t="shared" si="45"/>
        <v>45536</v>
      </c>
      <c r="L1366" t="str">
        <f>Orders!K1366</f>
        <v>Hyderabad</v>
      </c>
      <c r="M1366">
        <f>Orders!G1366</f>
        <v>2210</v>
      </c>
      <c r="N1366">
        <f>IFERROR(VLOOKUP(Orders!D1366,Products!$A$2:$D$61,4,FALSE),"")</f>
        <v>1010</v>
      </c>
      <c r="O1366">
        <f t="shared" si="46"/>
        <v>0.54298642533936647</v>
      </c>
      <c r="Q1366" t="str">
        <f>Orders!D1366</f>
        <v>PROD-029</v>
      </c>
    </row>
    <row r="1367" spans="1:17" x14ac:dyDescent="0.3">
      <c r="A1367" t="str">
        <f>Orders!A1367</f>
        <v>ORD-01366</v>
      </c>
      <c r="B1367">
        <f>Orders!B1367</f>
        <v>45547</v>
      </c>
      <c r="C1367">
        <f>Orders!I1367</f>
        <v>12437.25</v>
      </c>
      <c r="D1367" t="str">
        <f>Orders!E1367</f>
        <v>R013</v>
      </c>
      <c r="E1367" t="str">
        <f>IFERROR(VLOOKUP(Orders!D1367,Products!$A$2:$C$61,3,FALSE),"Unknown")</f>
        <v>Beauty</v>
      </c>
      <c r="F1367" t="str">
        <f>IFERROR(VLOOKUP(Orders!C1367,Customers!$A$2:$E$301,5,FALSE),"Unknown")</f>
        <v>Retail</v>
      </c>
      <c r="G1367">
        <f>IFERROR(VLOOKUP(Orders!C1367,Customers!$A$2:$C$301,3,FALSE),"")</f>
        <v>54</v>
      </c>
      <c r="H1367" t="str">
        <f>VLOOKUP(D1367,Sales_Reps!$A$2:$C$31,3,FALSE)</f>
        <v>South</v>
      </c>
      <c r="I1367" s="44">
        <f t="shared" si="45"/>
        <v>45536</v>
      </c>
      <c r="L1367" t="str">
        <f>Orders!K1367</f>
        <v>Mumbai</v>
      </c>
      <c r="M1367">
        <f>Orders!G1367</f>
        <v>3450</v>
      </c>
      <c r="N1367">
        <f>IFERROR(VLOOKUP(Orders!D1367,Products!$A$2:$D$61,4,FALSE),"")</f>
        <v>2420</v>
      </c>
      <c r="O1367">
        <f t="shared" si="46"/>
        <v>0.29855072463768118</v>
      </c>
      <c r="Q1367" t="str">
        <f>Orders!D1367</f>
        <v>PROD-047</v>
      </c>
    </row>
    <row r="1368" spans="1:17" x14ac:dyDescent="0.3">
      <c r="A1368" t="str">
        <f>Orders!A1368</f>
        <v>ORD-01367</v>
      </c>
      <c r="B1368">
        <f>Orders!B1368</f>
        <v>45550</v>
      </c>
      <c r="C1368">
        <f>Orders!I1368</f>
        <v>18164.16</v>
      </c>
      <c r="D1368" t="str">
        <f>Orders!E1368</f>
        <v>R023</v>
      </c>
      <c r="E1368" t="str">
        <f>IFERROR(VLOOKUP(Orders!D1368,Products!$A$2:$C$61,3,FALSE),"Unknown")</f>
        <v>Grocery</v>
      </c>
      <c r="F1368" t="str">
        <f>IFERROR(VLOOKUP(Orders!C1368,Customers!$A$2:$E$301,5,FALSE),"Unknown")</f>
        <v>SMB</v>
      </c>
      <c r="G1368">
        <f>IFERROR(VLOOKUP(Orders!C1368,Customers!$A$2:$C$301,3,FALSE),"")</f>
        <v>36</v>
      </c>
      <c r="H1368" t="str">
        <f>VLOOKUP(D1368,Sales_Reps!$A$2:$C$31,3,FALSE)</f>
        <v>East</v>
      </c>
      <c r="I1368" s="44">
        <f t="shared" si="45"/>
        <v>45536</v>
      </c>
      <c r="L1368" t="str">
        <f>Orders!K1368</f>
        <v>Mumbai</v>
      </c>
      <c r="M1368">
        <f>Orders!G1368</f>
        <v>2380</v>
      </c>
      <c r="N1368">
        <f>IFERROR(VLOOKUP(Orders!D1368,Products!$A$2:$D$61,4,FALSE),"")</f>
        <v>1182</v>
      </c>
      <c r="O1368">
        <f t="shared" si="46"/>
        <v>0.50336134453781511</v>
      </c>
      <c r="Q1368" t="str">
        <f>Orders!D1368</f>
        <v>PROD-023</v>
      </c>
    </row>
    <row r="1369" spans="1:17" x14ac:dyDescent="0.3">
      <c r="A1369" t="str">
        <f>Orders!A1369</f>
        <v>ORD-01368</v>
      </c>
      <c r="B1369">
        <f>Orders!B1369</f>
        <v>45551</v>
      </c>
      <c r="C1369">
        <f>Orders!I1369</f>
        <v>3603.32</v>
      </c>
      <c r="D1369" t="str">
        <f>Orders!E1369</f>
        <v>R002</v>
      </c>
      <c r="E1369" t="str">
        <f>IFERROR(VLOOKUP(Orders!D1369,Products!$A$2:$C$61,3,FALSE),"Unknown")</f>
        <v>Grocery</v>
      </c>
      <c r="F1369" t="str">
        <f>IFERROR(VLOOKUP(Orders!C1369,Customers!$A$2:$E$301,5,FALSE),"Unknown")</f>
        <v>SMB</v>
      </c>
      <c r="G1369">
        <f>IFERROR(VLOOKUP(Orders!C1369,Customers!$A$2:$C$301,3,FALSE),"")</f>
        <v>53</v>
      </c>
      <c r="H1369" t="str">
        <f>VLOOKUP(D1369,Sales_Reps!$A$2:$C$31,3,FALSE)</f>
        <v>North</v>
      </c>
      <c r="I1369" s="44">
        <f t="shared" si="45"/>
        <v>45536</v>
      </c>
      <c r="L1369" t="str">
        <f>Orders!K1369</f>
        <v>Delhi</v>
      </c>
      <c r="M1369">
        <f>Orders!G1369</f>
        <v>2380</v>
      </c>
      <c r="N1369">
        <f>IFERROR(VLOOKUP(Orders!D1369,Products!$A$2:$D$61,4,FALSE),"")</f>
        <v>1182</v>
      </c>
      <c r="O1369">
        <f t="shared" si="46"/>
        <v>0.50336134453781511</v>
      </c>
      <c r="Q1369" t="str">
        <f>Orders!D1369</f>
        <v>PROD-023</v>
      </c>
    </row>
    <row r="1370" spans="1:17" x14ac:dyDescent="0.3">
      <c r="A1370" t="str">
        <f>Orders!A1370</f>
        <v>ORD-01369</v>
      </c>
      <c r="B1370">
        <f>Orders!B1370</f>
        <v>45560</v>
      </c>
      <c r="C1370">
        <f>Orders!I1370</f>
        <v>29925.360000000001</v>
      </c>
      <c r="D1370" t="str">
        <f>Orders!E1370</f>
        <v>R012</v>
      </c>
      <c r="E1370" t="str">
        <f>IFERROR(VLOOKUP(Orders!D1370,Products!$A$2:$C$61,3,FALSE),"Unknown")</f>
        <v>Apparel</v>
      </c>
      <c r="F1370" t="str">
        <f>IFERROR(VLOOKUP(Orders!C1370,Customers!$A$2:$E$301,5,FALSE),"Unknown")</f>
        <v>Corporate</v>
      </c>
      <c r="G1370">
        <f>IFERROR(VLOOKUP(Orders!C1370,Customers!$A$2:$C$301,3,FALSE),"")</f>
        <v>46</v>
      </c>
      <c r="H1370" t="str">
        <f>VLOOKUP(D1370,Sales_Reps!$A$2:$C$31,3,FALSE)</f>
        <v>South</v>
      </c>
      <c r="I1370" s="44">
        <f t="shared" si="45"/>
        <v>45536</v>
      </c>
      <c r="L1370" t="str">
        <f>Orders!K1370</f>
        <v>Delhi</v>
      </c>
      <c r="M1370">
        <f>Orders!G1370</f>
        <v>3560</v>
      </c>
      <c r="N1370">
        <f>IFERROR(VLOOKUP(Orders!D1370,Products!$A$2:$D$61,4,FALSE),"")</f>
        <v>2629</v>
      </c>
      <c r="O1370">
        <f t="shared" si="46"/>
        <v>0.26151685393258428</v>
      </c>
      <c r="Q1370" t="str">
        <f>Orders!D1370</f>
        <v>PROD-018</v>
      </c>
    </row>
    <row r="1371" spans="1:17" x14ac:dyDescent="0.3">
      <c r="A1371" t="str">
        <f>Orders!A1371</f>
        <v>ORD-01370</v>
      </c>
      <c r="B1371">
        <f>Orders!B1371</f>
        <v>45330</v>
      </c>
      <c r="C1371">
        <f>Orders!I1371</f>
        <v>6029.24</v>
      </c>
      <c r="D1371" t="str">
        <f>Orders!E1371</f>
        <v>R018</v>
      </c>
      <c r="E1371" t="str">
        <f>IFERROR(VLOOKUP(Orders!D1371,Products!$A$2:$C$61,3,FALSE),"Unknown")</f>
        <v>Electronics</v>
      </c>
      <c r="F1371" t="str">
        <f>IFERROR(VLOOKUP(Orders!C1371,Customers!$A$2:$E$301,5,FALSE),"Unknown")</f>
        <v>Corporate</v>
      </c>
      <c r="G1371">
        <f>IFERROR(VLOOKUP(Orders!C1371,Customers!$A$2:$C$301,3,FALSE),"")</f>
        <v>35</v>
      </c>
      <c r="H1371" t="str">
        <f>VLOOKUP(D1371,Sales_Reps!$A$2:$C$31,3,FALSE)</f>
        <v>East</v>
      </c>
      <c r="I1371" s="44">
        <f t="shared" si="45"/>
        <v>45323</v>
      </c>
      <c r="L1371" t="str">
        <f>Orders!K1371</f>
        <v>Chennai</v>
      </c>
      <c r="M1371">
        <f>Orders!G1371</f>
        <v>1220</v>
      </c>
      <c r="N1371">
        <f>IFERROR(VLOOKUP(Orders!D1371,Products!$A$2:$D$61,4,FALSE),"")</f>
        <v>517</v>
      </c>
      <c r="O1371">
        <f t="shared" si="46"/>
        <v>0.57622950819672136</v>
      </c>
      <c r="Q1371" t="str">
        <f>Orders!D1371</f>
        <v>PROD-009</v>
      </c>
    </row>
    <row r="1372" spans="1:17" x14ac:dyDescent="0.3">
      <c r="A1372" t="str">
        <f>Orders!A1372</f>
        <v>ORD-01371</v>
      </c>
      <c r="B1372">
        <f>Orders!B1372</f>
        <v>45560</v>
      </c>
      <c r="C1372">
        <f>Orders!I1372</f>
        <v>43916.32</v>
      </c>
      <c r="D1372" t="str">
        <f>Orders!E1372</f>
        <v>R017</v>
      </c>
      <c r="E1372" t="str">
        <f>IFERROR(VLOOKUP(Orders!D1372,Products!$A$2:$C$61,3,FALSE),"Unknown")</f>
        <v>Sports</v>
      </c>
      <c r="F1372" t="str">
        <f>IFERROR(VLOOKUP(Orders!C1372,Customers!$A$2:$E$301,5,FALSE),"Unknown")</f>
        <v>Retail</v>
      </c>
      <c r="G1372">
        <f>IFERROR(VLOOKUP(Orders!C1372,Customers!$A$2:$C$301,3,FALSE),"")</f>
        <v>37</v>
      </c>
      <c r="H1372" t="str">
        <f>VLOOKUP(D1372,Sales_Reps!$A$2:$C$31,3,FALSE)</f>
        <v>East</v>
      </c>
      <c r="I1372" s="44">
        <f t="shared" si="45"/>
        <v>45536</v>
      </c>
      <c r="L1372" t="str">
        <f>Orders!K1372</f>
        <v>Mumbai</v>
      </c>
      <c r="M1372">
        <f>Orders!G1372</f>
        <v>6940</v>
      </c>
      <c r="N1372">
        <f>IFERROR(VLOOKUP(Orders!D1372,Products!$A$2:$D$61,4,FALSE),"")</f>
        <v>2827</v>
      </c>
      <c r="O1372">
        <f t="shared" si="46"/>
        <v>0.5926512968299712</v>
      </c>
      <c r="Q1372" t="str">
        <f>Orders!D1372</f>
        <v>PROD-056</v>
      </c>
    </row>
    <row r="1373" spans="1:17" x14ac:dyDescent="0.3">
      <c r="A1373" t="str">
        <f>Orders!A1373</f>
        <v>ORD-01372</v>
      </c>
      <c r="B1373">
        <f>Orders!B1373</f>
        <v>45395</v>
      </c>
      <c r="C1373">
        <f>Orders!I1373</f>
        <v>1809.4</v>
      </c>
      <c r="D1373" t="str">
        <f>Orders!E1373</f>
        <v>R022</v>
      </c>
      <c r="E1373" t="str">
        <f>IFERROR(VLOOKUP(Orders!D1373,Products!$A$2:$C$61,3,FALSE),"Unknown")</f>
        <v>Home</v>
      </c>
      <c r="F1373" t="str">
        <f>IFERROR(VLOOKUP(Orders!C1373,Customers!$A$2:$E$301,5,FALSE),"Unknown")</f>
        <v>SMB</v>
      </c>
      <c r="G1373">
        <f>IFERROR(VLOOKUP(Orders!C1373,Customers!$A$2:$C$301,3,FALSE),"")</f>
        <v>43</v>
      </c>
      <c r="H1373" t="str">
        <f>VLOOKUP(D1373,Sales_Reps!$A$2:$C$31,3,FALSE)</f>
        <v>East</v>
      </c>
      <c r="I1373" s="44">
        <f t="shared" si="45"/>
        <v>45383</v>
      </c>
      <c r="L1373" t="str">
        <f>Orders!K1373</f>
        <v>Mumbai</v>
      </c>
      <c r="M1373">
        <f>Orders!G1373</f>
        <v>1090</v>
      </c>
      <c r="N1373">
        <f>IFERROR(VLOOKUP(Orders!D1373,Products!$A$2:$D$61,4,FALSE),"")</f>
        <v>464</v>
      </c>
      <c r="O1373">
        <f t="shared" si="46"/>
        <v>0.57431192660550456</v>
      </c>
      <c r="Q1373" t="str">
        <f>Orders!D1373</f>
        <v>PROD-035</v>
      </c>
    </row>
    <row r="1374" spans="1:17" x14ac:dyDescent="0.3">
      <c r="A1374" t="str">
        <f>Orders!A1374</f>
        <v>ORD-01373</v>
      </c>
      <c r="B1374">
        <f>Orders!B1374</f>
        <v>45486</v>
      </c>
      <c r="C1374">
        <f>Orders!I1374</f>
        <v>7720.72</v>
      </c>
      <c r="D1374" t="str">
        <f>Orders!E1374</f>
        <v>R028</v>
      </c>
      <c r="E1374" t="str">
        <f>IFERROR(VLOOKUP(Orders!D1374,Products!$A$2:$C$61,3,FALSE),"Unknown")</f>
        <v>Grocery</v>
      </c>
      <c r="F1374" t="str">
        <f>IFERROR(VLOOKUP(Orders!C1374,Customers!$A$2:$E$301,5,FALSE),"Unknown")</f>
        <v>Retail</v>
      </c>
      <c r="G1374">
        <f>IFERROR(VLOOKUP(Orders!C1374,Customers!$A$2:$C$301,3,FALSE),"")</f>
        <v>31</v>
      </c>
      <c r="H1374" t="str">
        <f>VLOOKUP(D1374,Sales_Reps!$A$2:$C$31,3,FALSE)</f>
        <v>West</v>
      </c>
      <c r="I1374" s="44">
        <f t="shared" si="45"/>
        <v>45474</v>
      </c>
      <c r="L1374" t="str">
        <f>Orders!K1374</f>
        <v>Pune</v>
      </c>
      <c r="M1374">
        <f>Orders!G1374</f>
        <v>2380</v>
      </c>
      <c r="N1374">
        <f>IFERROR(VLOOKUP(Orders!D1374,Products!$A$2:$D$61,4,FALSE),"")</f>
        <v>1182</v>
      </c>
      <c r="O1374">
        <f t="shared" si="46"/>
        <v>0.50336134453781511</v>
      </c>
      <c r="Q1374" t="str">
        <f>Orders!D1374</f>
        <v>PROD-023</v>
      </c>
    </row>
    <row r="1375" spans="1:17" x14ac:dyDescent="0.3">
      <c r="A1375" t="str">
        <f>Orders!A1375</f>
        <v>ORD-01374</v>
      </c>
      <c r="B1375">
        <f>Orders!B1375</f>
        <v>45578</v>
      </c>
      <c r="C1375">
        <f>Orders!I1375</f>
        <v>10773.42</v>
      </c>
      <c r="D1375" t="str">
        <f>Orders!E1375</f>
        <v>R004</v>
      </c>
      <c r="E1375" t="str">
        <f>IFERROR(VLOOKUP(Orders!D1375,Products!$A$2:$C$61,3,FALSE),"Unknown")</f>
        <v>Grocery</v>
      </c>
      <c r="F1375" t="str">
        <f>IFERROR(VLOOKUP(Orders!C1375,Customers!$A$2:$E$301,5,FALSE),"Unknown")</f>
        <v>SMB</v>
      </c>
      <c r="G1375">
        <f>IFERROR(VLOOKUP(Orders!C1375,Customers!$A$2:$C$301,3,FALSE),"")</f>
        <v>43</v>
      </c>
      <c r="H1375" t="str">
        <f>VLOOKUP(D1375,Sales_Reps!$A$2:$C$31,3,FALSE)</f>
        <v>North</v>
      </c>
      <c r="I1375" s="44">
        <f t="shared" si="45"/>
        <v>45566</v>
      </c>
      <c r="L1375" t="str">
        <f>Orders!K1375</f>
        <v>Mumbai</v>
      </c>
      <c r="M1375">
        <f>Orders!G1375</f>
        <v>2270</v>
      </c>
      <c r="N1375">
        <f>IFERROR(VLOOKUP(Orders!D1375,Products!$A$2:$D$61,4,FALSE),"")</f>
        <v>1203</v>
      </c>
      <c r="O1375">
        <f t="shared" si="46"/>
        <v>0.47004405286343615</v>
      </c>
      <c r="Q1375" t="str">
        <f>Orders!D1375</f>
        <v>PROD-024</v>
      </c>
    </row>
    <row r="1376" spans="1:17" x14ac:dyDescent="0.3">
      <c r="A1376" t="str">
        <f>Orders!A1376</f>
        <v>ORD-01375</v>
      </c>
      <c r="B1376">
        <f>Orders!B1376</f>
        <v>45581</v>
      </c>
      <c r="C1376">
        <f>Orders!I1376</f>
        <v>15225</v>
      </c>
      <c r="D1376" t="str">
        <f>Orders!E1376</f>
        <v>R019</v>
      </c>
      <c r="E1376" t="str">
        <f>IFERROR(VLOOKUP(Orders!D1376,Products!$A$2:$C$61,3,FALSE),"Unknown")</f>
        <v>Home</v>
      </c>
      <c r="F1376" t="str">
        <f>IFERROR(VLOOKUP(Orders!C1376,Customers!$A$2:$E$301,5,FALSE),"Unknown")</f>
        <v>Retail</v>
      </c>
      <c r="G1376">
        <f>IFERROR(VLOOKUP(Orders!C1376,Customers!$A$2:$C$301,3,FALSE),"")</f>
        <v>36</v>
      </c>
      <c r="H1376" t="str">
        <f>VLOOKUP(D1376,Sales_Reps!$A$2:$C$31,3,FALSE)</f>
        <v>East</v>
      </c>
      <c r="I1376" s="44">
        <f t="shared" si="45"/>
        <v>45566</v>
      </c>
      <c r="L1376" t="str">
        <f>Orders!K1376</f>
        <v>Pune</v>
      </c>
      <c r="M1376">
        <f>Orders!G1376</f>
        <v>2030</v>
      </c>
      <c r="N1376">
        <f>IFERROR(VLOOKUP(Orders!D1376,Products!$A$2:$D$61,4,FALSE),"")</f>
        <v>1143</v>
      </c>
      <c r="O1376">
        <f t="shared" si="46"/>
        <v>0.43694581280788175</v>
      </c>
      <c r="Q1376" t="str">
        <f>Orders!D1376</f>
        <v>PROD-033</v>
      </c>
    </row>
    <row r="1377" spans="1:17" x14ac:dyDescent="0.3">
      <c r="A1377" t="str">
        <f>Orders!A1377</f>
        <v>ORD-01376</v>
      </c>
      <c r="B1377">
        <f>Orders!B1377</f>
        <v>45508</v>
      </c>
      <c r="C1377">
        <f>Orders!I1377</f>
        <v>2874.33</v>
      </c>
      <c r="D1377" t="str">
        <f>Orders!E1377</f>
        <v>R027</v>
      </c>
      <c r="E1377" t="str">
        <f>IFERROR(VLOOKUP(Orders!D1377,Products!$A$2:$C$61,3,FALSE),"Unknown")</f>
        <v>Home</v>
      </c>
      <c r="F1377" t="str">
        <f>IFERROR(VLOOKUP(Orders!C1377,Customers!$A$2:$E$301,5,FALSE),"Unknown")</f>
        <v>SMB</v>
      </c>
      <c r="G1377">
        <f>IFERROR(VLOOKUP(Orders!C1377,Customers!$A$2:$C$301,3,FALSE),"")</f>
        <v>54</v>
      </c>
      <c r="H1377" t="str">
        <f>VLOOKUP(D1377,Sales_Reps!$A$2:$C$31,3,FALSE)</f>
        <v>West</v>
      </c>
      <c r="I1377" s="44">
        <f t="shared" si="45"/>
        <v>45505</v>
      </c>
      <c r="L1377" t="str">
        <f>Orders!K1377</f>
        <v>Pune</v>
      </c>
      <c r="M1377">
        <f>Orders!G1377</f>
        <v>1090</v>
      </c>
      <c r="N1377">
        <f>IFERROR(VLOOKUP(Orders!D1377,Products!$A$2:$D$61,4,FALSE),"")</f>
        <v>464</v>
      </c>
      <c r="O1377">
        <f t="shared" si="46"/>
        <v>0.57431192660550456</v>
      </c>
      <c r="Q1377" t="str">
        <f>Orders!D1377</f>
        <v>PROD-035</v>
      </c>
    </row>
    <row r="1378" spans="1:17" x14ac:dyDescent="0.3">
      <c r="A1378" t="str">
        <f>Orders!A1378</f>
        <v>ORD-01377</v>
      </c>
      <c r="B1378">
        <f>Orders!B1378</f>
        <v>45303</v>
      </c>
      <c r="C1378">
        <f>Orders!I1378</f>
        <v>5368.89</v>
      </c>
      <c r="D1378" t="str">
        <f>Orders!E1378</f>
        <v>R017</v>
      </c>
      <c r="E1378" t="str">
        <f>IFERROR(VLOOKUP(Orders!D1378,Products!$A$2:$C$61,3,FALSE),"Unknown")</f>
        <v>Apparel</v>
      </c>
      <c r="F1378" t="str">
        <f>IFERROR(VLOOKUP(Orders!C1378,Customers!$A$2:$E$301,5,FALSE),"Unknown")</f>
        <v>SMB</v>
      </c>
      <c r="G1378">
        <f>IFERROR(VLOOKUP(Orders!C1378,Customers!$A$2:$C$301,3,FALSE),"")</f>
        <v>43</v>
      </c>
      <c r="H1378" t="str">
        <f>VLOOKUP(D1378,Sales_Reps!$A$2:$C$31,3,FALSE)</f>
        <v>East</v>
      </c>
      <c r="I1378" s="44">
        <f t="shared" si="45"/>
        <v>45292</v>
      </c>
      <c r="L1378" t="str">
        <f>Orders!K1378</f>
        <v>Mumbai</v>
      </c>
      <c r="M1378">
        <f>Orders!G1378</f>
        <v>2510</v>
      </c>
      <c r="N1378">
        <f>IFERROR(VLOOKUP(Orders!D1378,Products!$A$2:$D$61,4,FALSE),"")</f>
        <v>1075</v>
      </c>
      <c r="O1378">
        <f t="shared" si="46"/>
        <v>0.57171314741035861</v>
      </c>
      <c r="Q1378" t="str">
        <f>Orders!D1378</f>
        <v>PROD-017</v>
      </c>
    </row>
    <row r="1379" spans="1:17" x14ac:dyDescent="0.3">
      <c r="A1379" t="str">
        <f>Orders!A1379</f>
        <v>ORD-01378</v>
      </c>
      <c r="B1379">
        <f>Orders!B1379</f>
        <v>45412</v>
      </c>
      <c r="C1379">
        <f>Orders!I1379</f>
        <v>15240.78</v>
      </c>
      <c r="D1379" t="str">
        <f>Orders!E1379</f>
        <v>R026</v>
      </c>
      <c r="E1379" t="str">
        <f>IFERROR(VLOOKUP(Orders!D1379,Products!$A$2:$C$61,3,FALSE),"Unknown")</f>
        <v>Grocery</v>
      </c>
      <c r="F1379" t="str">
        <f>IFERROR(VLOOKUP(Orders!C1379,Customers!$A$2:$E$301,5,FALSE),"Unknown")</f>
        <v>Retail</v>
      </c>
      <c r="G1379">
        <f>IFERROR(VLOOKUP(Orders!C1379,Customers!$A$2:$C$301,3,FALSE),"")</f>
        <v>53</v>
      </c>
      <c r="H1379" t="str">
        <f>VLOOKUP(D1379,Sales_Reps!$A$2:$C$31,3,FALSE)</f>
        <v>West</v>
      </c>
      <c r="I1379" s="44">
        <f t="shared" si="45"/>
        <v>45383</v>
      </c>
      <c r="L1379" t="str">
        <f>Orders!K1379</f>
        <v>Bengaluru</v>
      </c>
      <c r="M1379">
        <f>Orders!G1379</f>
        <v>2270</v>
      </c>
      <c r="N1379">
        <f>IFERROR(VLOOKUP(Orders!D1379,Products!$A$2:$D$61,4,FALSE),"")</f>
        <v>1203</v>
      </c>
      <c r="O1379">
        <f t="shared" si="46"/>
        <v>0.47004405286343615</v>
      </c>
      <c r="Q1379" t="str">
        <f>Orders!D1379</f>
        <v>PROD-024</v>
      </c>
    </row>
    <row r="1380" spans="1:17" x14ac:dyDescent="0.3">
      <c r="A1380" t="str">
        <f>Orders!A1380</f>
        <v>ORD-01379</v>
      </c>
      <c r="B1380">
        <f>Orders!B1380</f>
        <v>45400</v>
      </c>
      <c r="C1380">
        <f>Orders!I1380</f>
        <v>32121.27</v>
      </c>
      <c r="D1380" t="str">
        <f>Orders!E1380</f>
        <v>R029</v>
      </c>
      <c r="E1380" t="str">
        <f>IFERROR(VLOOKUP(Orders!D1380,Products!$A$2:$C$61,3,FALSE),"Unknown")</f>
        <v>Electronics</v>
      </c>
      <c r="F1380" t="str">
        <f>IFERROR(VLOOKUP(Orders!C1380,Customers!$A$2:$E$301,5,FALSE),"Unknown")</f>
        <v>Corporate</v>
      </c>
      <c r="G1380">
        <f>IFERROR(VLOOKUP(Orders!C1380,Customers!$A$2:$C$301,3,FALSE),"")</f>
        <v>46</v>
      </c>
      <c r="H1380" t="str">
        <f>VLOOKUP(D1380,Sales_Reps!$A$2:$C$31,3,FALSE)</f>
        <v>West</v>
      </c>
      <c r="I1380" s="44">
        <f t="shared" si="45"/>
        <v>45383</v>
      </c>
      <c r="L1380" t="str">
        <f>Orders!K1380</f>
        <v>Delhi</v>
      </c>
      <c r="M1380">
        <f>Orders!G1380</f>
        <v>3970</v>
      </c>
      <c r="N1380">
        <f>IFERROR(VLOOKUP(Orders!D1380,Products!$A$2:$D$61,4,FALSE),"")</f>
        <v>2865</v>
      </c>
      <c r="O1380">
        <f t="shared" si="46"/>
        <v>0.27833753148614609</v>
      </c>
      <c r="Q1380" t="str">
        <f>Orders!D1380</f>
        <v>PROD-006</v>
      </c>
    </row>
    <row r="1381" spans="1:17" x14ac:dyDescent="0.3">
      <c r="A1381" t="str">
        <f>Orders!A1381</f>
        <v>ORD-01380</v>
      </c>
      <c r="B1381">
        <f>Orders!B1381</f>
        <v>45570</v>
      </c>
      <c r="C1381">
        <f>Orders!I1381</f>
        <v>12278.76</v>
      </c>
      <c r="D1381" t="str">
        <f>Orders!E1381</f>
        <v>R014</v>
      </c>
      <c r="E1381" t="str">
        <f>IFERROR(VLOOKUP(Orders!D1381,Products!$A$2:$C$61,3,FALSE),"Unknown")</f>
        <v>Grocery</v>
      </c>
      <c r="F1381" t="str">
        <f>IFERROR(VLOOKUP(Orders!C1381,Customers!$A$2:$E$301,5,FALSE),"Unknown")</f>
        <v>SMB</v>
      </c>
      <c r="G1381">
        <f>IFERROR(VLOOKUP(Orders!C1381,Customers!$A$2:$C$301,3,FALSE),"")</f>
        <v>65</v>
      </c>
      <c r="H1381" t="str">
        <f>VLOOKUP(D1381,Sales_Reps!$A$2:$C$31,3,FALSE)</f>
        <v>South</v>
      </c>
      <c r="I1381" s="44">
        <f t="shared" si="45"/>
        <v>45566</v>
      </c>
      <c r="L1381" t="str">
        <f>Orders!K1381</f>
        <v>Mumbai</v>
      </c>
      <c r="M1381">
        <f>Orders!G1381</f>
        <v>2210</v>
      </c>
      <c r="N1381">
        <f>IFERROR(VLOOKUP(Orders!D1381,Products!$A$2:$D$61,4,FALSE),"")</f>
        <v>1010</v>
      </c>
      <c r="O1381">
        <f t="shared" si="46"/>
        <v>0.54298642533936647</v>
      </c>
      <c r="Q1381" t="str">
        <f>Orders!D1381</f>
        <v>PROD-029</v>
      </c>
    </row>
    <row r="1382" spans="1:17" x14ac:dyDescent="0.3">
      <c r="A1382" t="str">
        <f>Orders!A1382</f>
        <v>ORD-01381</v>
      </c>
      <c r="B1382">
        <f>Orders!B1382</f>
        <v>45360</v>
      </c>
      <c r="C1382">
        <f>Orders!I1382</f>
        <v>8559.32</v>
      </c>
      <c r="D1382" t="str">
        <f>Orders!E1382</f>
        <v>R017</v>
      </c>
      <c r="E1382" t="str">
        <f>IFERROR(VLOOKUP(Orders!D1382,Products!$A$2:$C$61,3,FALSE),"Unknown")</f>
        <v>Beauty</v>
      </c>
      <c r="F1382" t="str">
        <f>IFERROR(VLOOKUP(Orders!C1382,Customers!$A$2:$E$301,5,FALSE),"Unknown")</f>
        <v>Retail</v>
      </c>
      <c r="G1382">
        <f>IFERROR(VLOOKUP(Orders!C1382,Customers!$A$2:$C$301,3,FALSE),"")</f>
        <v>44</v>
      </c>
      <c r="H1382" t="str">
        <f>VLOOKUP(D1382,Sales_Reps!$A$2:$C$31,3,FALSE)</f>
        <v>East</v>
      </c>
      <c r="I1382" s="44">
        <f t="shared" si="45"/>
        <v>45352</v>
      </c>
      <c r="L1382" t="str">
        <f>Orders!K1382</f>
        <v>Pune</v>
      </c>
      <c r="M1382">
        <f>Orders!G1382</f>
        <v>1540</v>
      </c>
      <c r="N1382">
        <f>IFERROR(VLOOKUP(Orders!D1382,Products!$A$2:$D$61,4,FALSE),"")</f>
        <v>647</v>
      </c>
      <c r="O1382">
        <f t="shared" si="46"/>
        <v>0.57987012987012987</v>
      </c>
      <c r="Q1382" t="str">
        <f>Orders!D1382</f>
        <v>PROD-041</v>
      </c>
    </row>
    <row r="1383" spans="1:17" x14ac:dyDescent="0.3">
      <c r="A1383" t="str">
        <f>Orders!A1383</f>
        <v>ORD-01382</v>
      </c>
      <c r="B1383">
        <f>Orders!B1383</f>
        <v>45334</v>
      </c>
      <c r="C1383">
        <f>Orders!I1383</f>
        <v>40618.71</v>
      </c>
      <c r="D1383" t="str">
        <f>Orders!E1383</f>
        <v>R027</v>
      </c>
      <c r="E1383" t="str">
        <f>IFERROR(VLOOKUP(Orders!D1383,Products!$A$2:$C$61,3,FALSE),"Unknown")</f>
        <v>Home</v>
      </c>
      <c r="F1383" t="str">
        <f>IFERROR(VLOOKUP(Orders!C1383,Customers!$A$2:$E$301,5,FALSE),"Unknown")</f>
        <v>Retail</v>
      </c>
      <c r="G1383">
        <f>IFERROR(VLOOKUP(Orders!C1383,Customers!$A$2:$C$301,3,FALSE),"")</f>
        <v>63</v>
      </c>
      <c r="H1383" t="str">
        <f>VLOOKUP(D1383,Sales_Reps!$A$2:$C$31,3,FALSE)</f>
        <v>West</v>
      </c>
      <c r="I1383" s="44">
        <f t="shared" si="45"/>
        <v>45323</v>
      </c>
      <c r="L1383" t="str">
        <f>Orders!K1383</f>
        <v>Delhi</v>
      </c>
      <c r="M1383">
        <f>Orders!G1383</f>
        <v>4610</v>
      </c>
      <c r="N1383">
        <f>IFERROR(VLOOKUP(Orders!D1383,Products!$A$2:$D$61,4,FALSE),"")</f>
        <v>1850</v>
      </c>
      <c r="O1383">
        <f t="shared" si="46"/>
        <v>0.59869848156182215</v>
      </c>
      <c r="Q1383" t="str">
        <f>Orders!D1383</f>
        <v>PROD-039</v>
      </c>
    </row>
    <row r="1384" spans="1:17" x14ac:dyDescent="0.3">
      <c r="A1384" t="str">
        <f>Orders!A1384</f>
        <v>ORD-01383</v>
      </c>
      <c r="B1384">
        <f>Orders!B1384</f>
        <v>45527</v>
      </c>
      <c r="C1384">
        <f>Orders!I1384</f>
        <v>34419.9</v>
      </c>
      <c r="D1384" t="str">
        <f>Orders!E1384</f>
        <v>R002</v>
      </c>
      <c r="E1384" t="str">
        <f>IFERROR(VLOOKUP(Orders!D1384,Products!$A$2:$C$61,3,FALSE),"Unknown")</f>
        <v>Electronics</v>
      </c>
      <c r="F1384" t="str">
        <f>IFERROR(VLOOKUP(Orders!C1384,Customers!$A$2:$E$301,5,FALSE),"Unknown")</f>
        <v>Retail</v>
      </c>
      <c r="G1384">
        <f>IFERROR(VLOOKUP(Orders!C1384,Customers!$A$2:$C$301,3,FALSE),"")</f>
        <v>56</v>
      </c>
      <c r="H1384" t="str">
        <f>VLOOKUP(D1384,Sales_Reps!$A$2:$C$31,3,FALSE)</f>
        <v>North</v>
      </c>
      <c r="I1384" s="44">
        <f t="shared" si="45"/>
        <v>45505</v>
      </c>
      <c r="L1384" t="str">
        <f>Orders!K1384</f>
        <v>Mumbai</v>
      </c>
      <c r="M1384">
        <f>Orders!G1384</f>
        <v>3970</v>
      </c>
      <c r="N1384">
        <f>IFERROR(VLOOKUP(Orders!D1384,Products!$A$2:$D$61,4,FALSE),"")</f>
        <v>2865</v>
      </c>
      <c r="O1384">
        <f t="shared" si="46"/>
        <v>0.27833753148614609</v>
      </c>
      <c r="Q1384" t="str">
        <f>Orders!D1384</f>
        <v>PROD-006</v>
      </c>
    </row>
    <row r="1385" spans="1:17" x14ac:dyDescent="0.3">
      <c r="A1385" t="str">
        <f>Orders!A1385</f>
        <v>ORD-01384</v>
      </c>
      <c r="B1385">
        <f>Orders!B1385</f>
        <v>45534</v>
      </c>
      <c r="C1385">
        <f>Orders!I1385</f>
        <v>17704.96</v>
      </c>
      <c r="D1385" t="str">
        <f>Orders!E1385</f>
        <v>R008</v>
      </c>
      <c r="E1385" t="str">
        <f>IFERROR(VLOOKUP(Orders!D1385,Products!$A$2:$C$61,3,FALSE),"Unknown")</f>
        <v>Electronics</v>
      </c>
      <c r="F1385" t="str">
        <f>IFERROR(VLOOKUP(Orders!C1385,Customers!$A$2:$E$301,5,FALSE),"Unknown")</f>
        <v>Retail</v>
      </c>
      <c r="G1385">
        <f>IFERROR(VLOOKUP(Orders!C1385,Customers!$A$2:$C$301,3,FALSE),"")</f>
        <v>41</v>
      </c>
      <c r="H1385" t="str">
        <f>VLOOKUP(D1385,Sales_Reps!$A$2:$C$31,3,FALSE)</f>
        <v>North</v>
      </c>
      <c r="I1385" s="44">
        <f t="shared" si="45"/>
        <v>45505</v>
      </c>
      <c r="L1385" t="str">
        <f>Orders!K1385</f>
        <v>Delhi</v>
      </c>
      <c r="M1385">
        <f>Orders!G1385</f>
        <v>2660</v>
      </c>
      <c r="N1385">
        <f>IFERROR(VLOOKUP(Orders!D1385,Products!$A$2:$D$61,4,FALSE),"")</f>
        <v>1259</v>
      </c>
      <c r="O1385">
        <f t="shared" si="46"/>
        <v>0.52669172932330832</v>
      </c>
      <c r="Q1385" t="str">
        <f>Orders!D1385</f>
        <v>PROD-008</v>
      </c>
    </row>
    <row r="1386" spans="1:17" x14ac:dyDescent="0.3">
      <c r="A1386" t="str">
        <f>Orders!A1386</f>
        <v>ORD-01385</v>
      </c>
      <c r="B1386">
        <f>Orders!B1386</f>
        <v>45329</v>
      </c>
      <c r="C1386">
        <f>Orders!I1386</f>
        <v>15856.2</v>
      </c>
      <c r="D1386" t="str">
        <f>Orders!E1386</f>
        <v>R021</v>
      </c>
      <c r="E1386" t="str">
        <f>IFERROR(VLOOKUP(Orders!D1386,Products!$A$2:$C$61,3,FALSE),"Unknown")</f>
        <v>Beauty</v>
      </c>
      <c r="F1386" t="str">
        <f>IFERROR(VLOOKUP(Orders!C1386,Customers!$A$2:$E$301,5,FALSE),"Unknown")</f>
        <v>Corporate</v>
      </c>
      <c r="G1386">
        <f>IFERROR(VLOOKUP(Orders!C1386,Customers!$A$2:$C$301,3,FALSE),"")</f>
        <v>54</v>
      </c>
      <c r="H1386" t="str">
        <f>VLOOKUP(D1386,Sales_Reps!$A$2:$C$31,3,FALSE)</f>
        <v>East</v>
      </c>
      <c r="I1386" s="44">
        <f t="shared" si="45"/>
        <v>45323</v>
      </c>
      <c r="L1386" t="str">
        <f>Orders!K1386</f>
        <v>Chennai</v>
      </c>
      <c r="M1386">
        <f>Orders!G1386</f>
        <v>3450</v>
      </c>
      <c r="N1386">
        <f>IFERROR(VLOOKUP(Orders!D1386,Products!$A$2:$D$61,4,FALSE),"")</f>
        <v>2420</v>
      </c>
      <c r="O1386">
        <f t="shared" si="46"/>
        <v>0.29855072463768118</v>
      </c>
      <c r="Q1386" t="str">
        <f>Orders!D1386</f>
        <v>PROD-047</v>
      </c>
    </row>
    <row r="1387" spans="1:17" x14ac:dyDescent="0.3">
      <c r="A1387" t="str">
        <f>Orders!A1387</f>
        <v>ORD-01386</v>
      </c>
      <c r="B1387">
        <f>Orders!B1387</f>
        <v>45621</v>
      </c>
      <c r="C1387">
        <f>Orders!I1387</f>
        <v>3703.6</v>
      </c>
      <c r="D1387" t="str">
        <f>Orders!E1387</f>
        <v>R007</v>
      </c>
      <c r="E1387" t="str">
        <f>IFERROR(VLOOKUP(Orders!D1387,Products!$A$2:$C$61,3,FALSE),"Unknown")</f>
        <v>Sports</v>
      </c>
      <c r="F1387" t="str">
        <f>IFERROR(VLOOKUP(Orders!C1387,Customers!$A$2:$E$301,5,FALSE),"Unknown")</f>
        <v>SMB</v>
      </c>
      <c r="G1387">
        <f>IFERROR(VLOOKUP(Orders!C1387,Customers!$A$2:$C$301,3,FALSE),"")</f>
        <v>48</v>
      </c>
      <c r="H1387" t="str">
        <f>VLOOKUP(D1387,Sales_Reps!$A$2:$C$31,3,FALSE)</f>
        <v>North</v>
      </c>
      <c r="I1387" s="44">
        <f t="shared" si="45"/>
        <v>45597</v>
      </c>
      <c r="L1387" t="str">
        <f>Orders!K1387</f>
        <v>Delhi</v>
      </c>
      <c r="M1387">
        <f>Orders!G1387</f>
        <v>470</v>
      </c>
      <c r="N1387">
        <f>IFERROR(VLOOKUP(Orders!D1387,Products!$A$2:$D$61,4,FALSE),"")</f>
        <v>302</v>
      </c>
      <c r="O1387">
        <f t="shared" si="46"/>
        <v>0.35744680851063831</v>
      </c>
      <c r="Q1387" t="str">
        <f>Orders!D1387</f>
        <v>PROD-053</v>
      </c>
    </row>
    <row r="1388" spans="1:17" x14ac:dyDescent="0.3">
      <c r="A1388" t="str">
        <f>Orders!A1388</f>
        <v>ORD-00168</v>
      </c>
      <c r="B1388">
        <f>Orders!B1388</f>
        <v>45334</v>
      </c>
      <c r="C1388">
        <f>Orders!I1388</f>
        <v>23787.54</v>
      </c>
      <c r="D1388" t="str">
        <f>Orders!E1388</f>
        <v>R022</v>
      </c>
      <c r="E1388" t="str">
        <f>IFERROR(VLOOKUP(Orders!D1388,Products!$A$2:$C$61,3,FALSE),"Unknown")</f>
        <v>Sports</v>
      </c>
      <c r="F1388" t="str">
        <f>IFERROR(VLOOKUP(Orders!C1388,Customers!$A$2:$E$301,5,FALSE),"Unknown")</f>
        <v>Retail</v>
      </c>
      <c r="G1388">
        <f>IFERROR(VLOOKUP(Orders!C1388,Customers!$A$2:$C$301,3,FALSE),"")</f>
        <v>22</v>
      </c>
      <c r="H1388" t="str">
        <f>VLOOKUP(D1388,Sales_Reps!$A$2:$C$31,3,FALSE)</f>
        <v>East</v>
      </c>
      <c r="I1388" s="44">
        <f t="shared" si="45"/>
        <v>45323</v>
      </c>
      <c r="L1388" t="str">
        <f>Orders!K1388</f>
        <v>Pune</v>
      </c>
      <c r="M1388">
        <f>Orders!G1388</f>
        <v>3780</v>
      </c>
      <c r="N1388">
        <f>IFERROR(VLOOKUP(Orders!D1388,Products!$A$2:$D$61,4,FALSE),"")</f>
        <v>1860</v>
      </c>
      <c r="O1388">
        <f t="shared" si="46"/>
        <v>0.50793650793650791</v>
      </c>
      <c r="Q1388" t="str">
        <f>Orders!D1388</f>
        <v>PROD-059</v>
      </c>
    </row>
    <row r="1389" spans="1:17" x14ac:dyDescent="0.3">
      <c r="A1389" t="str">
        <f>Orders!A1389</f>
        <v>ORD-01388</v>
      </c>
      <c r="B1389">
        <f>Orders!B1389</f>
        <v>45324</v>
      </c>
      <c r="C1389">
        <f>Orders!I1389</f>
        <v>10403.879999999999</v>
      </c>
      <c r="D1389" t="str">
        <f>Orders!E1389</f>
        <v>R027</v>
      </c>
      <c r="E1389" t="str">
        <f>IFERROR(VLOOKUP(Orders!D1389,Products!$A$2:$C$61,3,FALSE),"Unknown")</f>
        <v>Apparel</v>
      </c>
      <c r="F1389" t="str">
        <f>IFERROR(VLOOKUP(Orders!C1389,Customers!$A$2:$E$301,5,FALSE),"Unknown")</f>
        <v>SMB</v>
      </c>
      <c r="G1389">
        <f>IFERROR(VLOOKUP(Orders!C1389,Customers!$A$2:$C$301,3,FALSE),"")</f>
        <v>36</v>
      </c>
      <c r="H1389" t="str">
        <f>VLOOKUP(D1389,Sales_Reps!$A$2:$C$31,3,FALSE)</f>
        <v>West</v>
      </c>
      <c r="I1389" s="44">
        <f t="shared" si="45"/>
        <v>45323</v>
      </c>
      <c r="L1389" t="str">
        <f>Orders!K1389</f>
        <v>Bengaluru</v>
      </c>
      <c r="M1389">
        <f>Orders!G1389</f>
        <v>3620</v>
      </c>
      <c r="N1389">
        <f>IFERROR(VLOOKUP(Orders!D1389,Products!$A$2:$D$61,4,FALSE),"")</f>
        <v>2509</v>
      </c>
      <c r="O1389">
        <f t="shared" si="46"/>
        <v>0.3069060773480663</v>
      </c>
      <c r="Q1389" t="str">
        <f>Orders!D1389</f>
        <v>PROD-014</v>
      </c>
    </row>
    <row r="1390" spans="1:17" x14ac:dyDescent="0.3">
      <c r="A1390" t="str">
        <f>Orders!A1390</f>
        <v>ORD-01389</v>
      </c>
      <c r="B1390">
        <f>Orders!B1390</f>
        <v>45541</v>
      </c>
      <c r="C1390">
        <f>Orders!I1390</f>
        <v>6115.2</v>
      </c>
      <c r="D1390" t="str">
        <f>Orders!E1390</f>
        <v>R028</v>
      </c>
      <c r="E1390" t="str">
        <f>IFERROR(VLOOKUP(Orders!D1390,Products!$A$2:$C$61,3,FALSE),"Unknown")</f>
        <v>Beauty</v>
      </c>
      <c r="F1390" t="str">
        <f>IFERROR(VLOOKUP(Orders!C1390,Customers!$A$2:$E$301,5,FALSE),"Unknown")</f>
        <v>Retail</v>
      </c>
      <c r="G1390">
        <f>IFERROR(VLOOKUP(Orders!C1390,Customers!$A$2:$C$301,3,FALSE),"")</f>
        <v>53</v>
      </c>
      <c r="H1390" t="str">
        <f>VLOOKUP(D1390,Sales_Reps!$A$2:$C$31,3,FALSE)</f>
        <v>West</v>
      </c>
      <c r="I1390" s="44">
        <f t="shared" si="45"/>
        <v>45536</v>
      </c>
      <c r="L1390" t="str">
        <f>Orders!K1390</f>
        <v>Hyderabad</v>
      </c>
      <c r="M1390">
        <f>Orders!G1390</f>
        <v>960</v>
      </c>
      <c r="N1390">
        <f>IFERROR(VLOOKUP(Orders!D1390,Products!$A$2:$D$61,4,FALSE),"")</f>
        <v>675</v>
      </c>
      <c r="O1390">
        <f t="shared" si="46"/>
        <v>0.296875</v>
      </c>
      <c r="Q1390" t="str">
        <f>Orders!D1390</f>
        <v>PROD-049</v>
      </c>
    </row>
    <row r="1391" spans="1:17" x14ac:dyDescent="0.3">
      <c r="A1391" t="str">
        <f>Orders!A1391</f>
        <v>ORD-01390</v>
      </c>
      <c r="B1391">
        <f>Orders!B1391</f>
        <v>45344</v>
      </c>
      <c r="C1391">
        <f>Orders!I1391</f>
        <v>33098</v>
      </c>
      <c r="D1391" t="str">
        <f>Orders!E1391</f>
        <v>R007</v>
      </c>
      <c r="E1391" t="str">
        <f>IFERROR(VLOOKUP(Orders!D1391,Products!$A$2:$C$61,3,FALSE),"Unknown")</f>
        <v>Beauty</v>
      </c>
      <c r="F1391" t="str">
        <f>IFERROR(VLOOKUP(Orders!C1391,Customers!$A$2:$E$301,5,FALSE),"Unknown")</f>
        <v>Retail</v>
      </c>
      <c r="G1391">
        <f>IFERROR(VLOOKUP(Orders!C1391,Customers!$A$2:$C$301,3,FALSE),"")</f>
        <v>28</v>
      </c>
      <c r="H1391" t="str">
        <f>VLOOKUP(D1391,Sales_Reps!$A$2:$C$31,3,FALSE)</f>
        <v>North</v>
      </c>
      <c r="I1391" s="44">
        <f t="shared" si="45"/>
        <v>45323</v>
      </c>
      <c r="L1391" t="str">
        <f>Orders!K1391</f>
        <v>Hyderabad</v>
      </c>
      <c r="M1391">
        <f>Orders!G1391</f>
        <v>3350</v>
      </c>
      <c r="N1391">
        <f>IFERROR(VLOOKUP(Orders!D1391,Products!$A$2:$D$61,4,FALSE),"")</f>
        <v>1728</v>
      </c>
      <c r="O1391">
        <f t="shared" si="46"/>
        <v>0.48417910447761192</v>
      </c>
      <c r="Q1391" t="str">
        <f>Orders!D1391</f>
        <v>PROD-043</v>
      </c>
    </row>
    <row r="1392" spans="1:17" x14ac:dyDescent="0.3">
      <c r="A1392" t="str">
        <f>Orders!A1392</f>
        <v>ORD-01391</v>
      </c>
      <c r="B1392">
        <f>Orders!B1392</f>
        <v>45388</v>
      </c>
      <c r="C1392">
        <f>Orders!I1392</f>
        <v>6091.2</v>
      </c>
      <c r="D1392" t="str">
        <f>Orders!E1392</f>
        <v>R030</v>
      </c>
      <c r="E1392" t="str">
        <f>IFERROR(VLOOKUP(Orders!D1392,Products!$A$2:$C$61,3,FALSE),"Unknown")</f>
        <v>Sports</v>
      </c>
      <c r="F1392" t="str">
        <f>IFERROR(VLOOKUP(Orders!C1392,Customers!$A$2:$E$301,5,FALSE),"Unknown")</f>
        <v>SMB</v>
      </c>
      <c r="G1392">
        <f>IFERROR(VLOOKUP(Orders!C1392,Customers!$A$2:$C$301,3,FALSE),"")</f>
        <v>28</v>
      </c>
      <c r="H1392" t="str">
        <f>VLOOKUP(D1392,Sales_Reps!$A$2:$C$31,3,FALSE)</f>
        <v>West</v>
      </c>
      <c r="I1392" s="44">
        <f t="shared" si="45"/>
        <v>45383</v>
      </c>
      <c r="L1392" t="str">
        <f>Orders!K1392</f>
        <v>Delhi</v>
      </c>
      <c r="M1392">
        <f>Orders!G1392</f>
        <v>2400</v>
      </c>
      <c r="N1392">
        <f>IFERROR(VLOOKUP(Orders!D1392,Products!$A$2:$D$61,4,FALSE),"")</f>
        <v>974</v>
      </c>
      <c r="O1392">
        <f t="shared" si="46"/>
        <v>0.59416666666666662</v>
      </c>
      <c r="Q1392" t="str">
        <f>Orders!D1392</f>
        <v>PROD-058</v>
      </c>
    </row>
    <row r="1393" spans="1:17" x14ac:dyDescent="0.3">
      <c r="A1393" t="str">
        <f>Orders!A1393</f>
        <v>ORD-01392</v>
      </c>
      <c r="B1393">
        <f>Orders!B1393</f>
        <v>45407</v>
      </c>
      <c r="C1393">
        <f>Orders!I1393</f>
        <v>5119.3999999999996</v>
      </c>
      <c r="D1393" t="str">
        <f>Orders!E1393</f>
        <v>R002</v>
      </c>
      <c r="E1393" t="str">
        <f>IFERROR(VLOOKUP(Orders!D1393,Products!$A$2:$C$61,3,FALSE),"Unknown")</f>
        <v>Sports</v>
      </c>
      <c r="F1393" t="str">
        <f>IFERROR(VLOOKUP(Orders!C1393,Customers!$A$2:$E$301,5,FALSE),"Unknown")</f>
        <v>Retail</v>
      </c>
      <c r="G1393">
        <f>IFERROR(VLOOKUP(Orders!C1393,Customers!$A$2:$C$301,3,FALSE),"")</f>
        <v>29</v>
      </c>
      <c r="H1393" t="str">
        <f>VLOOKUP(D1393,Sales_Reps!$A$2:$C$31,3,FALSE)</f>
        <v>North</v>
      </c>
      <c r="I1393" s="44">
        <f t="shared" si="45"/>
        <v>45383</v>
      </c>
      <c r="L1393" t="str">
        <f>Orders!K1393</f>
        <v>Bengaluru</v>
      </c>
      <c r="M1393">
        <f>Orders!G1393</f>
        <v>2860</v>
      </c>
      <c r="N1393">
        <f>IFERROR(VLOOKUP(Orders!D1393,Products!$A$2:$D$61,4,FALSE),"")</f>
        <v>2028</v>
      </c>
      <c r="O1393">
        <f t="shared" si="46"/>
        <v>0.29090909090909089</v>
      </c>
      <c r="Q1393" t="str">
        <f>Orders!D1393</f>
        <v>PROD-055</v>
      </c>
    </row>
    <row r="1394" spans="1:17" x14ac:dyDescent="0.3">
      <c r="A1394" t="str">
        <f>Orders!A1394</f>
        <v>ORD-01393</v>
      </c>
      <c r="B1394">
        <f>Orders!B1394</f>
        <v>45620</v>
      </c>
      <c r="C1394">
        <f>Orders!I1394</f>
        <v>8619.56</v>
      </c>
      <c r="D1394" t="str">
        <f>Orders!E1394</f>
        <v>R008</v>
      </c>
      <c r="E1394" t="str">
        <f>IFERROR(VLOOKUP(Orders!D1394,Products!$A$2:$C$61,3,FALSE),"Unknown")</f>
        <v>Beauty</v>
      </c>
      <c r="F1394" t="str">
        <f>IFERROR(VLOOKUP(Orders!C1394,Customers!$A$2:$E$301,5,FALSE),"Unknown")</f>
        <v>SMB</v>
      </c>
      <c r="G1394">
        <f>IFERROR(VLOOKUP(Orders!C1394,Customers!$A$2:$C$301,3,FALSE),"")</f>
        <v>46</v>
      </c>
      <c r="H1394" t="str">
        <f>VLOOKUP(D1394,Sales_Reps!$A$2:$C$31,3,FALSE)</f>
        <v>North</v>
      </c>
      <c r="I1394" s="44">
        <f t="shared" si="45"/>
        <v>45597</v>
      </c>
      <c r="L1394" t="str">
        <f>Orders!K1394</f>
        <v>Chennai</v>
      </c>
      <c r="M1394">
        <f>Orders!G1394</f>
        <v>2290</v>
      </c>
      <c r="N1394">
        <f>IFERROR(VLOOKUP(Orders!D1394,Products!$A$2:$D$61,4,FALSE),"")</f>
        <v>1219</v>
      </c>
      <c r="O1394">
        <f t="shared" si="46"/>
        <v>0.46768558951965067</v>
      </c>
      <c r="Q1394" t="str">
        <f>Orders!D1394</f>
        <v>PROD-042</v>
      </c>
    </row>
    <row r="1395" spans="1:17" x14ac:dyDescent="0.3">
      <c r="A1395" t="str">
        <f>Orders!A1395</f>
        <v>ORD-01394</v>
      </c>
      <c r="B1395">
        <f>Orders!B1395</f>
        <v>45499</v>
      </c>
      <c r="C1395">
        <f>Orders!I1395</f>
        <v>36004.15</v>
      </c>
      <c r="D1395" t="str">
        <f>Orders!E1395</f>
        <v>R023</v>
      </c>
      <c r="E1395" t="str">
        <f>IFERROR(VLOOKUP(Orders!D1395,Products!$A$2:$C$61,3,FALSE),"Unknown")</f>
        <v>Electronics</v>
      </c>
      <c r="F1395" t="str">
        <f>IFERROR(VLOOKUP(Orders!C1395,Customers!$A$2:$E$301,5,FALSE),"Unknown")</f>
        <v>Retail</v>
      </c>
      <c r="G1395">
        <f>IFERROR(VLOOKUP(Orders!C1395,Customers!$A$2:$C$301,3,FALSE),"")</f>
        <v>50</v>
      </c>
      <c r="H1395" t="str">
        <f>VLOOKUP(D1395,Sales_Reps!$A$2:$C$31,3,FALSE)</f>
        <v>East</v>
      </c>
      <c r="I1395" s="44">
        <f t="shared" si="45"/>
        <v>45474</v>
      </c>
      <c r="L1395" t="str">
        <f>Orders!K1395</f>
        <v>Mumbai</v>
      </c>
      <c r="M1395">
        <f>Orders!G1395</f>
        <v>5330</v>
      </c>
      <c r="N1395">
        <f>IFERROR(VLOOKUP(Orders!D1395,Products!$A$2:$D$61,4,FALSE),"")</f>
        <v>2405</v>
      </c>
      <c r="O1395">
        <f t="shared" si="46"/>
        <v>0.54878048780487809</v>
      </c>
      <c r="Q1395" t="str">
        <f>Orders!D1395</f>
        <v>PROD-001</v>
      </c>
    </row>
    <row r="1396" spans="1:17" x14ac:dyDescent="0.3">
      <c r="A1396" t="str">
        <f>Orders!A1396</f>
        <v>ORD-01395</v>
      </c>
      <c r="B1396">
        <f>Orders!B1396</f>
        <v>45585</v>
      </c>
      <c r="C1396">
        <f>Orders!I1396</f>
        <v>29083.599999999999</v>
      </c>
      <c r="D1396" t="str">
        <f>Orders!E1396</f>
        <v>R018</v>
      </c>
      <c r="E1396" t="str">
        <f>IFERROR(VLOOKUP(Orders!D1396,Products!$A$2:$C$61,3,FALSE),"Unknown")</f>
        <v>Apparel</v>
      </c>
      <c r="F1396" t="str">
        <f>IFERROR(VLOOKUP(Orders!C1396,Customers!$A$2:$E$301,5,FALSE),"Unknown")</f>
        <v>Retail</v>
      </c>
      <c r="G1396">
        <f>IFERROR(VLOOKUP(Orders!C1396,Customers!$A$2:$C$301,3,FALSE),"")</f>
        <v>41</v>
      </c>
      <c r="H1396" t="str">
        <f>VLOOKUP(D1396,Sales_Reps!$A$2:$C$31,3,FALSE)</f>
        <v>East</v>
      </c>
      <c r="I1396" s="44">
        <f t="shared" si="45"/>
        <v>45566</v>
      </c>
      <c r="L1396" t="str">
        <f>Orders!K1396</f>
        <v>Chennai</v>
      </c>
      <c r="M1396">
        <f>Orders!G1396</f>
        <v>3640</v>
      </c>
      <c r="N1396">
        <f>IFERROR(VLOOKUP(Orders!D1396,Products!$A$2:$D$61,4,FALSE),"")</f>
        <v>2611</v>
      </c>
      <c r="O1396">
        <f t="shared" si="46"/>
        <v>0.28269230769230769</v>
      </c>
      <c r="Q1396" t="str">
        <f>Orders!D1396</f>
        <v>PROD-013</v>
      </c>
    </row>
    <row r="1397" spans="1:17" x14ac:dyDescent="0.3">
      <c r="A1397" t="str">
        <f>Orders!A1397</f>
        <v>ORD-01396</v>
      </c>
      <c r="B1397">
        <f>Orders!B1397</f>
        <v>45633</v>
      </c>
      <c r="C1397">
        <f>Orders!I1397</f>
        <v>49733.2</v>
      </c>
      <c r="D1397" t="str">
        <f>Orders!E1397</f>
        <v>R024</v>
      </c>
      <c r="E1397" t="str">
        <f>IFERROR(VLOOKUP(Orders!D1397,Products!$A$2:$C$61,3,FALSE),"Unknown")</f>
        <v>Home</v>
      </c>
      <c r="F1397" t="str">
        <f>IFERROR(VLOOKUP(Orders!C1397,Customers!$A$2:$E$301,5,FALSE),"Unknown")</f>
        <v>SMB</v>
      </c>
      <c r="G1397">
        <f>IFERROR(VLOOKUP(Orders!C1397,Customers!$A$2:$C$301,3,FALSE),"")</f>
        <v>40</v>
      </c>
      <c r="H1397" t="str">
        <f>VLOOKUP(D1397,Sales_Reps!$A$2:$C$31,3,FALSE)</f>
        <v>West</v>
      </c>
      <c r="I1397" s="44">
        <f t="shared" si="45"/>
        <v>45627</v>
      </c>
      <c r="L1397" t="str">
        <f>Orders!K1397</f>
        <v>Hyderabad</v>
      </c>
      <c r="M1397">
        <f>Orders!G1397</f>
        <v>5080</v>
      </c>
      <c r="N1397">
        <f>IFERROR(VLOOKUP(Orders!D1397,Products!$A$2:$D$61,4,FALSE),"")</f>
        <v>2459</v>
      </c>
      <c r="O1397">
        <f t="shared" si="46"/>
        <v>0.51594488188976373</v>
      </c>
      <c r="Q1397" t="str">
        <f>Orders!D1397</f>
        <v>PROD-034</v>
      </c>
    </row>
    <row r="1398" spans="1:17" x14ac:dyDescent="0.3">
      <c r="A1398" t="str">
        <f>Orders!A1398</f>
        <v>ORD-01397</v>
      </c>
      <c r="B1398">
        <f>Orders!B1398</f>
        <v>45517</v>
      </c>
      <c r="C1398">
        <f>Orders!I1398</f>
        <v>3553.4</v>
      </c>
      <c r="D1398" t="str">
        <f>Orders!E1398</f>
        <v>R018</v>
      </c>
      <c r="E1398" t="str">
        <f>IFERROR(VLOOKUP(Orders!D1398,Products!$A$2:$C$61,3,FALSE),"Unknown")</f>
        <v>Home</v>
      </c>
      <c r="F1398" t="str">
        <f>IFERROR(VLOOKUP(Orders!C1398,Customers!$A$2:$E$301,5,FALSE),"Unknown")</f>
        <v>SMB</v>
      </c>
      <c r="G1398">
        <f>IFERROR(VLOOKUP(Orders!C1398,Customers!$A$2:$C$301,3,FALSE),"")</f>
        <v>26</v>
      </c>
      <c r="H1398" t="str">
        <f>VLOOKUP(D1398,Sales_Reps!$A$2:$C$31,3,FALSE)</f>
        <v>East</v>
      </c>
      <c r="I1398" s="44">
        <f t="shared" si="45"/>
        <v>45505</v>
      </c>
      <c r="L1398" t="str">
        <f>Orders!K1398</f>
        <v>Delhi</v>
      </c>
      <c r="M1398">
        <f>Orders!G1398</f>
        <v>1090</v>
      </c>
      <c r="N1398">
        <f>IFERROR(VLOOKUP(Orders!D1398,Products!$A$2:$D$61,4,FALSE),"")</f>
        <v>464</v>
      </c>
      <c r="O1398">
        <f t="shared" si="46"/>
        <v>0.57431192660550456</v>
      </c>
      <c r="Q1398" t="str">
        <f>Orders!D1398</f>
        <v>PROD-035</v>
      </c>
    </row>
    <row r="1399" spans="1:17" x14ac:dyDescent="0.3">
      <c r="A1399" t="str">
        <f>Orders!A1399</f>
        <v>ORD-01398</v>
      </c>
      <c r="B1399">
        <f>Orders!B1399</f>
        <v>45645</v>
      </c>
      <c r="C1399">
        <f>Orders!I1399</f>
        <v>25357.5</v>
      </c>
      <c r="D1399" t="str">
        <f>Orders!E1399</f>
        <v>R030</v>
      </c>
      <c r="E1399" t="str">
        <f>IFERROR(VLOOKUP(Orders!D1399,Products!$A$2:$C$61,3,FALSE),"Unknown")</f>
        <v>Beauty</v>
      </c>
      <c r="F1399" t="str">
        <f>IFERROR(VLOOKUP(Orders!C1399,Customers!$A$2:$E$301,5,FALSE),"Unknown")</f>
        <v>Corporate</v>
      </c>
      <c r="G1399">
        <f>IFERROR(VLOOKUP(Orders!C1399,Customers!$A$2:$C$301,3,FALSE),"")</f>
        <v>47</v>
      </c>
      <c r="H1399" t="str">
        <f>VLOOKUP(D1399,Sales_Reps!$A$2:$C$31,3,FALSE)</f>
        <v>West</v>
      </c>
      <c r="I1399" s="44">
        <f t="shared" si="45"/>
        <v>45627</v>
      </c>
      <c r="L1399" t="str">
        <f>Orders!K1399</f>
        <v>Delhi</v>
      </c>
      <c r="M1399">
        <f>Orders!G1399</f>
        <v>3450</v>
      </c>
      <c r="N1399">
        <f>IFERROR(VLOOKUP(Orders!D1399,Products!$A$2:$D$61,4,FALSE),"")</f>
        <v>2420</v>
      </c>
      <c r="O1399">
        <f t="shared" si="46"/>
        <v>0.29855072463768118</v>
      </c>
      <c r="Q1399" t="str">
        <f>Orders!D1399</f>
        <v>PROD-047</v>
      </c>
    </row>
    <row r="1400" spans="1:17" x14ac:dyDescent="0.3">
      <c r="A1400" t="str">
        <f>Orders!A1400</f>
        <v>ORD-01399</v>
      </c>
      <c r="B1400">
        <f>Orders!B1400</f>
        <v>45483</v>
      </c>
      <c r="C1400">
        <f>Orders!I1400</f>
        <v>43090.65</v>
      </c>
      <c r="D1400" t="str">
        <f>Orders!E1400</f>
        <v>R009</v>
      </c>
      <c r="E1400" t="str">
        <f>IFERROR(VLOOKUP(Orders!D1400,Products!$A$2:$C$61,3,FALSE),"Unknown")</f>
        <v>Sports</v>
      </c>
      <c r="F1400" t="str">
        <f>IFERROR(VLOOKUP(Orders!C1400,Customers!$A$2:$E$301,5,FALSE),"Unknown")</f>
        <v>Retail</v>
      </c>
      <c r="G1400">
        <f>IFERROR(VLOOKUP(Orders!C1400,Customers!$A$2:$C$301,3,FALSE),"")</f>
        <v>53</v>
      </c>
      <c r="H1400" t="str">
        <f>VLOOKUP(D1400,Sales_Reps!$A$2:$C$31,3,FALSE)</f>
        <v>South</v>
      </c>
      <c r="I1400" s="44">
        <f t="shared" si="45"/>
        <v>45474</v>
      </c>
      <c r="L1400" t="str">
        <f>Orders!K1400</f>
        <v>Hyderabad</v>
      </c>
      <c r="M1400">
        <f>Orders!G1400</f>
        <v>5410</v>
      </c>
      <c r="N1400">
        <f>IFERROR(VLOOKUP(Orders!D1400,Products!$A$2:$D$61,4,FALSE),"")</f>
        <v>2265</v>
      </c>
      <c r="O1400">
        <f t="shared" si="46"/>
        <v>0.58133086876155271</v>
      </c>
      <c r="Q1400" t="str">
        <f>Orders!D1400</f>
        <v>PROD-052</v>
      </c>
    </row>
    <row r="1401" spans="1:17" x14ac:dyDescent="0.3">
      <c r="A1401" t="str">
        <f>Orders!A1401</f>
        <v>ORD-01400</v>
      </c>
      <c r="B1401">
        <f>Orders!B1401</f>
        <v>45445</v>
      </c>
      <c r="C1401">
        <f>Orders!I1401</f>
        <v>30956.85</v>
      </c>
      <c r="D1401" t="str">
        <f>Orders!E1401</f>
        <v>R030</v>
      </c>
      <c r="E1401" t="str">
        <f>IFERROR(VLOOKUP(Orders!D1401,Products!$A$2:$C$61,3,FALSE),"Unknown")</f>
        <v>Apparel</v>
      </c>
      <c r="F1401" t="str">
        <f>IFERROR(VLOOKUP(Orders!C1401,Customers!$A$2:$E$301,5,FALSE),"Unknown")</f>
        <v>SMB</v>
      </c>
      <c r="G1401">
        <f>IFERROR(VLOOKUP(Orders!C1401,Customers!$A$2:$C$301,3,FALSE),"")</f>
        <v>34</v>
      </c>
      <c r="H1401" t="str">
        <f>VLOOKUP(D1401,Sales_Reps!$A$2:$C$31,3,FALSE)</f>
        <v>West</v>
      </c>
      <c r="I1401" s="44">
        <f t="shared" si="45"/>
        <v>45444</v>
      </c>
      <c r="L1401" t="str">
        <f>Orders!K1401</f>
        <v>Hyderabad</v>
      </c>
      <c r="M1401">
        <f>Orders!G1401</f>
        <v>3450</v>
      </c>
      <c r="N1401">
        <f>IFERROR(VLOOKUP(Orders!D1401,Products!$A$2:$D$61,4,FALSE),"")</f>
        <v>1748</v>
      </c>
      <c r="O1401">
        <f t="shared" si="46"/>
        <v>0.49333333333333335</v>
      </c>
      <c r="Q1401" t="str">
        <f>Orders!D1401</f>
        <v>PROD-011</v>
      </c>
    </row>
    <row r="1402" spans="1:17" x14ac:dyDescent="0.3">
      <c r="A1402" t="str">
        <f>Orders!A1402</f>
        <v>ORD-01401</v>
      </c>
      <c r="B1402">
        <f>Orders!B1402</f>
        <v>45614</v>
      </c>
      <c r="C1402">
        <f>Orders!I1402</f>
        <v>27302.400000000001</v>
      </c>
      <c r="D1402" t="str">
        <f>Orders!E1402</f>
        <v>R025</v>
      </c>
      <c r="E1402" t="str">
        <f>IFERROR(VLOOKUP(Orders!D1402,Products!$A$2:$C$61,3,FALSE),"Unknown")</f>
        <v>Apparel</v>
      </c>
      <c r="F1402" t="str">
        <f>IFERROR(VLOOKUP(Orders!C1402,Customers!$A$2:$E$301,5,FALSE),"Unknown")</f>
        <v>Retail</v>
      </c>
      <c r="G1402">
        <f>IFERROR(VLOOKUP(Orders!C1402,Customers!$A$2:$C$301,3,FALSE),"")</f>
        <v>29</v>
      </c>
      <c r="H1402" t="str">
        <f>VLOOKUP(D1402,Sales_Reps!$A$2:$C$31,3,FALSE)</f>
        <v>West</v>
      </c>
      <c r="I1402" s="44">
        <f t="shared" si="45"/>
        <v>45597</v>
      </c>
      <c r="L1402" t="str">
        <f>Orders!K1402</f>
        <v>Pune</v>
      </c>
      <c r="M1402">
        <f>Orders!G1402</f>
        <v>3160</v>
      </c>
      <c r="N1402">
        <f>IFERROR(VLOOKUP(Orders!D1402,Products!$A$2:$D$61,4,FALSE),"")</f>
        <v>1886</v>
      </c>
      <c r="O1402">
        <f t="shared" si="46"/>
        <v>0.4031645569620253</v>
      </c>
      <c r="Q1402" t="str">
        <f>Orders!D1402</f>
        <v>PROD-012</v>
      </c>
    </row>
    <row r="1403" spans="1:17" x14ac:dyDescent="0.3">
      <c r="A1403" t="str">
        <f>Orders!A1403</f>
        <v>ORD-01402</v>
      </c>
      <c r="B1403">
        <f>Orders!B1403</f>
        <v>45433</v>
      </c>
      <c r="C1403">
        <f>Orders!I1403</f>
        <v>3640.56</v>
      </c>
      <c r="D1403" t="str">
        <f>Orders!E1403</f>
        <v>R026</v>
      </c>
      <c r="E1403" t="str">
        <f>IFERROR(VLOOKUP(Orders!D1403,Products!$A$2:$C$61,3,FALSE),"Unknown")</f>
        <v>Beauty</v>
      </c>
      <c r="F1403" t="str">
        <f>IFERROR(VLOOKUP(Orders!C1403,Customers!$A$2:$E$301,5,FALSE),"Unknown")</f>
        <v>Corporate</v>
      </c>
      <c r="G1403">
        <f>IFERROR(VLOOKUP(Orders!C1403,Customers!$A$2:$C$301,3,FALSE),"")</f>
        <v>57</v>
      </c>
      <c r="H1403" t="str">
        <f>VLOOKUP(D1403,Sales_Reps!$A$2:$C$31,3,FALSE)</f>
        <v>West</v>
      </c>
      <c r="I1403" s="44">
        <f t="shared" si="45"/>
        <v>45413</v>
      </c>
      <c r="L1403" t="str">
        <f>Orders!K1403</f>
        <v>Bengaluru</v>
      </c>
      <c r="M1403">
        <f>Orders!G1403</f>
        <v>1540</v>
      </c>
      <c r="N1403">
        <f>IFERROR(VLOOKUP(Orders!D1403,Products!$A$2:$D$61,4,FALSE),"")</f>
        <v>647</v>
      </c>
      <c r="O1403">
        <f t="shared" si="46"/>
        <v>0.57987012987012987</v>
      </c>
      <c r="Q1403" t="str">
        <f>Orders!D1403</f>
        <v>PROD-041</v>
      </c>
    </row>
    <row r="1404" spans="1:17" x14ac:dyDescent="0.3">
      <c r="A1404" t="str">
        <f>Orders!A1404</f>
        <v>ORD-01403</v>
      </c>
      <c r="B1404">
        <f>Orders!B1404</f>
        <v>45402</v>
      </c>
      <c r="C1404">
        <f>Orders!I1404</f>
        <v>15015</v>
      </c>
      <c r="D1404" t="str">
        <f>Orders!E1404</f>
        <v>R022</v>
      </c>
      <c r="E1404" t="str">
        <f>IFERROR(VLOOKUP(Orders!D1404,Products!$A$2:$C$61,3,FALSE),"Unknown")</f>
        <v>Apparel</v>
      </c>
      <c r="F1404" t="str">
        <f>IFERROR(VLOOKUP(Orders!C1404,Customers!$A$2:$E$301,5,FALSE),"Unknown")</f>
        <v>SMB</v>
      </c>
      <c r="G1404">
        <f>IFERROR(VLOOKUP(Orders!C1404,Customers!$A$2:$C$301,3,FALSE),"")</f>
        <v>54</v>
      </c>
      <c r="H1404" t="str">
        <f>VLOOKUP(D1404,Sales_Reps!$A$2:$C$31,3,FALSE)</f>
        <v>East</v>
      </c>
      <c r="I1404" s="44">
        <f t="shared" si="45"/>
        <v>45383</v>
      </c>
      <c r="L1404" t="str">
        <f>Orders!K1404</f>
        <v>Pune</v>
      </c>
      <c r="M1404">
        <f>Orders!G1404</f>
        <v>3640</v>
      </c>
      <c r="N1404">
        <f>IFERROR(VLOOKUP(Orders!D1404,Products!$A$2:$D$61,4,FALSE),"")</f>
        <v>2611</v>
      </c>
      <c r="O1404">
        <f t="shared" si="46"/>
        <v>0.28269230769230769</v>
      </c>
      <c r="Q1404" t="str">
        <f>Orders!D1404</f>
        <v>PROD-013</v>
      </c>
    </row>
    <row r="1405" spans="1:17" x14ac:dyDescent="0.3">
      <c r="A1405" t="str">
        <f>Orders!A1405</f>
        <v>ORD-01404</v>
      </c>
      <c r="B1405">
        <f>Orders!B1405</f>
        <v>45302</v>
      </c>
      <c r="C1405">
        <f>Orders!I1405</f>
        <v>13759.2</v>
      </c>
      <c r="D1405" t="str">
        <f>Orders!E1405</f>
        <v>R002</v>
      </c>
      <c r="E1405" t="str">
        <f>IFERROR(VLOOKUP(Orders!D1405,Products!$A$2:$C$61,3,FALSE),"Unknown")</f>
        <v>Sports</v>
      </c>
      <c r="F1405" t="str">
        <f>IFERROR(VLOOKUP(Orders!C1405,Customers!$A$2:$E$301,5,FALSE),"Unknown")</f>
        <v>Retail</v>
      </c>
      <c r="G1405">
        <f>IFERROR(VLOOKUP(Orders!C1405,Customers!$A$2:$C$301,3,FALSE),"")</f>
        <v>60</v>
      </c>
      <c r="H1405" t="str">
        <f>VLOOKUP(D1405,Sales_Reps!$A$2:$C$31,3,FALSE)</f>
        <v>North</v>
      </c>
      <c r="I1405" s="44">
        <f t="shared" si="45"/>
        <v>45292</v>
      </c>
      <c r="L1405" t="str">
        <f>Orders!K1405</f>
        <v>Hyderabad</v>
      </c>
      <c r="M1405">
        <f>Orders!G1405</f>
        <v>3780</v>
      </c>
      <c r="N1405">
        <f>IFERROR(VLOOKUP(Orders!D1405,Products!$A$2:$D$61,4,FALSE),"")</f>
        <v>1860</v>
      </c>
      <c r="O1405">
        <f t="shared" si="46"/>
        <v>0.50793650793650791</v>
      </c>
      <c r="Q1405" t="str">
        <f>Orders!D1405</f>
        <v>PROD-059</v>
      </c>
    </row>
    <row r="1406" spans="1:17" x14ac:dyDescent="0.3">
      <c r="A1406" t="str">
        <f>Orders!A1406</f>
        <v>ORD-01405</v>
      </c>
      <c r="B1406">
        <f>Orders!B1406</f>
        <v>45526</v>
      </c>
      <c r="C1406">
        <f>Orders!I1406</f>
        <v>22301.279999999999</v>
      </c>
      <c r="D1406" t="str">
        <f>Orders!E1406</f>
        <v>R025</v>
      </c>
      <c r="E1406" t="str">
        <f>IFERROR(VLOOKUP(Orders!D1406,Products!$A$2:$C$61,3,FALSE),"Unknown")</f>
        <v>Apparel</v>
      </c>
      <c r="F1406" t="str">
        <f>IFERROR(VLOOKUP(Orders!C1406,Customers!$A$2:$E$301,5,FALSE),"Unknown")</f>
        <v>Retail</v>
      </c>
      <c r="G1406">
        <f>IFERROR(VLOOKUP(Orders!C1406,Customers!$A$2:$C$301,3,FALSE),"")</f>
        <v>59</v>
      </c>
      <c r="H1406" t="str">
        <f>VLOOKUP(D1406,Sales_Reps!$A$2:$C$31,3,FALSE)</f>
        <v>West</v>
      </c>
      <c r="I1406" s="44">
        <f t="shared" si="45"/>
        <v>45505</v>
      </c>
      <c r="L1406" t="str">
        <f>Orders!K1406</f>
        <v>Bengaluru</v>
      </c>
      <c r="M1406">
        <f>Orders!G1406</f>
        <v>2720</v>
      </c>
      <c r="N1406">
        <f>IFERROR(VLOOKUP(Orders!D1406,Products!$A$2:$D$61,4,FALSE),"")</f>
        <v>1962</v>
      </c>
      <c r="O1406">
        <f t="shared" si="46"/>
        <v>0.2786764705882353</v>
      </c>
      <c r="Q1406" t="str">
        <f>Orders!D1406</f>
        <v>PROD-015</v>
      </c>
    </row>
    <row r="1407" spans="1:17" x14ac:dyDescent="0.3">
      <c r="A1407" t="str">
        <f>Orders!A1407</f>
        <v>ORD-01406</v>
      </c>
      <c r="B1407">
        <f>Orders!B1407</f>
        <v>45648</v>
      </c>
      <c r="C1407">
        <f>Orders!I1407</f>
        <v>13321.6</v>
      </c>
      <c r="D1407" t="str">
        <f>Orders!E1407</f>
        <v>R004</v>
      </c>
      <c r="E1407" t="str">
        <f>IFERROR(VLOOKUP(Orders!D1407,Products!$A$2:$C$61,3,FALSE),"Unknown")</f>
        <v>Apparel</v>
      </c>
      <c r="F1407" t="str">
        <f>IFERROR(VLOOKUP(Orders!C1407,Customers!$A$2:$E$301,5,FALSE),"Unknown")</f>
        <v>Retail</v>
      </c>
      <c r="G1407">
        <f>IFERROR(VLOOKUP(Orders!C1407,Customers!$A$2:$C$301,3,FALSE),"")</f>
        <v>49</v>
      </c>
      <c r="H1407" t="str">
        <f>VLOOKUP(D1407,Sales_Reps!$A$2:$C$31,3,FALSE)</f>
        <v>North</v>
      </c>
      <c r="I1407" s="44">
        <f t="shared" si="45"/>
        <v>45627</v>
      </c>
      <c r="L1407" t="str">
        <f>Orders!K1407</f>
        <v>Chennai</v>
      </c>
      <c r="M1407">
        <f>Orders!G1407</f>
        <v>3620</v>
      </c>
      <c r="N1407">
        <f>IFERROR(VLOOKUP(Orders!D1407,Products!$A$2:$D$61,4,FALSE),"")</f>
        <v>2509</v>
      </c>
      <c r="O1407">
        <f t="shared" si="46"/>
        <v>0.3069060773480663</v>
      </c>
      <c r="Q1407" t="str">
        <f>Orders!D1407</f>
        <v>PROD-014</v>
      </c>
    </row>
    <row r="1408" spans="1:17" x14ac:dyDescent="0.3">
      <c r="A1408" t="str">
        <f>Orders!A1408</f>
        <v>ORD-01407</v>
      </c>
      <c r="B1408">
        <f>Orders!B1408</f>
        <v>45325</v>
      </c>
      <c r="C1408">
        <f>Orders!I1408</f>
        <v>3443.1</v>
      </c>
      <c r="D1408" t="str">
        <f>Orders!E1408</f>
        <v>R004</v>
      </c>
      <c r="E1408" t="str">
        <f>IFERROR(VLOOKUP(Orders!D1408,Products!$A$2:$C$61,3,FALSE),"Unknown")</f>
        <v>Apparel</v>
      </c>
      <c r="F1408" t="str">
        <f>IFERROR(VLOOKUP(Orders!C1408,Customers!$A$2:$E$301,5,FALSE),"Unknown")</f>
        <v>Retail</v>
      </c>
      <c r="G1408">
        <f>IFERROR(VLOOKUP(Orders!C1408,Customers!$A$2:$C$301,3,FALSE),"")</f>
        <v>61</v>
      </c>
      <c r="H1408" t="str">
        <f>VLOOKUP(D1408,Sales_Reps!$A$2:$C$31,3,FALSE)</f>
        <v>North</v>
      </c>
      <c r="I1408" s="44">
        <f t="shared" si="45"/>
        <v>45323</v>
      </c>
      <c r="L1408" t="str">
        <f>Orders!K1408</f>
        <v>Hyderabad</v>
      </c>
      <c r="M1408">
        <f>Orders!G1408</f>
        <v>3450</v>
      </c>
      <c r="N1408">
        <f>IFERROR(VLOOKUP(Orders!D1408,Products!$A$2:$D$61,4,FALSE),"")</f>
        <v>1748</v>
      </c>
      <c r="O1408">
        <f t="shared" si="46"/>
        <v>0.49333333333333335</v>
      </c>
      <c r="Q1408" t="str">
        <f>Orders!D1408</f>
        <v>PROD-011</v>
      </c>
    </row>
    <row r="1409" spans="1:17" x14ac:dyDescent="0.3">
      <c r="A1409" t="str">
        <f>Orders!A1409</f>
        <v>ORD-01408</v>
      </c>
      <c r="B1409">
        <f>Orders!B1409</f>
        <v>45640</v>
      </c>
      <c r="C1409">
        <f>Orders!I1409</f>
        <v>24307.919999999998</v>
      </c>
      <c r="D1409" t="str">
        <f>Orders!E1409</f>
        <v>R014</v>
      </c>
      <c r="E1409" t="str">
        <f>IFERROR(VLOOKUP(Orders!D1409,Products!$A$2:$C$61,3,FALSE),"Unknown")</f>
        <v>Apparel</v>
      </c>
      <c r="F1409" t="str">
        <f>IFERROR(VLOOKUP(Orders!C1409,Customers!$A$2:$E$301,5,FALSE),"Unknown")</f>
        <v>SMB</v>
      </c>
      <c r="G1409">
        <f>IFERROR(VLOOKUP(Orders!C1409,Customers!$A$2:$C$301,3,FALSE),"")</f>
        <v>29</v>
      </c>
      <c r="H1409" t="str">
        <f>VLOOKUP(D1409,Sales_Reps!$A$2:$C$31,3,FALSE)</f>
        <v>South</v>
      </c>
      <c r="I1409" s="44">
        <f t="shared" si="45"/>
        <v>45627</v>
      </c>
      <c r="L1409" t="str">
        <f>Orders!K1409</f>
        <v>Delhi</v>
      </c>
      <c r="M1409">
        <f>Orders!G1409</f>
        <v>3640</v>
      </c>
      <c r="N1409">
        <f>IFERROR(VLOOKUP(Orders!D1409,Products!$A$2:$D$61,4,FALSE),"")</f>
        <v>2611</v>
      </c>
      <c r="O1409">
        <f t="shared" si="46"/>
        <v>0.28269230769230769</v>
      </c>
      <c r="Q1409" t="str">
        <f>Orders!D1409</f>
        <v>PROD-013</v>
      </c>
    </row>
    <row r="1410" spans="1:17" x14ac:dyDescent="0.3">
      <c r="A1410" t="str">
        <f>Orders!A1410</f>
        <v>ORD-01409</v>
      </c>
      <c r="B1410">
        <f>Orders!B1410</f>
        <v>45423</v>
      </c>
      <c r="C1410">
        <f>Orders!I1410</f>
        <v>5105.7</v>
      </c>
      <c r="D1410" t="str">
        <f>Orders!E1410</f>
        <v>R023</v>
      </c>
      <c r="E1410" t="str">
        <f>IFERROR(VLOOKUP(Orders!D1410,Products!$A$2:$C$61,3,FALSE),"Unknown")</f>
        <v>Apparel</v>
      </c>
      <c r="F1410" t="str">
        <f>IFERROR(VLOOKUP(Orders!C1410,Customers!$A$2:$E$301,5,FALSE),"Unknown")</f>
        <v>Retail</v>
      </c>
      <c r="G1410">
        <f>IFERROR(VLOOKUP(Orders!C1410,Customers!$A$2:$C$301,3,FALSE),"")</f>
        <v>33</v>
      </c>
      <c r="H1410" t="str">
        <f>VLOOKUP(D1410,Sales_Reps!$A$2:$C$31,3,FALSE)</f>
        <v>East</v>
      </c>
      <c r="I1410" s="44">
        <f t="shared" si="45"/>
        <v>45413</v>
      </c>
      <c r="L1410" t="str">
        <f>Orders!K1410</f>
        <v>Mumbai</v>
      </c>
      <c r="M1410">
        <f>Orders!G1410</f>
        <v>620</v>
      </c>
      <c r="N1410">
        <f>IFERROR(VLOOKUP(Orders!D1410,Products!$A$2:$D$61,4,FALSE),"")</f>
        <v>396</v>
      </c>
      <c r="O1410">
        <f t="shared" si="46"/>
        <v>0.36129032258064514</v>
      </c>
      <c r="Q1410" t="str">
        <f>Orders!D1410</f>
        <v>PROD-016</v>
      </c>
    </row>
    <row r="1411" spans="1:17" x14ac:dyDescent="0.3">
      <c r="A1411" t="str">
        <f>Orders!A1411</f>
        <v>ORD-01410</v>
      </c>
      <c r="B1411">
        <f>Orders!B1411</f>
        <v>45423</v>
      </c>
      <c r="C1411">
        <f>Orders!I1411</f>
        <v>35607.599999999999</v>
      </c>
      <c r="D1411" t="str">
        <f>Orders!E1411</f>
        <v>R016</v>
      </c>
      <c r="E1411" t="str">
        <f>IFERROR(VLOOKUP(Orders!D1411,Products!$A$2:$C$61,3,FALSE),"Unknown")</f>
        <v>Sports</v>
      </c>
      <c r="F1411" t="str">
        <f>IFERROR(VLOOKUP(Orders!C1411,Customers!$A$2:$E$301,5,FALSE),"Unknown")</f>
        <v>Retail</v>
      </c>
      <c r="G1411">
        <f>IFERROR(VLOOKUP(Orders!C1411,Customers!$A$2:$C$301,3,FALSE),"")</f>
        <v>24</v>
      </c>
      <c r="H1411" t="str">
        <f>VLOOKUP(D1411,Sales_Reps!$A$2:$C$31,3,FALSE)</f>
        <v>South</v>
      </c>
      <c r="I1411" s="44">
        <f t="shared" ref="I1411:I1474" si="47">DATE(YEAR(B1411),MONTH(B1411),1)</f>
        <v>45413</v>
      </c>
      <c r="L1411" t="str">
        <f>Orders!K1411</f>
        <v>Delhi</v>
      </c>
      <c r="M1411">
        <f>Orders!G1411</f>
        <v>3780</v>
      </c>
      <c r="N1411">
        <f>IFERROR(VLOOKUP(Orders!D1411,Products!$A$2:$D$61,4,FALSE),"")</f>
        <v>1860</v>
      </c>
      <c r="O1411">
        <f t="shared" ref="O1411:O1474" si="48">IF(OR(N1411="",M1411&lt;=0),"",(M1411-N1411)/M1411)</f>
        <v>0.50793650793650791</v>
      </c>
      <c r="Q1411" t="str">
        <f>Orders!D1411</f>
        <v>PROD-059</v>
      </c>
    </row>
    <row r="1412" spans="1:17" x14ac:dyDescent="0.3">
      <c r="A1412" t="str">
        <f>Orders!A1412</f>
        <v>ORD-01411</v>
      </c>
      <c r="B1412">
        <f>Orders!B1412</f>
        <v>45518</v>
      </c>
      <c r="C1412">
        <f>Orders!I1412</f>
        <v>18467.61</v>
      </c>
      <c r="D1412" t="str">
        <f>Orders!E1412</f>
        <v>R009</v>
      </c>
      <c r="E1412" t="str">
        <f>IFERROR(VLOOKUP(Orders!D1412,Products!$A$2:$C$61,3,FALSE),"Unknown")</f>
        <v>Electronics</v>
      </c>
      <c r="F1412" t="str">
        <f>IFERROR(VLOOKUP(Orders!C1412,Customers!$A$2:$E$301,5,FALSE),"Unknown")</f>
        <v>SMB</v>
      </c>
      <c r="G1412">
        <f>IFERROR(VLOOKUP(Orders!C1412,Customers!$A$2:$C$301,3,FALSE),"")</f>
        <v>55</v>
      </c>
      <c r="H1412" t="str">
        <f>VLOOKUP(D1412,Sales_Reps!$A$2:$C$31,3,FALSE)</f>
        <v>South</v>
      </c>
      <c r="I1412" s="44">
        <f t="shared" si="47"/>
        <v>45505</v>
      </c>
      <c r="L1412" t="str">
        <f>Orders!K1412</f>
        <v>Delhi</v>
      </c>
      <c r="M1412">
        <f>Orders!G1412</f>
        <v>3570</v>
      </c>
      <c r="N1412">
        <f>IFERROR(VLOOKUP(Orders!D1412,Products!$A$2:$D$61,4,FALSE),"")</f>
        <v>1665</v>
      </c>
      <c r="O1412">
        <f t="shared" si="48"/>
        <v>0.53361344537815125</v>
      </c>
      <c r="Q1412" t="str">
        <f>Orders!D1412</f>
        <v>PROD-003</v>
      </c>
    </row>
    <row r="1413" spans="1:17" x14ac:dyDescent="0.3">
      <c r="A1413" t="str">
        <f>Orders!A1413</f>
        <v>ORD-01412</v>
      </c>
      <c r="B1413">
        <f>Orders!B1413</f>
        <v>45306</v>
      </c>
      <c r="C1413">
        <f>Orders!I1413</f>
        <v>3174.6</v>
      </c>
      <c r="D1413" t="str">
        <f>Orders!E1413</f>
        <v>R002</v>
      </c>
      <c r="E1413" t="str">
        <f>IFERROR(VLOOKUP(Orders!D1413,Products!$A$2:$C$61,3,FALSE),"Unknown")</f>
        <v>Beauty</v>
      </c>
      <c r="F1413" t="str">
        <f>IFERROR(VLOOKUP(Orders!C1413,Customers!$A$2:$E$301,5,FALSE),"Unknown")</f>
        <v>Retail</v>
      </c>
      <c r="G1413">
        <f>IFERROR(VLOOKUP(Orders!C1413,Customers!$A$2:$C$301,3,FALSE),"")</f>
        <v>24</v>
      </c>
      <c r="H1413" t="str">
        <f>VLOOKUP(D1413,Sales_Reps!$A$2:$C$31,3,FALSE)</f>
        <v>North</v>
      </c>
      <c r="I1413" s="44">
        <f t="shared" si="47"/>
        <v>45292</v>
      </c>
      <c r="L1413" t="str">
        <f>Orders!K1413</f>
        <v>Delhi</v>
      </c>
      <c r="M1413">
        <f>Orders!G1413</f>
        <v>1650</v>
      </c>
      <c r="N1413">
        <f>IFERROR(VLOOKUP(Orders!D1413,Products!$A$2:$D$61,4,FALSE),"")</f>
        <v>1222</v>
      </c>
      <c r="O1413">
        <f t="shared" si="48"/>
        <v>0.2593939393939394</v>
      </c>
      <c r="Q1413" t="str">
        <f>Orders!D1413</f>
        <v>PROD-044</v>
      </c>
    </row>
    <row r="1414" spans="1:17" x14ac:dyDescent="0.3">
      <c r="A1414" t="str">
        <f>Orders!A1414</f>
        <v>ORD-01413</v>
      </c>
      <c r="B1414">
        <f>Orders!B1414</f>
        <v>45346</v>
      </c>
      <c r="C1414">
        <f>Orders!I1414</f>
        <v>1789.44</v>
      </c>
      <c r="D1414" t="str">
        <f>Orders!E1414</f>
        <v>R012</v>
      </c>
      <c r="E1414" t="str">
        <f>IFERROR(VLOOKUP(Orders!D1414,Products!$A$2:$C$61,3,FALSE),"Unknown")</f>
        <v>Beauty</v>
      </c>
      <c r="F1414" t="str">
        <f>IFERROR(VLOOKUP(Orders!C1414,Customers!$A$2:$E$301,5,FALSE),"Unknown")</f>
        <v>SMB</v>
      </c>
      <c r="G1414">
        <f>IFERROR(VLOOKUP(Orders!C1414,Customers!$A$2:$C$301,3,FALSE),"")</f>
        <v>54</v>
      </c>
      <c r="H1414" t="str">
        <f>VLOOKUP(D1414,Sales_Reps!$A$2:$C$31,3,FALSE)</f>
        <v>South</v>
      </c>
      <c r="I1414" s="44">
        <f t="shared" si="47"/>
        <v>45323</v>
      </c>
      <c r="L1414" t="str">
        <f>Orders!K1414</f>
        <v>Bengaluru</v>
      </c>
      <c r="M1414">
        <f>Orders!G1414</f>
        <v>960</v>
      </c>
      <c r="N1414">
        <f>IFERROR(VLOOKUP(Orders!D1414,Products!$A$2:$D$61,4,FALSE),"")</f>
        <v>675</v>
      </c>
      <c r="O1414">
        <f t="shared" si="48"/>
        <v>0.296875</v>
      </c>
      <c r="Q1414" t="str">
        <f>Orders!D1414</f>
        <v>PROD-049</v>
      </c>
    </row>
    <row r="1415" spans="1:17" x14ac:dyDescent="0.3">
      <c r="A1415" t="str">
        <f>Orders!A1415</f>
        <v>ORD-01414</v>
      </c>
      <c r="B1415">
        <f>Orders!B1415</f>
        <v>45376</v>
      </c>
      <c r="C1415">
        <f>Orders!I1415</f>
        <v>583.20000000000005</v>
      </c>
      <c r="D1415" t="str">
        <f>Orders!E1415</f>
        <v>R006</v>
      </c>
      <c r="E1415" t="str">
        <f>IFERROR(VLOOKUP(Orders!D1415,Products!$A$2:$C$61,3,FALSE),"Unknown")</f>
        <v>Electronics</v>
      </c>
      <c r="F1415" t="str">
        <f>IFERROR(VLOOKUP(Orders!C1415,Customers!$A$2:$E$301,5,FALSE),"Unknown")</f>
        <v>Corporate</v>
      </c>
      <c r="G1415">
        <f>IFERROR(VLOOKUP(Orders!C1415,Customers!$A$2:$C$301,3,FALSE),"")</f>
        <v>62</v>
      </c>
      <c r="H1415" t="str">
        <f>VLOOKUP(D1415,Sales_Reps!$A$2:$C$31,3,FALSE)</f>
        <v>North</v>
      </c>
      <c r="I1415" s="44">
        <f t="shared" si="47"/>
        <v>45352</v>
      </c>
      <c r="L1415" t="str">
        <f>Orders!K1415</f>
        <v>Mumbai</v>
      </c>
      <c r="M1415">
        <f>Orders!G1415</f>
        <v>300</v>
      </c>
      <c r="N1415">
        <f>IFERROR(VLOOKUP(Orders!D1415,Products!$A$2:$D$61,4,FALSE),"")</f>
        <v>128</v>
      </c>
      <c r="O1415">
        <f t="shared" si="48"/>
        <v>0.57333333333333336</v>
      </c>
      <c r="Q1415" t="str">
        <f>Orders!D1415</f>
        <v>PROD-005</v>
      </c>
    </row>
    <row r="1416" spans="1:17" x14ac:dyDescent="0.3">
      <c r="A1416" t="str">
        <f>Orders!A1416</f>
        <v>ORD-01415</v>
      </c>
      <c r="B1416">
        <f>Orders!B1416</f>
        <v>45561</v>
      </c>
      <c r="C1416">
        <f>Orders!I1416</f>
        <v>34469.4</v>
      </c>
      <c r="D1416" t="str">
        <f>Orders!E1416</f>
        <v>R027</v>
      </c>
      <c r="E1416" t="str">
        <f>IFERROR(VLOOKUP(Orders!D1416,Products!$A$2:$C$61,3,FALSE),"Unknown")</f>
        <v>Grocery</v>
      </c>
      <c r="F1416" t="str">
        <f>IFERROR(VLOOKUP(Orders!C1416,Customers!$A$2:$E$301,5,FALSE),"Unknown")</f>
        <v>Retail</v>
      </c>
      <c r="G1416">
        <f>IFERROR(VLOOKUP(Orders!C1416,Customers!$A$2:$C$301,3,FALSE),"")</f>
        <v>57</v>
      </c>
      <c r="H1416" t="str">
        <f>VLOOKUP(D1416,Sales_Reps!$A$2:$C$31,3,FALSE)</f>
        <v>West</v>
      </c>
      <c r="I1416" s="44">
        <f t="shared" si="47"/>
        <v>45536</v>
      </c>
      <c r="L1416" t="str">
        <f>Orders!K1416</f>
        <v>Pune</v>
      </c>
      <c r="M1416">
        <f>Orders!G1416</f>
        <v>4060</v>
      </c>
      <c r="N1416">
        <f>IFERROR(VLOOKUP(Orders!D1416,Products!$A$2:$D$61,4,FALSE),"")</f>
        <v>2911</v>
      </c>
      <c r="O1416">
        <f t="shared" si="48"/>
        <v>0.28300492610837441</v>
      </c>
      <c r="Q1416" t="str">
        <f>Orders!D1416</f>
        <v>PROD-025</v>
      </c>
    </row>
    <row r="1417" spans="1:17" x14ac:dyDescent="0.3">
      <c r="A1417" t="str">
        <f>Orders!A1417</f>
        <v>ORD-01416</v>
      </c>
      <c r="B1417">
        <f>Orders!B1417</f>
        <v>45320</v>
      </c>
      <c r="C1417">
        <f>Orders!I1417</f>
        <v>31340.400000000001</v>
      </c>
      <c r="D1417" t="str">
        <f>Orders!E1417</f>
        <v>R022</v>
      </c>
      <c r="E1417" t="str">
        <f>IFERROR(VLOOKUP(Orders!D1417,Products!$A$2:$C$61,3,FALSE),"Unknown")</f>
        <v>Electronics</v>
      </c>
      <c r="F1417" t="str">
        <f>IFERROR(VLOOKUP(Orders!C1417,Customers!$A$2:$E$301,5,FALSE),"Unknown")</f>
        <v>Retail</v>
      </c>
      <c r="G1417">
        <f>IFERROR(VLOOKUP(Orders!C1417,Customers!$A$2:$C$301,3,FALSE),"")</f>
        <v>36</v>
      </c>
      <c r="H1417" t="str">
        <f>VLOOKUP(D1417,Sales_Reps!$A$2:$C$31,3,FALSE)</f>
        <v>East</v>
      </c>
      <c r="I1417" s="44">
        <f t="shared" si="47"/>
        <v>45292</v>
      </c>
      <c r="L1417" t="str">
        <f>Orders!K1417</f>
        <v>Bengaluru</v>
      </c>
      <c r="M1417">
        <f>Orders!G1417</f>
        <v>5330</v>
      </c>
      <c r="N1417">
        <f>IFERROR(VLOOKUP(Orders!D1417,Products!$A$2:$D$61,4,FALSE),"")</f>
        <v>2405</v>
      </c>
      <c r="O1417">
        <f t="shared" si="48"/>
        <v>0.54878048780487809</v>
      </c>
      <c r="Q1417" t="str">
        <f>Orders!D1417</f>
        <v>PROD-001</v>
      </c>
    </row>
    <row r="1418" spans="1:17" x14ac:dyDescent="0.3">
      <c r="A1418" t="str">
        <f>Orders!A1418</f>
        <v>ORD-01417</v>
      </c>
      <c r="B1418">
        <f>Orders!B1418</f>
        <v>45572</v>
      </c>
      <c r="C1418">
        <f>Orders!I1418</f>
        <v>25345.35</v>
      </c>
      <c r="D1418" t="str">
        <f>Orders!E1418</f>
        <v>R021</v>
      </c>
      <c r="E1418" t="str">
        <f>IFERROR(VLOOKUP(Orders!D1418,Products!$A$2:$C$61,3,FALSE),"Unknown")</f>
        <v>Home</v>
      </c>
      <c r="F1418" t="str">
        <f>IFERROR(VLOOKUP(Orders!C1418,Customers!$A$2:$E$301,5,FALSE),"Unknown")</f>
        <v>Retail</v>
      </c>
      <c r="G1418">
        <f>IFERROR(VLOOKUP(Orders!C1418,Customers!$A$2:$C$301,3,FALSE),"")</f>
        <v>44</v>
      </c>
      <c r="H1418" t="str">
        <f>VLOOKUP(D1418,Sales_Reps!$A$2:$C$31,3,FALSE)</f>
        <v>East</v>
      </c>
      <c r="I1418" s="44">
        <f t="shared" si="47"/>
        <v>45566</v>
      </c>
      <c r="L1418" t="str">
        <f>Orders!K1418</f>
        <v>Delhi</v>
      </c>
      <c r="M1418">
        <f>Orders!G1418</f>
        <v>3730</v>
      </c>
      <c r="N1418">
        <f>IFERROR(VLOOKUP(Orders!D1418,Products!$A$2:$D$61,4,FALSE),"")</f>
        <v>2135</v>
      </c>
      <c r="O1418">
        <f t="shared" si="48"/>
        <v>0.42761394101876676</v>
      </c>
      <c r="Q1418" t="str">
        <f>Orders!D1418</f>
        <v>PROD-031</v>
      </c>
    </row>
    <row r="1419" spans="1:17" x14ac:dyDescent="0.3">
      <c r="A1419" t="str">
        <f>Orders!A1419</f>
        <v>ORD-01418</v>
      </c>
      <c r="B1419">
        <f>Orders!B1419</f>
        <v>45611</v>
      </c>
      <c r="C1419">
        <f>Orders!I1419</f>
        <v>5812.48</v>
      </c>
      <c r="D1419" t="str">
        <f>Orders!E1419</f>
        <v>R030</v>
      </c>
      <c r="E1419" t="str">
        <f>IFERROR(VLOOKUP(Orders!D1419,Products!$A$2:$C$61,3,FALSE),"Unknown")</f>
        <v>Beauty</v>
      </c>
      <c r="F1419" t="str">
        <f>IFERROR(VLOOKUP(Orders!C1419,Customers!$A$2:$E$301,5,FALSE),"Unknown")</f>
        <v>Retail</v>
      </c>
      <c r="G1419">
        <f>IFERROR(VLOOKUP(Orders!C1419,Customers!$A$2:$C$301,3,FALSE),"")</f>
        <v>60</v>
      </c>
      <c r="H1419" t="str">
        <f>VLOOKUP(D1419,Sales_Reps!$A$2:$C$31,3,FALSE)</f>
        <v>West</v>
      </c>
      <c r="I1419" s="44">
        <f t="shared" si="47"/>
        <v>45597</v>
      </c>
      <c r="L1419" t="str">
        <f>Orders!K1419</f>
        <v>Chennai</v>
      </c>
      <c r="M1419">
        <f>Orders!G1419</f>
        <v>6080</v>
      </c>
      <c r="N1419">
        <f>IFERROR(VLOOKUP(Orders!D1419,Products!$A$2:$D$61,4,FALSE),"")</f>
        <v>2617</v>
      </c>
      <c r="O1419">
        <f t="shared" si="48"/>
        <v>0.56957236842105263</v>
      </c>
      <c r="Q1419" t="str">
        <f>Orders!D1419</f>
        <v>PROD-050</v>
      </c>
    </row>
    <row r="1420" spans="1:17" x14ac:dyDescent="0.3">
      <c r="A1420" t="str">
        <f>Orders!A1420</f>
        <v>ORD-01419</v>
      </c>
      <c r="B1420">
        <f>Orders!B1420</f>
        <v>45524</v>
      </c>
      <c r="C1420">
        <f>Orders!I1420</f>
        <v>12348.8</v>
      </c>
      <c r="D1420" t="str">
        <f>Orders!E1420</f>
        <v>R025</v>
      </c>
      <c r="E1420" t="str">
        <f>IFERROR(VLOOKUP(Orders!D1420,Products!$A$2:$C$61,3,FALSE),"Unknown")</f>
        <v>Apparel</v>
      </c>
      <c r="F1420" t="str">
        <f>IFERROR(VLOOKUP(Orders!C1420,Customers!$A$2:$E$301,5,FALSE),"Unknown")</f>
        <v>Retail</v>
      </c>
      <c r="G1420">
        <f>IFERROR(VLOOKUP(Orders!C1420,Customers!$A$2:$C$301,3,FALSE),"")</f>
        <v>33</v>
      </c>
      <c r="H1420" t="str">
        <f>VLOOKUP(D1420,Sales_Reps!$A$2:$C$31,3,FALSE)</f>
        <v>West</v>
      </c>
      <c r="I1420" s="44">
        <f t="shared" si="47"/>
        <v>45505</v>
      </c>
      <c r="L1420" t="str">
        <f>Orders!K1420</f>
        <v>Mumbai</v>
      </c>
      <c r="M1420">
        <f>Orders!G1420</f>
        <v>2720</v>
      </c>
      <c r="N1420">
        <f>IFERROR(VLOOKUP(Orders!D1420,Products!$A$2:$D$61,4,FALSE),"")</f>
        <v>1962</v>
      </c>
      <c r="O1420">
        <f t="shared" si="48"/>
        <v>0.2786764705882353</v>
      </c>
      <c r="Q1420" t="str">
        <f>Orders!D1420</f>
        <v>PROD-015</v>
      </c>
    </row>
    <row r="1421" spans="1:17" x14ac:dyDescent="0.3">
      <c r="A1421" t="str">
        <f>Orders!A1421</f>
        <v>ORD-01420</v>
      </c>
      <c r="B1421">
        <f>Orders!B1421</f>
        <v>45438</v>
      </c>
      <c r="C1421">
        <f>Orders!I1421</f>
        <v>2911.8</v>
      </c>
      <c r="D1421" t="str">
        <f>Orders!E1421</f>
        <v>R023</v>
      </c>
      <c r="E1421" t="str">
        <f>IFERROR(VLOOKUP(Orders!D1421,Products!$A$2:$C$61,3,FALSE),"Unknown")</f>
        <v>Apparel</v>
      </c>
      <c r="F1421" t="str">
        <f>IFERROR(VLOOKUP(Orders!C1421,Customers!$A$2:$E$301,5,FALSE),"Unknown")</f>
        <v>Retail</v>
      </c>
      <c r="G1421">
        <f>IFERROR(VLOOKUP(Orders!C1421,Customers!$A$2:$C$301,3,FALSE),"")</f>
        <v>61</v>
      </c>
      <c r="H1421" t="str">
        <f>VLOOKUP(D1421,Sales_Reps!$A$2:$C$31,3,FALSE)</f>
        <v>East</v>
      </c>
      <c r="I1421" s="44">
        <f t="shared" si="47"/>
        <v>45413</v>
      </c>
      <c r="L1421" t="str">
        <f>Orders!K1421</f>
        <v>Mumbai</v>
      </c>
      <c r="M1421">
        <f>Orders!G1421</f>
        <v>3450</v>
      </c>
      <c r="N1421">
        <f>IFERROR(VLOOKUP(Orders!D1421,Products!$A$2:$D$61,4,FALSE),"")</f>
        <v>1748</v>
      </c>
      <c r="O1421">
        <f t="shared" si="48"/>
        <v>0.49333333333333335</v>
      </c>
      <c r="Q1421" t="str">
        <f>Orders!D1421</f>
        <v>PROD-011</v>
      </c>
    </row>
    <row r="1422" spans="1:17" x14ac:dyDescent="0.3">
      <c r="A1422" t="str">
        <f>Orders!A1422</f>
        <v>ORD-01421</v>
      </c>
      <c r="B1422">
        <f>Orders!B1422</f>
        <v>45484</v>
      </c>
      <c r="C1422">
        <f>Orders!I1422</f>
        <v>2171.2800000000002</v>
      </c>
      <c r="D1422" t="str">
        <f>Orders!E1422</f>
        <v>R022</v>
      </c>
      <c r="E1422" t="str">
        <f>IFERROR(VLOOKUP(Orders!D1422,Products!$A$2:$C$61,3,FALSE),"Unknown")</f>
        <v>Home</v>
      </c>
      <c r="F1422" t="str">
        <f>IFERROR(VLOOKUP(Orders!C1422,Customers!$A$2:$E$301,5,FALSE),"Unknown")</f>
        <v>Retail</v>
      </c>
      <c r="G1422">
        <f>IFERROR(VLOOKUP(Orders!C1422,Customers!$A$2:$C$301,3,FALSE),"")</f>
        <v>53</v>
      </c>
      <c r="H1422" t="str">
        <f>VLOOKUP(D1422,Sales_Reps!$A$2:$C$31,3,FALSE)</f>
        <v>East</v>
      </c>
      <c r="I1422" s="44">
        <f t="shared" si="47"/>
        <v>45474</v>
      </c>
      <c r="L1422" t="str">
        <f>Orders!K1422</f>
        <v>Bengaluru</v>
      </c>
      <c r="M1422">
        <f>Orders!G1422</f>
        <v>1090</v>
      </c>
      <c r="N1422">
        <f>IFERROR(VLOOKUP(Orders!D1422,Products!$A$2:$D$61,4,FALSE),"")</f>
        <v>464</v>
      </c>
      <c r="O1422">
        <f t="shared" si="48"/>
        <v>0.57431192660550456</v>
      </c>
      <c r="Q1422" t="str">
        <f>Orders!D1422</f>
        <v>PROD-035</v>
      </c>
    </row>
    <row r="1423" spans="1:17" x14ac:dyDescent="0.3">
      <c r="A1423" t="str">
        <f>Orders!A1423</f>
        <v>ORD-01422</v>
      </c>
      <c r="B1423">
        <f>Orders!B1423</f>
        <v>45643</v>
      </c>
      <c r="C1423">
        <f>Orders!I1423</f>
        <v>6497.4</v>
      </c>
      <c r="D1423" t="str">
        <f>Orders!E1423</f>
        <v>R017</v>
      </c>
      <c r="E1423" t="str">
        <f>IFERROR(VLOOKUP(Orders!D1423,Products!$A$2:$C$61,3,FALSE),"Unknown")</f>
        <v>Electronics</v>
      </c>
      <c r="F1423" t="str">
        <f>IFERROR(VLOOKUP(Orders!C1423,Customers!$A$2:$E$301,5,FALSE),"Unknown")</f>
        <v>Retail</v>
      </c>
      <c r="G1423">
        <f>IFERROR(VLOOKUP(Orders!C1423,Customers!$A$2:$C$301,3,FALSE),"")</f>
        <v>38</v>
      </c>
      <c r="H1423" t="str">
        <f>VLOOKUP(D1423,Sales_Reps!$A$2:$C$31,3,FALSE)</f>
        <v>East</v>
      </c>
      <c r="I1423" s="44">
        <f t="shared" si="47"/>
        <v>45627</v>
      </c>
      <c r="L1423" t="str">
        <f>Orders!K1423</f>
        <v>Hyderabad</v>
      </c>
      <c r="M1423">
        <f>Orders!G1423</f>
        <v>3570</v>
      </c>
      <c r="N1423">
        <f>IFERROR(VLOOKUP(Orders!D1423,Products!$A$2:$D$61,4,FALSE),"")</f>
        <v>1665</v>
      </c>
      <c r="O1423">
        <f t="shared" si="48"/>
        <v>0.53361344537815125</v>
      </c>
      <c r="Q1423" t="str">
        <f>Orders!D1423</f>
        <v>PROD-003</v>
      </c>
    </row>
    <row r="1424" spans="1:17" x14ac:dyDescent="0.3">
      <c r="A1424" t="str">
        <f>Orders!A1424</f>
        <v>ORD-01423</v>
      </c>
      <c r="B1424">
        <f>Orders!B1424</f>
        <v>45437</v>
      </c>
      <c r="C1424">
        <f>Orders!I1424</f>
        <v>21516.48</v>
      </c>
      <c r="D1424" t="str">
        <f>Orders!E1424</f>
        <v>R014</v>
      </c>
      <c r="E1424" t="str">
        <f>IFERROR(VLOOKUP(Orders!D1424,Products!$A$2:$C$61,3,FALSE),"Unknown")</f>
        <v>Apparel</v>
      </c>
      <c r="F1424" t="str">
        <f>IFERROR(VLOOKUP(Orders!C1424,Customers!$A$2:$E$301,5,FALSE),"Unknown")</f>
        <v>SMB</v>
      </c>
      <c r="G1424">
        <f>IFERROR(VLOOKUP(Orders!C1424,Customers!$A$2:$C$301,3,FALSE),"")</f>
        <v>55</v>
      </c>
      <c r="H1424" t="str">
        <f>VLOOKUP(D1424,Sales_Reps!$A$2:$C$31,3,FALSE)</f>
        <v>South</v>
      </c>
      <c r="I1424" s="44">
        <f t="shared" si="47"/>
        <v>45413</v>
      </c>
      <c r="L1424" t="str">
        <f>Orders!K1424</f>
        <v>Delhi</v>
      </c>
      <c r="M1424">
        <f>Orders!G1424</f>
        <v>2480</v>
      </c>
      <c r="N1424">
        <f>IFERROR(VLOOKUP(Orders!D1424,Products!$A$2:$D$61,4,FALSE),"")</f>
        <v>1173</v>
      </c>
      <c r="O1424">
        <f t="shared" si="48"/>
        <v>0.52701612903225803</v>
      </c>
      <c r="Q1424" t="str">
        <f>Orders!D1424</f>
        <v>PROD-019</v>
      </c>
    </row>
    <row r="1425" spans="1:17" x14ac:dyDescent="0.3">
      <c r="A1425" t="str">
        <f>Orders!A1425</f>
        <v>ORD-01424</v>
      </c>
      <c r="B1425">
        <f>Orders!B1425</f>
        <v>45303</v>
      </c>
      <c r="C1425">
        <f>Orders!I1425</f>
        <v>32489.1</v>
      </c>
      <c r="D1425" t="str">
        <f>Orders!E1425</f>
        <v>R022</v>
      </c>
      <c r="E1425" t="str">
        <f>IFERROR(VLOOKUP(Orders!D1425,Products!$A$2:$C$61,3,FALSE),"Unknown")</f>
        <v>Grocery</v>
      </c>
      <c r="F1425" t="str">
        <f>IFERROR(VLOOKUP(Orders!C1425,Customers!$A$2:$E$301,5,FALSE),"Unknown")</f>
        <v>Retail</v>
      </c>
      <c r="G1425">
        <f>IFERROR(VLOOKUP(Orders!C1425,Customers!$A$2:$C$301,3,FALSE),"")</f>
        <v>25</v>
      </c>
      <c r="H1425" t="str">
        <f>VLOOKUP(D1425,Sales_Reps!$A$2:$C$31,3,FALSE)</f>
        <v>East</v>
      </c>
      <c r="I1425" s="44">
        <f t="shared" si="47"/>
        <v>45292</v>
      </c>
      <c r="L1425" t="str">
        <f>Orders!K1425</f>
        <v>Hyderabad</v>
      </c>
      <c r="M1425">
        <f>Orders!G1425</f>
        <v>3780</v>
      </c>
      <c r="N1425">
        <f>IFERROR(VLOOKUP(Orders!D1425,Products!$A$2:$D$61,4,FALSE),"")</f>
        <v>2436</v>
      </c>
      <c r="O1425">
        <f t="shared" si="48"/>
        <v>0.35555555555555557</v>
      </c>
      <c r="Q1425" t="str">
        <f>Orders!D1425</f>
        <v>PROD-027</v>
      </c>
    </row>
    <row r="1426" spans="1:17" x14ac:dyDescent="0.3">
      <c r="A1426" t="str">
        <f>Orders!A1426</f>
        <v>ORD-01425</v>
      </c>
      <c r="B1426">
        <f>Orders!B1426</f>
        <v>45631</v>
      </c>
      <c r="C1426">
        <f>Orders!I1426</f>
        <v>19751.900000000001</v>
      </c>
      <c r="D1426" t="str">
        <f>Orders!E1426</f>
        <v>R010</v>
      </c>
      <c r="E1426" t="str">
        <f>IFERROR(VLOOKUP(Orders!D1426,Products!$A$2:$C$61,3,FALSE),"Unknown")</f>
        <v>Grocery</v>
      </c>
      <c r="F1426" t="str">
        <f>IFERROR(VLOOKUP(Orders!C1426,Customers!$A$2:$E$301,5,FALSE),"Unknown")</f>
        <v>SMB</v>
      </c>
      <c r="G1426">
        <f>IFERROR(VLOOKUP(Orders!C1426,Customers!$A$2:$C$301,3,FALSE),"")</f>
        <v>28</v>
      </c>
      <c r="H1426" t="str">
        <f>VLOOKUP(D1426,Sales_Reps!$A$2:$C$31,3,FALSE)</f>
        <v>South</v>
      </c>
      <c r="I1426" s="44">
        <f t="shared" si="47"/>
        <v>45627</v>
      </c>
      <c r="L1426" t="str">
        <f>Orders!K1426</f>
        <v>Delhi</v>
      </c>
      <c r="M1426">
        <f>Orders!G1426</f>
        <v>4060</v>
      </c>
      <c r="N1426">
        <f>IFERROR(VLOOKUP(Orders!D1426,Products!$A$2:$D$61,4,FALSE),"")</f>
        <v>2911</v>
      </c>
      <c r="O1426">
        <f t="shared" si="48"/>
        <v>0.28300492610837441</v>
      </c>
      <c r="Q1426" t="str">
        <f>Orders!D1426</f>
        <v>PROD-025</v>
      </c>
    </row>
    <row r="1427" spans="1:17" x14ac:dyDescent="0.3">
      <c r="A1427" t="str">
        <f>Orders!A1427</f>
        <v>ORD-01426</v>
      </c>
      <c r="B1427">
        <f>Orders!B1427</f>
        <v>45564</v>
      </c>
      <c r="C1427">
        <f>Orders!I1427</f>
        <v>1924.8</v>
      </c>
      <c r="D1427" t="str">
        <f>Orders!E1427</f>
        <v>R002</v>
      </c>
      <c r="E1427" t="str">
        <f>IFERROR(VLOOKUP(Orders!D1427,Products!$A$2:$C$61,3,FALSE),"Unknown")</f>
        <v>Electronics</v>
      </c>
      <c r="F1427" t="str">
        <f>IFERROR(VLOOKUP(Orders!C1427,Customers!$A$2:$E$301,5,FALSE),"Unknown")</f>
        <v>Corporate</v>
      </c>
      <c r="G1427">
        <f>IFERROR(VLOOKUP(Orders!C1427,Customers!$A$2:$C$301,3,FALSE),"")</f>
        <v>40</v>
      </c>
      <c r="H1427" t="str">
        <f>VLOOKUP(D1427,Sales_Reps!$A$2:$C$31,3,FALSE)</f>
        <v>North</v>
      </c>
      <c r="I1427" s="44">
        <f t="shared" si="47"/>
        <v>45536</v>
      </c>
      <c r="L1427" t="str">
        <f>Orders!K1427</f>
        <v>Pune</v>
      </c>
      <c r="M1427">
        <f>Orders!G1427</f>
        <v>300</v>
      </c>
      <c r="N1427">
        <f>IFERROR(VLOOKUP(Orders!D1427,Products!$A$2:$D$61,4,FALSE),"")</f>
        <v>128</v>
      </c>
      <c r="O1427">
        <f t="shared" si="48"/>
        <v>0.57333333333333336</v>
      </c>
      <c r="Q1427" t="str">
        <f>Orders!D1427</f>
        <v>PROD-005</v>
      </c>
    </row>
    <row r="1428" spans="1:17" x14ac:dyDescent="0.3">
      <c r="A1428" t="str">
        <f>Orders!A1428</f>
        <v>ORD-01427</v>
      </c>
      <c r="B1428">
        <f>Orders!B1428</f>
        <v>45454</v>
      </c>
      <c r="C1428">
        <f>Orders!I1428</f>
        <v>25577.5</v>
      </c>
      <c r="D1428" t="str">
        <f>Orders!E1428</f>
        <v>R002</v>
      </c>
      <c r="E1428" t="str">
        <f>IFERROR(VLOOKUP(Orders!D1428,Products!$A$2:$C$61,3,FALSE),"Unknown")</f>
        <v>Home</v>
      </c>
      <c r="F1428" t="str">
        <f>IFERROR(VLOOKUP(Orders!C1428,Customers!$A$2:$E$301,5,FALSE),"Unknown")</f>
        <v>SMB</v>
      </c>
      <c r="G1428">
        <f>IFERROR(VLOOKUP(Orders!C1428,Customers!$A$2:$C$301,3,FALSE),"")</f>
        <v>22</v>
      </c>
      <c r="H1428" t="str">
        <f>VLOOKUP(D1428,Sales_Reps!$A$2:$C$31,3,FALSE)</f>
        <v>North</v>
      </c>
      <c r="I1428" s="44">
        <f t="shared" si="47"/>
        <v>45444</v>
      </c>
      <c r="L1428" t="str">
        <f>Orders!K1428</f>
        <v>Mumbai</v>
      </c>
      <c r="M1428">
        <f>Orders!G1428</f>
        <v>3250</v>
      </c>
      <c r="N1428">
        <f>IFERROR(VLOOKUP(Orders!D1428,Products!$A$2:$D$61,4,FALSE),"")</f>
        <v>1556</v>
      </c>
      <c r="O1428">
        <f t="shared" si="48"/>
        <v>0.52123076923076928</v>
      </c>
      <c r="Q1428" t="str">
        <f>Orders!D1428</f>
        <v>PROD-036</v>
      </c>
    </row>
    <row r="1429" spans="1:17" x14ac:dyDescent="0.3">
      <c r="A1429" t="str">
        <f>Orders!A1429</f>
        <v>ORD-01428</v>
      </c>
      <c r="B1429">
        <f>Orders!B1429</f>
        <v>45616</v>
      </c>
      <c r="C1429">
        <f>Orders!I1429</f>
        <v>4936.3599999999997</v>
      </c>
      <c r="D1429" t="str">
        <f>Orders!E1429</f>
        <v>R009</v>
      </c>
      <c r="E1429" t="str">
        <f>IFERROR(VLOOKUP(Orders!D1429,Products!$A$2:$C$61,3,FALSE),"Unknown")</f>
        <v>Sports</v>
      </c>
      <c r="F1429" t="str">
        <f>IFERROR(VLOOKUP(Orders!C1429,Customers!$A$2:$E$301,5,FALSE),"Unknown")</f>
        <v>Retail</v>
      </c>
      <c r="G1429">
        <f>IFERROR(VLOOKUP(Orders!C1429,Customers!$A$2:$C$301,3,FALSE),"")</f>
        <v>36</v>
      </c>
      <c r="H1429" t="str">
        <f>VLOOKUP(D1429,Sales_Reps!$A$2:$C$31,3,FALSE)</f>
        <v>South</v>
      </c>
      <c r="I1429" s="44">
        <f t="shared" si="47"/>
        <v>45597</v>
      </c>
      <c r="L1429" t="str">
        <f>Orders!K1429</f>
        <v>Chennai</v>
      </c>
      <c r="M1429">
        <f>Orders!G1429</f>
        <v>2860</v>
      </c>
      <c r="N1429">
        <f>IFERROR(VLOOKUP(Orders!D1429,Products!$A$2:$D$61,4,FALSE),"")</f>
        <v>2028</v>
      </c>
      <c r="O1429">
        <f t="shared" si="48"/>
        <v>0.29090909090909089</v>
      </c>
      <c r="Q1429" t="str">
        <f>Orders!D1429</f>
        <v>PROD-055</v>
      </c>
    </row>
    <row r="1430" spans="1:17" x14ac:dyDescent="0.3">
      <c r="A1430" t="str">
        <f>Orders!A1430</f>
        <v>ORD-01429</v>
      </c>
      <c r="B1430">
        <f>Orders!B1430</f>
        <v>45523</v>
      </c>
      <c r="C1430">
        <f>Orders!I1430</f>
        <v>10321.200000000001</v>
      </c>
      <c r="D1430" t="str">
        <f>Orders!E1430</f>
        <v>R017</v>
      </c>
      <c r="E1430" t="str">
        <f>IFERROR(VLOOKUP(Orders!D1430,Products!$A$2:$C$61,3,FALSE),"Unknown")</f>
        <v>Electronics</v>
      </c>
      <c r="F1430" t="str">
        <f>IFERROR(VLOOKUP(Orders!C1430,Customers!$A$2:$E$301,5,FALSE),"Unknown")</f>
        <v>Retail</v>
      </c>
      <c r="G1430">
        <f>IFERROR(VLOOKUP(Orders!C1430,Customers!$A$2:$C$301,3,FALSE),"")</f>
        <v>24</v>
      </c>
      <c r="H1430" t="str">
        <f>VLOOKUP(D1430,Sales_Reps!$A$2:$C$31,3,FALSE)</f>
        <v>East</v>
      </c>
      <c r="I1430" s="44">
        <f t="shared" si="47"/>
        <v>45505</v>
      </c>
      <c r="L1430" t="str">
        <f>Orders!K1430</f>
        <v>Delhi</v>
      </c>
      <c r="M1430">
        <f>Orders!G1430</f>
        <v>1220</v>
      </c>
      <c r="N1430">
        <f>IFERROR(VLOOKUP(Orders!D1430,Products!$A$2:$D$61,4,FALSE),"")</f>
        <v>517</v>
      </c>
      <c r="O1430">
        <f t="shared" si="48"/>
        <v>0.57622950819672136</v>
      </c>
      <c r="Q1430" t="str">
        <f>Orders!D1430</f>
        <v>PROD-009</v>
      </c>
    </row>
    <row r="1431" spans="1:17" x14ac:dyDescent="0.3">
      <c r="A1431" t="str">
        <f>Orders!A1431</f>
        <v>ORD-01430</v>
      </c>
      <c r="B1431">
        <f>Orders!B1431</f>
        <v>45439</v>
      </c>
      <c r="C1431">
        <f>Orders!I1431</f>
        <v>11124.54</v>
      </c>
      <c r="D1431" t="str">
        <f>Orders!E1431</f>
        <v>R010</v>
      </c>
      <c r="E1431" t="str">
        <f>IFERROR(VLOOKUP(Orders!D1431,Products!$A$2:$C$61,3,FALSE),"Unknown")</f>
        <v>Grocery</v>
      </c>
      <c r="F1431" t="str">
        <f>IFERROR(VLOOKUP(Orders!C1431,Customers!$A$2:$E$301,5,FALSE),"Unknown")</f>
        <v>Retail</v>
      </c>
      <c r="G1431">
        <f>IFERROR(VLOOKUP(Orders!C1431,Customers!$A$2:$C$301,3,FALSE),"")</f>
        <v>27</v>
      </c>
      <c r="H1431" t="str">
        <f>VLOOKUP(D1431,Sales_Reps!$A$2:$C$31,3,FALSE)</f>
        <v>South</v>
      </c>
      <c r="I1431" s="44">
        <f t="shared" si="47"/>
        <v>45413</v>
      </c>
      <c r="L1431" t="str">
        <f>Orders!K1431</f>
        <v>Hyderabad</v>
      </c>
      <c r="M1431">
        <f>Orders!G1431</f>
        <v>3780</v>
      </c>
      <c r="N1431">
        <f>IFERROR(VLOOKUP(Orders!D1431,Products!$A$2:$D$61,4,FALSE),"")</f>
        <v>2436</v>
      </c>
      <c r="O1431">
        <f t="shared" si="48"/>
        <v>0.35555555555555557</v>
      </c>
      <c r="Q1431" t="str">
        <f>Orders!D1431</f>
        <v>PROD-027</v>
      </c>
    </row>
    <row r="1432" spans="1:17" x14ac:dyDescent="0.3">
      <c r="A1432" t="str">
        <f>Orders!A1432</f>
        <v>ORD-01431</v>
      </c>
      <c r="B1432">
        <f>Orders!B1432</f>
        <v>45579</v>
      </c>
      <c r="C1432">
        <f>Orders!I1432</f>
        <v>32775.300000000003</v>
      </c>
      <c r="D1432" t="str">
        <f>Orders!E1432</f>
        <v>R018</v>
      </c>
      <c r="E1432" t="str">
        <f>IFERROR(VLOOKUP(Orders!D1432,Products!$A$2:$C$61,3,FALSE),"Unknown")</f>
        <v>Home</v>
      </c>
      <c r="F1432" t="str">
        <f>IFERROR(VLOOKUP(Orders!C1432,Customers!$A$2:$E$301,5,FALSE),"Unknown")</f>
        <v>Retail</v>
      </c>
      <c r="G1432">
        <f>IFERROR(VLOOKUP(Orders!C1432,Customers!$A$2:$C$301,3,FALSE),"")</f>
        <v>47</v>
      </c>
      <c r="H1432" t="str">
        <f>VLOOKUP(D1432,Sales_Reps!$A$2:$C$31,3,FALSE)</f>
        <v>East</v>
      </c>
      <c r="I1432" s="44">
        <f t="shared" si="47"/>
        <v>45566</v>
      </c>
      <c r="L1432" t="str">
        <f>Orders!K1432</f>
        <v>Delhi</v>
      </c>
      <c r="M1432">
        <f>Orders!G1432</f>
        <v>5490</v>
      </c>
      <c r="N1432">
        <f>IFERROR(VLOOKUP(Orders!D1432,Products!$A$2:$D$61,4,FALSE),"")</f>
        <v>2549</v>
      </c>
      <c r="O1432">
        <f t="shared" si="48"/>
        <v>0.53570127504553733</v>
      </c>
      <c r="Q1432" t="str">
        <f>Orders!D1432</f>
        <v>PROD-038</v>
      </c>
    </row>
    <row r="1433" spans="1:17" x14ac:dyDescent="0.3">
      <c r="A1433" t="str">
        <f>Orders!A1433</f>
        <v>ORD-01432</v>
      </c>
      <c r="B1433">
        <f>Orders!B1433</f>
        <v>45495</v>
      </c>
      <c r="C1433">
        <f>Orders!I1433</f>
        <v>10691.7</v>
      </c>
      <c r="D1433" t="str">
        <f>Orders!E1433</f>
        <v>R029</v>
      </c>
      <c r="E1433" t="str">
        <f>IFERROR(VLOOKUP(Orders!D1433,Products!$A$2:$C$61,3,FALSE),"Unknown")</f>
        <v>Grocery</v>
      </c>
      <c r="F1433" t="str">
        <f>IFERROR(VLOOKUP(Orders!C1433,Customers!$A$2:$E$301,5,FALSE),"Unknown")</f>
        <v>Corporate</v>
      </c>
      <c r="G1433">
        <f>IFERROR(VLOOKUP(Orders!C1433,Customers!$A$2:$C$301,3,FALSE),"")</f>
        <v>54</v>
      </c>
      <c r="H1433" t="str">
        <f>VLOOKUP(D1433,Sales_Reps!$A$2:$C$31,3,FALSE)</f>
        <v>West</v>
      </c>
      <c r="I1433" s="44">
        <f t="shared" si="47"/>
        <v>45474</v>
      </c>
      <c r="L1433" t="str">
        <f>Orders!K1433</f>
        <v>Chennai</v>
      </c>
      <c r="M1433">
        <f>Orders!G1433</f>
        <v>2270</v>
      </c>
      <c r="N1433">
        <f>IFERROR(VLOOKUP(Orders!D1433,Products!$A$2:$D$61,4,FALSE),"")</f>
        <v>1412</v>
      </c>
      <c r="O1433">
        <f t="shared" si="48"/>
        <v>0.37797356828193834</v>
      </c>
      <c r="Q1433" t="str">
        <f>Orders!D1433</f>
        <v>PROD-022</v>
      </c>
    </row>
    <row r="1434" spans="1:17" x14ac:dyDescent="0.3">
      <c r="A1434" t="str">
        <f>Orders!A1434</f>
        <v>ORD-01433</v>
      </c>
      <c r="B1434">
        <f>Orders!B1434</f>
        <v>45600</v>
      </c>
      <c r="C1434">
        <f>Orders!I1434</f>
        <v>13876.59</v>
      </c>
      <c r="D1434" t="str">
        <f>Orders!E1434</f>
        <v>R023</v>
      </c>
      <c r="E1434" t="str">
        <f>IFERROR(VLOOKUP(Orders!D1434,Products!$A$2:$C$61,3,FALSE),"Unknown")</f>
        <v>Grocery</v>
      </c>
      <c r="F1434" t="str">
        <f>IFERROR(VLOOKUP(Orders!C1434,Customers!$A$2:$E$301,5,FALSE),"Unknown")</f>
        <v>Corporate</v>
      </c>
      <c r="G1434">
        <f>IFERROR(VLOOKUP(Orders!C1434,Customers!$A$2:$C$301,3,FALSE),"")</f>
        <v>24</v>
      </c>
      <c r="H1434" t="str">
        <f>VLOOKUP(D1434,Sales_Reps!$A$2:$C$31,3,FALSE)</f>
        <v>East</v>
      </c>
      <c r="I1434" s="44">
        <f t="shared" si="47"/>
        <v>45597</v>
      </c>
      <c r="L1434" t="str">
        <f>Orders!K1434</f>
        <v>Chennai</v>
      </c>
      <c r="M1434">
        <f>Orders!G1434</f>
        <v>2210</v>
      </c>
      <c r="N1434">
        <f>IFERROR(VLOOKUP(Orders!D1434,Products!$A$2:$D$61,4,FALSE),"")</f>
        <v>1010</v>
      </c>
      <c r="O1434">
        <f t="shared" si="48"/>
        <v>0.54298642533936647</v>
      </c>
      <c r="Q1434" t="str">
        <f>Orders!D1434</f>
        <v>PROD-029</v>
      </c>
    </row>
    <row r="1435" spans="1:17" x14ac:dyDescent="0.3">
      <c r="A1435" t="str">
        <f>Orders!A1435</f>
        <v>ORD-01434</v>
      </c>
      <c r="B1435">
        <f>Orders!B1435</f>
        <v>45605</v>
      </c>
      <c r="C1435">
        <f>Orders!I1435</f>
        <v>6827.76</v>
      </c>
      <c r="D1435" t="str">
        <f>Orders!E1435</f>
        <v>R009</v>
      </c>
      <c r="E1435" t="str">
        <f>IFERROR(VLOOKUP(Orders!D1435,Products!$A$2:$C$61,3,FALSE),"Unknown")</f>
        <v>Home</v>
      </c>
      <c r="F1435" t="str">
        <f>IFERROR(VLOOKUP(Orders!C1435,Customers!$A$2:$E$301,5,FALSE),"Unknown")</f>
        <v>Unknown</v>
      </c>
      <c r="G1435" t="str">
        <f>IFERROR(VLOOKUP(Orders!C1435,Customers!$A$2:$C$301,3,FALSE),"")</f>
        <v/>
      </c>
      <c r="H1435" t="str">
        <f>VLOOKUP(D1435,Sales_Reps!$A$2:$C$31,3,FALSE)</f>
        <v>South</v>
      </c>
      <c r="I1435" s="44">
        <f t="shared" si="47"/>
        <v>45597</v>
      </c>
      <c r="L1435" t="str">
        <f>Orders!K1435</f>
        <v>Pune</v>
      </c>
      <c r="M1435">
        <f>Orders!G1435</f>
        <v>1090</v>
      </c>
      <c r="N1435">
        <f>IFERROR(VLOOKUP(Orders!D1435,Products!$A$2:$D$61,4,FALSE),"")</f>
        <v>464</v>
      </c>
      <c r="O1435">
        <f t="shared" si="48"/>
        <v>0.57431192660550456</v>
      </c>
      <c r="Q1435" t="str">
        <f>Orders!D1435</f>
        <v>PROD-035</v>
      </c>
    </row>
    <row r="1436" spans="1:17" x14ac:dyDescent="0.3">
      <c r="A1436" t="str">
        <f>Orders!A1436</f>
        <v>ORD-01435</v>
      </c>
      <c r="B1436">
        <f>Orders!B1436</f>
        <v>45598</v>
      </c>
      <c r="C1436">
        <f>Orders!I1436</f>
        <v>14346.8</v>
      </c>
      <c r="D1436" t="str">
        <f>Orders!E1436</f>
        <v>R002</v>
      </c>
      <c r="E1436" t="str">
        <f>IFERROR(VLOOKUP(Orders!D1436,Products!$A$2:$C$61,3,FALSE),"Unknown")</f>
        <v>Apparel</v>
      </c>
      <c r="F1436" t="str">
        <f>IFERROR(VLOOKUP(Orders!C1436,Customers!$A$2:$E$301,5,FALSE),"Unknown")</f>
        <v>Corporate</v>
      </c>
      <c r="G1436">
        <f>IFERROR(VLOOKUP(Orders!C1436,Customers!$A$2:$C$301,3,FALSE),"")</f>
        <v>41</v>
      </c>
      <c r="H1436" t="str">
        <f>VLOOKUP(D1436,Sales_Reps!$A$2:$C$31,3,FALSE)</f>
        <v>North</v>
      </c>
      <c r="I1436" s="44">
        <f t="shared" si="47"/>
        <v>45597</v>
      </c>
      <c r="L1436" t="str">
        <f>Orders!K1436</f>
        <v>Bengaluru</v>
      </c>
      <c r="M1436">
        <f>Orders!G1436</f>
        <v>3560</v>
      </c>
      <c r="N1436">
        <f>IFERROR(VLOOKUP(Orders!D1436,Products!$A$2:$D$61,4,FALSE),"")</f>
        <v>2629</v>
      </c>
      <c r="O1436">
        <f t="shared" si="48"/>
        <v>0.26151685393258428</v>
      </c>
      <c r="Q1436" t="str">
        <f>Orders!D1436</f>
        <v>PROD-018</v>
      </c>
    </row>
    <row r="1437" spans="1:17" x14ac:dyDescent="0.3">
      <c r="A1437" t="str">
        <f>Orders!A1437</f>
        <v>ORD-01436</v>
      </c>
      <c r="B1437">
        <f>Orders!B1437</f>
        <v>45452</v>
      </c>
      <c r="C1437">
        <f>Orders!I1437</f>
        <v>5076.26</v>
      </c>
      <c r="D1437" t="str">
        <f>Orders!E1437</f>
        <v>R028</v>
      </c>
      <c r="E1437" t="str">
        <f>IFERROR(VLOOKUP(Orders!D1437,Products!$A$2:$C$61,3,FALSE),"Unknown")</f>
        <v>Sports</v>
      </c>
      <c r="F1437" t="str">
        <f>IFERROR(VLOOKUP(Orders!C1437,Customers!$A$2:$E$301,5,FALSE),"Unknown")</f>
        <v>Retail</v>
      </c>
      <c r="G1437">
        <f>IFERROR(VLOOKUP(Orders!C1437,Customers!$A$2:$C$301,3,FALSE),"")</f>
        <v>39</v>
      </c>
      <c r="H1437" t="str">
        <f>VLOOKUP(D1437,Sales_Reps!$A$2:$C$31,3,FALSE)</f>
        <v>West</v>
      </c>
      <c r="I1437" s="44">
        <f t="shared" si="47"/>
        <v>45444</v>
      </c>
      <c r="L1437" t="str">
        <f>Orders!K1437</f>
        <v>Pune</v>
      </c>
      <c r="M1437">
        <f>Orders!G1437</f>
        <v>1010</v>
      </c>
      <c r="N1437">
        <f>IFERROR(VLOOKUP(Orders!D1437,Products!$A$2:$D$61,4,FALSE),"")</f>
        <v>516</v>
      </c>
      <c r="O1437">
        <f t="shared" si="48"/>
        <v>0.4891089108910891</v>
      </c>
      <c r="Q1437" t="str">
        <f>Orders!D1437</f>
        <v>PROD-054</v>
      </c>
    </row>
    <row r="1438" spans="1:17" x14ac:dyDescent="0.3">
      <c r="A1438" t="str">
        <f>Orders!A1438</f>
        <v>ORD-01437</v>
      </c>
      <c r="B1438">
        <f>Orders!B1438</f>
        <v>45470</v>
      </c>
      <c r="C1438">
        <f>Orders!I1438</f>
        <v>2951.62</v>
      </c>
      <c r="D1438" t="str">
        <f>Orders!E1438</f>
        <v>R015</v>
      </c>
      <c r="E1438" t="str">
        <f>IFERROR(VLOOKUP(Orders!D1438,Products!$A$2:$C$61,3,FALSE),"Unknown")</f>
        <v>Home</v>
      </c>
      <c r="F1438" t="str">
        <f>IFERROR(VLOOKUP(Orders!C1438,Customers!$A$2:$E$301,5,FALSE),"Unknown")</f>
        <v>Corporate</v>
      </c>
      <c r="G1438">
        <f>IFERROR(VLOOKUP(Orders!C1438,Customers!$A$2:$C$301,3,FALSE),"")</f>
        <v>51</v>
      </c>
      <c r="H1438" t="str">
        <f>VLOOKUP(D1438,Sales_Reps!$A$2:$C$31,3,FALSE)</f>
        <v>South</v>
      </c>
      <c r="I1438" s="44">
        <f t="shared" si="47"/>
        <v>45444</v>
      </c>
      <c r="L1438" t="str">
        <f>Orders!K1438</f>
        <v>Mumbai</v>
      </c>
      <c r="M1438">
        <f>Orders!G1438</f>
        <v>2030</v>
      </c>
      <c r="N1438">
        <f>IFERROR(VLOOKUP(Orders!D1438,Products!$A$2:$D$61,4,FALSE),"")</f>
        <v>1143</v>
      </c>
      <c r="O1438">
        <f t="shared" si="48"/>
        <v>0.43694581280788175</v>
      </c>
      <c r="Q1438" t="str">
        <f>Orders!D1438</f>
        <v>PROD-033</v>
      </c>
    </row>
    <row r="1439" spans="1:17" x14ac:dyDescent="0.3">
      <c r="A1439" t="str">
        <f>Orders!A1439</f>
        <v>ORD-01438</v>
      </c>
      <c r="B1439">
        <f>Orders!B1439</f>
        <v>45350</v>
      </c>
      <c r="C1439">
        <f>Orders!I1439</f>
        <v>31788.12</v>
      </c>
      <c r="D1439" t="str">
        <f>Orders!E1439</f>
        <v>R012</v>
      </c>
      <c r="E1439" t="str">
        <f>IFERROR(VLOOKUP(Orders!D1439,Products!$A$2:$C$61,3,FALSE),"Unknown")</f>
        <v>Electronics</v>
      </c>
      <c r="F1439" t="str">
        <f>IFERROR(VLOOKUP(Orders!C1439,Customers!$A$2:$E$301,5,FALSE),"Unknown")</f>
        <v>Retail</v>
      </c>
      <c r="G1439">
        <f>IFERROR(VLOOKUP(Orders!C1439,Customers!$A$2:$C$301,3,FALSE),"")</f>
        <v>41</v>
      </c>
      <c r="H1439" t="str">
        <f>VLOOKUP(D1439,Sales_Reps!$A$2:$C$31,3,FALSE)</f>
        <v>South</v>
      </c>
      <c r="I1439" s="44">
        <f t="shared" si="47"/>
        <v>45323</v>
      </c>
      <c r="L1439" t="str">
        <f>Orders!K1439</f>
        <v>Delhi</v>
      </c>
      <c r="M1439">
        <f>Orders!G1439</f>
        <v>5330</v>
      </c>
      <c r="N1439">
        <f>IFERROR(VLOOKUP(Orders!D1439,Products!$A$2:$D$61,4,FALSE),"")</f>
        <v>2405</v>
      </c>
      <c r="O1439">
        <f t="shared" si="48"/>
        <v>0.54878048780487809</v>
      </c>
      <c r="Q1439" t="str">
        <f>Orders!D1439</f>
        <v>PROD-001</v>
      </c>
    </row>
    <row r="1440" spans="1:17" x14ac:dyDescent="0.3">
      <c r="A1440" t="str">
        <f>Orders!A1440</f>
        <v>ORD-01439</v>
      </c>
      <c r="B1440">
        <f>Orders!B1440</f>
        <v>45514</v>
      </c>
      <c r="C1440">
        <f>Orders!I1440</f>
        <v>3907.2</v>
      </c>
      <c r="D1440" t="str">
        <f>Orders!E1440</f>
        <v>R007</v>
      </c>
      <c r="E1440" t="str">
        <f>IFERROR(VLOOKUP(Orders!D1440,Products!$A$2:$C$61,3,FALSE),"Unknown")</f>
        <v>Electronics</v>
      </c>
      <c r="F1440" t="str">
        <f>IFERROR(VLOOKUP(Orders!C1440,Customers!$A$2:$E$301,5,FALSE),"Unknown")</f>
        <v>Retail</v>
      </c>
      <c r="G1440">
        <f>IFERROR(VLOOKUP(Orders!C1440,Customers!$A$2:$C$301,3,FALSE),"")</f>
        <v>42</v>
      </c>
      <c r="H1440" t="str">
        <f>VLOOKUP(D1440,Sales_Reps!$A$2:$C$31,3,FALSE)</f>
        <v>North</v>
      </c>
      <c r="I1440" s="44">
        <f t="shared" si="47"/>
        <v>45505</v>
      </c>
      <c r="L1440" t="str">
        <f>Orders!K1440</f>
        <v>Bengaluru</v>
      </c>
      <c r="M1440">
        <f>Orders!G1440</f>
        <v>2640</v>
      </c>
      <c r="N1440">
        <f>IFERROR(VLOOKUP(Orders!D1440,Products!$A$2:$D$61,4,FALSE),"")</f>
        <v>1149</v>
      </c>
      <c r="O1440">
        <f t="shared" si="48"/>
        <v>0.56477272727272732</v>
      </c>
      <c r="Q1440" t="str">
        <f>Orders!D1440</f>
        <v>PROD-010</v>
      </c>
    </row>
    <row r="1441" spans="1:17" x14ac:dyDescent="0.3">
      <c r="A1441" t="str">
        <f>Orders!A1441</f>
        <v>ORD-01440</v>
      </c>
      <c r="B1441">
        <f>Orders!B1441</f>
        <v>45447</v>
      </c>
      <c r="C1441">
        <f>Orders!I1441</f>
        <v>20662.88</v>
      </c>
      <c r="D1441" t="str">
        <f>Orders!E1441</f>
        <v>R012</v>
      </c>
      <c r="E1441" t="str">
        <f>IFERROR(VLOOKUP(Orders!D1441,Products!$A$2:$C$61,3,FALSE),"Unknown")</f>
        <v>Electronics</v>
      </c>
      <c r="F1441" t="str">
        <f>IFERROR(VLOOKUP(Orders!C1441,Customers!$A$2:$E$301,5,FALSE),"Unknown")</f>
        <v>SMB</v>
      </c>
      <c r="G1441">
        <f>IFERROR(VLOOKUP(Orders!C1441,Customers!$A$2:$C$301,3,FALSE),"")</f>
        <v>22</v>
      </c>
      <c r="H1441" t="str">
        <f>VLOOKUP(D1441,Sales_Reps!$A$2:$C$31,3,FALSE)</f>
        <v>South</v>
      </c>
      <c r="I1441" s="44">
        <f t="shared" si="47"/>
        <v>45444</v>
      </c>
      <c r="L1441" t="str">
        <f>Orders!K1441</f>
        <v>Mumbai</v>
      </c>
      <c r="M1441">
        <f>Orders!G1441</f>
        <v>2660</v>
      </c>
      <c r="N1441">
        <f>IFERROR(VLOOKUP(Orders!D1441,Products!$A$2:$D$61,4,FALSE),"")</f>
        <v>1259</v>
      </c>
      <c r="O1441">
        <f t="shared" si="48"/>
        <v>0.52669172932330832</v>
      </c>
      <c r="Q1441" t="str">
        <f>Orders!D1441</f>
        <v>PROD-008</v>
      </c>
    </row>
    <row r="1442" spans="1:17" x14ac:dyDescent="0.3">
      <c r="A1442" t="str">
        <f>Orders!A1442</f>
        <v>ORD-01441</v>
      </c>
      <c r="B1442">
        <f>Orders!B1442</f>
        <v>45390</v>
      </c>
      <c r="C1442">
        <f>Orders!I1442</f>
        <v>17335.5</v>
      </c>
      <c r="D1442" t="str">
        <f>Orders!E1442</f>
        <v>R023</v>
      </c>
      <c r="E1442" t="str">
        <f>IFERROR(VLOOKUP(Orders!D1442,Products!$A$2:$C$61,3,FALSE),"Unknown")</f>
        <v>Home</v>
      </c>
      <c r="F1442" t="str">
        <f>IFERROR(VLOOKUP(Orders!C1442,Customers!$A$2:$E$301,5,FALSE),"Unknown")</f>
        <v>SMB</v>
      </c>
      <c r="G1442">
        <f>IFERROR(VLOOKUP(Orders!C1442,Customers!$A$2:$C$301,3,FALSE),"")</f>
        <v>53</v>
      </c>
      <c r="H1442" t="str">
        <f>VLOOKUP(D1442,Sales_Reps!$A$2:$C$31,3,FALSE)</f>
        <v>East</v>
      </c>
      <c r="I1442" s="44">
        <f t="shared" si="47"/>
        <v>45383</v>
      </c>
      <c r="L1442" t="str">
        <f>Orders!K1442</f>
        <v>Mumbai</v>
      </c>
      <c r="M1442">
        <f>Orders!G1442</f>
        <v>3250</v>
      </c>
      <c r="N1442">
        <f>IFERROR(VLOOKUP(Orders!D1442,Products!$A$2:$D$61,4,FALSE),"")</f>
        <v>1556</v>
      </c>
      <c r="O1442">
        <f t="shared" si="48"/>
        <v>0.52123076923076928</v>
      </c>
      <c r="Q1442" t="str">
        <f>Orders!D1442</f>
        <v>PROD-036</v>
      </c>
    </row>
    <row r="1443" spans="1:17" x14ac:dyDescent="0.3">
      <c r="A1443" t="str">
        <f>Orders!A1443</f>
        <v>ORD-01442</v>
      </c>
      <c r="B1443">
        <f>Orders!B1443</f>
        <v>45307</v>
      </c>
      <c r="C1443">
        <f>Orders!I1443</f>
        <v>2132.65</v>
      </c>
      <c r="D1443" t="str">
        <f>Orders!E1443</f>
        <v>R004</v>
      </c>
      <c r="E1443" t="str">
        <f>IFERROR(VLOOKUP(Orders!D1443,Products!$A$2:$C$61,3,FALSE),"Unknown")</f>
        <v>Grocery</v>
      </c>
      <c r="F1443" t="str">
        <f>IFERROR(VLOOKUP(Orders!C1443,Customers!$A$2:$E$301,5,FALSE),"Unknown")</f>
        <v>Retail</v>
      </c>
      <c r="G1443">
        <f>IFERROR(VLOOKUP(Orders!C1443,Customers!$A$2:$C$301,3,FALSE),"")</f>
        <v>25</v>
      </c>
      <c r="H1443" t="str">
        <f>VLOOKUP(D1443,Sales_Reps!$A$2:$C$31,3,FALSE)</f>
        <v>North</v>
      </c>
      <c r="I1443" s="44">
        <f t="shared" si="47"/>
        <v>45292</v>
      </c>
      <c r="L1443" t="str">
        <f>Orders!K1443</f>
        <v>Pune</v>
      </c>
      <c r="M1443">
        <f>Orders!G1443</f>
        <v>2210</v>
      </c>
      <c r="N1443">
        <f>IFERROR(VLOOKUP(Orders!D1443,Products!$A$2:$D$61,4,FALSE),"")</f>
        <v>1010</v>
      </c>
      <c r="O1443">
        <f t="shared" si="48"/>
        <v>0.54298642533936647</v>
      </c>
      <c r="Q1443" t="str">
        <f>Orders!D1443</f>
        <v>PROD-029</v>
      </c>
    </row>
    <row r="1444" spans="1:17" x14ac:dyDescent="0.3">
      <c r="A1444" t="str">
        <f>Orders!A1444</f>
        <v>ORD-01443</v>
      </c>
      <c r="B1444">
        <f>Orders!B1444</f>
        <v>45432</v>
      </c>
      <c r="C1444">
        <f>Orders!I1444</f>
        <v>2917.08</v>
      </c>
      <c r="D1444" t="str">
        <f>Orders!E1444</f>
        <v>R019</v>
      </c>
      <c r="E1444" t="str">
        <f>IFERROR(VLOOKUP(Orders!D1444,Products!$A$2:$C$61,3,FALSE),"Unknown")</f>
        <v>Home</v>
      </c>
      <c r="F1444" t="str">
        <f>IFERROR(VLOOKUP(Orders!C1444,Customers!$A$2:$E$301,5,FALSE),"Unknown")</f>
        <v>Retail</v>
      </c>
      <c r="G1444">
        <f>IFERROR(VLOOKUP(Orders!C1444,Customers!$A$2:$C$301,3,FALSE),"")</f>
        <v>57</v>
      </c>
      <c r="H1444" t="str">
        <f>VLOOKUP(D1444,Sales_Reps!$A$2:$C$31,3,FALSE)</f>
        <v>East</v>
      </c>
      <c r="I1444" s="44">
        <f t="shared" si="47"/>
        <v>45413</v>
      </c>
      <c r="L1444" t="str">
        <f>Orders!K1444</f>
        <v>Pune</v>
      </c>
      <c r="M1444">
        <f>Orders!G1444</f>
        <v>370</v>
      </c>
      <c r="N1444">
        <f>IFERROR(VLOOKUP(Orders!D1444,Products!$A$2:$D$61,4,FALSE),"")</f>
        <v>288</v>
      </c>
      <c r="O1444">
        <f t="shared" si="48"/>
        <v>0.22162162162162163</v>
      </c>
      <c r="Q1444" t="str">
        <f>Orders!D1444</f>
        <v>PROD-032</v>
      </c>
    </row>
    <row r="1445" spans="1:17" x14ac:dyDescent="0.3">
      <c r="A1445" t="str">
        <f>Orders!A1445</f>
        <v>ORD-01444</v>
      </c>
      <c r="B1445">
        <f>Orders!B1445</f>
        <v>45453</v>
      </c>
      <c r="C1445">
        <f>Orders!I1445</f>
        <v>10376.1</v>
      </c>
      <c r="D1445" t="str">
        <f>Orders!E1445</f>
        <v>R022</v>
      </c>
      <c r="E1445" t="str">
        <f>IFERROR(VLOOKUP(Orders!D1445,Products!$A$2:$C$61,3,FALSE),"Unknown")</f>
        <v>Sports</v>
      </c>
      <c r="F1445" t="str">
        <f>IFERROR(VLOOKUP(Orders!C1445,Customers!$A$2:$E$301,5,FALSE),"Unknown")</f>
        <v>Retail</v>
      </c>
      <c r="G1445">
        <f>IFERROR(VLOOKUP(Orders!C1445,Customers!$A$2:$C$301,3,FALSE),"")</f>
        <v>24</v>
      </c>
      <c r="H1445" t="str">
        <f>VLOOKUP(D1445,Sales_Reps!$A$2:$C$31,3,FALSE)</f>
        <v>East</v>
      </c>
      <c r="I1445" s="44">
        <f t="shared" si="47"/>
        <v>45444</v>
      </c>
      <c r="L1445" t="str">
        <f>Orders!K1445</f>
        <v>Chennai</v>
      </c>
      <c r="M1445">
        <f>Orders!G1445</f>
        <v>3780</v>
      </c>
      <c r="N1445">
        <f>IFERROR(VLOOKUP(Orders!D1445,Products!$A$2:$D$61,4,FALSE),"")</f>
        <v>1860</v>
      </c>
      <c r="O1445">
        <f t="shared" si="48"/>
        <v>0.50793650793650791</v>
      </c>
      <c r="Q1445" t="str">
        <f>Orders!D1445</f>
        <v>PROD-059</v>
      </c>
    </row>
    <row r="1446" spans="1:17" x14ac:dyDescent="0.3">
      <c r="A1446" t="str">
        <f>Orders!A1446</f>
        <v>ORD-01445</v>
      </c>
      <c r="B1446">
        <f>Orders!B1446</f>
        <v>45397</v>
      </c>
      <c r="C1446">
        <f>Orders!I1446</f>
        <v>1965.46</v>
      </c>
      <c r="D1446" t="str">
        <f>Orders!E1446</f>
        <v>R002</v>
      </c>
      <c r="E1446" t="str">
        <f>IFERROR(VLOOKUP(Orders!D1446,Products!$A$2:$C$61,3,FALSE),"Unknown")</f>
        <v>Sports</v>
      </c>
      <c r="F1446" t="str">
        <f>IFERROR(VLOOKUP(Orders!C1446,Customers!$A$2:$E$301,5,FALSE),"Unknown")</f>
        <v>Retail</v>
      </c>
      <c r="G1446">
        <f>IFERROR(VLOOKUP(Orders!C1446,Customers!$A$2:$C$301,3,FALSE),"")</f>
        <v>22</v>
      </c>
      <c r="H1446" t="str">
        <f>VLOOKUP(D1446,Sales_Reps!$A$2:$C$31,3,FALSE)</f>
        <v>North</v>
      </c>
      <c r="I1446" s="44">
        <f t="shared" si="47"/>
        <v>45383</v>
      </c>
      <c r="L1446" t="str">
        <f>Orders!K1446</f>
        <v>Hyderabad</v>
      </c>
      <c r="M1446">
        <f>Orders!G1446</f>
        <v>1010</v>
      </c>
      <c r="N1446">
        <f>IFERROR(VLOOKUP(Orders!D1446,Products!$A$2:$D$61,4,FALSE),"")</f>
        <v>516</v>
      </c>
      <c r="O1446">
        <f t="shared" si="48"/>
        <v>0.4891089108910891</v>
      </c>
      <c r="Q1446" t="str">
        <f>Orders!D1446</f>
        <v>PROD-054</v>
      </c>
    </row>
    <row r="1447" spans="1:17" x14ac:dyDescent="0.3">
      <c r="A1447" t="str">
        <f>Orders!A1447</f>
        <v>ORD-01446</v>
      </c>
      <c r="B1447">
        <f>Orders!B1447</f>
        <v>45639</v>
      </c>
      <c r="C1447">
        <f>Orders!I1447</f>
        <v>1423.52</v>
      </c>
      <c r="D1447" t="str">
        <f>Orders!E1447</f>
        <v>R012</v>
      </c>
      <c r="E1447" t="str">
        <f>IFERROR(VLOOKUP(Orders!D1447,Products!$A$2:$C$61,3,FALSE),"Unknown")</f>
        <v>Apparel</v>
      </c>
      <c r="F1447" t="str">
        <f>IFERROR(VLOOKUP(Orders!C1447,Customers!$A$2:$E$301,5,FALSE),"Unknown")</f>
        <v>Retail</v>
      </c>
      <c r="G1447">
        <f>IFERROR(VLOOKUP(Orders!C1447,Customers!$A$2:$C$301,3,FALSE),"")</f>
        <v>61</v>
      </c>
      <c r="H1447" t="str">
        <f>VLOOKUP(D1447,Sales_Reps!$A$2:$C$31,3,FALSE)</f>
        <v>South</v>
      </c>
      <c r="I1447" s="44">
        <f t="shared" si="47"/>
        <v>45627</v>
      </c>
      <c r="L1447" t="str">
        <f>Orders!K1447</f>
        <v>Bengaluru</v>
      </c>
      <c r="M1447">
        <f>Orders!G1447</f>
        <v>820</v>
      </c>
      <c r="N1447">
        <f>IFERROR(VLOOKUP(Orders!D1447,Products!$A$2:$D$61,4,FALSE),"")</f>
        <v>391</v>
      </c>
      <c r="O1447">
        <f t="shared" si="48"/>
        <v>0.52317073170731709</v>
      </c>
      <c r="Q1447" t="str">
        <f>Orders!D1447</f>
        <v>PROD-020</v>
      </c>
    </row>
    <row r="1448" spans="1:17" x14ac:dyDescent="0.3">
      <c r="A1448" t="str">
        <f>Orders!A1448</f>
        <v>ORD-01447</v>
      </c>
      <c r="B1448">
        <f>Orders!B1448</f>
        <v>45482</v>
      </c>
      <c r="C1448">
        <f>Orders!I1448</f>
        <v>3147.6</v>
      </c>
      <c r="D1448" t="str">
        <f>Orders!E1448</f>
        <v>R012</v>
      </c>
      <c r="E1448" t="str">
        <f>IFERROR(VLOOKUP(Orders!D1448,Products!$A$2:$C$61,3,FALSE),"Unknown")</f>
        <v>Grocery</v>
      </c>
      <c r="F1448" t="str">
        <f>IFERROR(VLOOKUP(Orders!C1448,Customers!$A$2:$E$301,5,FALSE),"Unknown")</f>
        <v>SMB</v>
      </c>
      <c r="G1448">
        <f>IFERROR(VLOOKUP(Orders!C1448,Customers!$A$2:$C$301,3,FALSE),"")</f>
        <v>29</v>
      </c>
      <c r="H1448" t="str">
        <f>VLOOKUP(D1448,Sales_Reps!$A$2:$C$31,3,FALSE)</f>
        <v>South</v>
      </c>
      <c r="I1448" s="44">
        <f t="shared" si="47"/>
        <v>45474</v>
      </c>
      <c r="L1448" t="str">
        <f>Orders!K1448</f>
        <v>Pune</v>
      </c>
      <c r="M1448">
        <f>Orders!G1448</f>
        <v>3660</v>
      </c>
      <c r="N1448">
        <f>IFERROR(VLOOKUP(Orders!D1448,Products!$A$2:$D$61,4,FALSE),"")</f>
        <v>2214</v>
      </c>
      <c r="O1448">
        <f t="shared" si="48"/>
        <v>0.39508196721311473</v>
      </c>
      <c r="Q1448" t="str">
        <f>Orders!D1448</f>
        <v>PROD-028</v>
      </c>
    </row>
    <row r="1449" spans="1:17" x14ac:dyDescent="0.3">
      <c r="A1449" t="str">
        <f>Orders!A1449</f>
        <v>ORD-01448</v>
      </c>
      <c r="B1449">
        <f>Orders!B1449</f>
        <v>45447</v>
      </c>
      <c r="C1449">
        <f>Orders!I1449</f>
        <v>11440.8</v>
      </c>
      <c r="D1449" t="str">
        <f>Orders!E1449</f>
        <v>R017</v>
      </c>
      <c r="E1449" t="str">
        <f>IFERROR(VLOOKUP(Orders!D1449,Products!$A$2:$C$61,3,FALSE),"Unknown")</f>
        <v>Grocery</v>
      </c>
      <c r="F1449" t="str">
        <f>IFERROR(VLOOKUP(Orders!C1449,Customers!$A$2:$E$301,5,FALSE),"Unknown")</f>
        <v>Retail</v>
      </c>
      <c r="G1449">
        <f>IFERROR(VLOOKUP(Orders!C1449,Customers!$A$2:$C$301,3,FALSE),"")</f>
        <v>37</v>
      </c>
      <c r="H1449" t="str">
        <f>VLOOKUP(D1449,Sales_Reps!$A$2:$C$31,3,FALSE)</f>
        <v>East</v>
      </c>
      <c r="I1449" s="44">
        <f t="shared" si="47"/>
        <v>45444</v>
      </c>
      <c r="L1449" t="str">
        <f>Orders!K1449</f>
        <v>Chennai</v>
      </c>
      <c r="M1449">
        <f>Orders!G1449</f>
        <v>2270</v>
      </c>
      <c r="N1449">
        <f>IFERROR(VLOOKUP(Orders!D1449,Products!$A$2:$D$61,4,FALSE),"")</f>
        <v>1412</v>
      </c>
      <c r="O1449">
        <f t="shared" si="48"/>
        <v>0.37797356828193834</v>
      </c>
      <c r="Q1449" t="str">
        <f>Orders!D1449</f>
        <v>PROD-022</v>
      </c>
    </row>
    <row r="1450" spans="1:17" x14ac:dyDescent="0.3">
      <c r="A1450" t="str">
        <f>Orders!A1450</f>
        <v>ORD-01449</v>
      </c>
      <c r="B1450">
        <f>Orders!B1450</f>
        <v>45598</v>
      </c>
      <c r="C1450">
        <f>Orders!I1450</f>
        <v>4784.6400000000003</v>
      </c>
      <c r="D1450" t="str">
        <f>Orders!E1450</f>
        <v>R019</v>
      </c>
      <c r="E1450" t="str">
        <f>IFERROR(VLOOKUP(Orders!D1450,Products!$A$2:$C$61,3,FALSE),"Unknown")</f>
        <v>Beauty</v>
      </c>
      <c r="F1450" t="str">
        <f>IFERROR(VLOOKUP(Orders!C1450,Customers!$A$2:$E$301,5,FALSE),"Unknown")</f>
        <v>Retail</v>
      </c>
      <c r="G1450">
        <f>IFERROR(VLOOKUP(Orders!C1450,Customers!$A$2:$C$301,3,FALSE),"")</f>
        <v>41</v>
      </c>
      <c r="H1450" t="str">
        <f>VLOOKUP(D1450,Sales_Reps!$A$2:$C$31,3,FALSE)</f>
        <v>East</v>
      </c>
      <c r="I1450" s="44">
        <f t="shared" si="47"/>
        <v>45597</v>
      </c>
      <c r="L1450" t="str">
        <f>Orders!K1450</f>
        <v>Mumbai</v>
      </c>
      <c r="M1450">
        <f>Orders!G1450</f>
        <v>960</v>
      </c>
      <c r="N1450">
        <f>IFERROR(VLOOKUP(Orders!D1450,Products!$A$2:$D$61,4,FALSE),"")</f>
        <v>675</v>
      </c>
      <c r="O1450">
        <f t="shared" si="48"/>
        <v>0.296875</v>
      </c>
      <c r="Q1450" t="str">
        <f>Orders!D1450</f>
        <v>PROD-049</v>
      </c>
    </row>
    <row r="1451" spans="1:17" x14ac:dyDescent="0.3">
      <c r="A1451" t="str">
        <f>Orders!A1451</f>
        <v>ORD-01450</v>
      </c>
      <c r="B1451">
        <f>Orders!B1451</f>
        <v>45645</v>
      </c>
      <c r="C1451">
        <f>Orders!I1451</f>
        <v>17648.82</v>
      </c>
      <c r="D1451" t="str">
        <f>Orders!E1451</f>
        <v>R025</v>
      </c>
      <c r="E1451" t="str">
        <f>IFERROR(VLOOKUP(Orders!D1451,Products!$A$2:$C$61,3,FALSE),"Unknown")</f>
        <v>Home</v>
      </c>
      <c r="F1451" t="str">
        <f>IFERROR(VLOOKUP(Orders!C1451,Customers!$A$2:$E$301,5,FALSE),"Unknown")</f>
        <v>SMB</v>
      </c>
      <c r="G1451">
        <f>IFERROR(VLOOKUP(Orders!C1451,Customers!$A$2:$C$301,3,FALSE),"")</f>
        <v>53</v>
      </c>
      <c r="H1451" t="str">
        <f>VLOOKUP(D1451,Sales_Reps!$A$2:$C$31,3,FALSE)</f>
        <v>West</v>
      </c>
      <c r="I1451" s="44">
        <f t="shared" si="47"/>
        <v>45627</v>
      </c>
      <c r="L1451" t="str">
        <f>Orders!K1451</f>
        <v>Pune</v>
      </c>
      <c r="M1451">
        <f>Orders!G1451</f>
        <v>2030</v>
      </c>
      <c r="N1451">
        <f>IFERROR(VLOOKUP(Orders!D1451,Products!$A$2:$D$61,4,FALSE),"")</f>
        <v>1143</v>
      </c>
      <c r="O1451">
        <f t="shared" si="48"/>
        <v>0.43694581280788175</v>
      </c>
      <c r="Q1451" t="str">
        <f>Orders!D1451</f>
        <v>PROD-033</v>
      </c>
    </row>
    <row r="1452" spans="1:17" x14ac:dyDescent="0.3">
      <c r="A1452" t="str">
        <f>Orders!A1452</f>
        <v>ORD-01451</v>
      </c>
      <c r="B1452">
        <f>Orders!B1452</f>
        <v>45299</v>
      </c>
      <c r="C1452">
        <f>Orders!I1452</f>
        <v>12395.04</v>
      </c>
      <c r="D1452" t="str">
        <f>Orders!E1452</f>
        <v>R005</v>
      </c>
      <c r="E1452" t="str">
        <f>IFERROR(VLOOKUP(Orders!D1452,Products!$A$2:$C$61,3,FALSE),"Unknown")</f>
        <v>Grocery</v>
      </c>
      <c r="F1452" t="str">
        <f>IFERROR(VLOOKUP(Orders!C1452,Customers!$A$2:$E$301,5,FALSE),"Unknown")</f>
        <v>SMB</v>
      </c>
      <c r="G1452">
        <f>IFERROR(VLOOKUP(Orders!C1452,Customers!$A$2:$C$301,3,FALSE),"")</f>
        <v>49</v>
      </c>
      <c r="H1452" t="str">
        <f>VLOOKUP(D1452,Sales_Reps!$A$2:$C$31,3,FALSE)</f>
        <v>North</v>
      </c>
      <c r="I1452" s="44">
        <f t="shared" si="47"/>
        <v>45292</v>
      </c>
      <c r="L1452" t="str">
        <f>Orders!K1452</f>
        <v>Bengaluru</v>
      </c>
      <c r="M1452">
        <f>Orders!G1452</f>
        <v>2380</v>
      </c>
      <c r="N1452">
        <f>IFERROR(VLOOKUP(Orders!D1452,Products!$A$2:$D$61,4,FALSE),"")</f>
        <v>1182</v>
      </c>
      <c r="O1452">
        <f t="shared" si="48"/>
        <v>0.50336134453781511</v>
      </c>
      <c r="Q1452" t="str">
        <f>Orders!D1452</f>
        <v>PROD-023</v>
      </c>
    </row>
    <row r="1453" spans="1:17" x14ac:dyDescent="0.3">
      <c r="A1453" t="str">
        <f>Orders!A1453</f>
        <v>ORD-01452</v>
      </c>
      <c r="B1453">
        <f>Orders!B1453</f>
        <v>45308</v>
      </c>
      <c r="C1453">
        <f>Orders!I1453</f>
        <v>31498.5</v>
      </c>
      <c r="D1453" t="str">
        <f>Orders!E1453</f>
        <v>R009</v>
      </c>
      <c r="E1453" t="str">
        <f>IFERROR(VLOOKUP(Orders!D1453,Products!$A$2:$C$61,3,FALSE),"Unknown")</f>
        <v>Beauty</v>
      </c>
      <c r="F1453" t="str">
        <f>IFERROR(VLOOKUP(Orders!C1453,Customers!$A$2:$E$301,5,FALSE),"Unknown")</f>
        <v>SMB</v>
      </c>
      <c r="G1453">
        <f>IFERROR(VLOOKUP(Orders!C1453,Customers!$A$2:$C$301,3,FALSE),"")</f>
        <v>51</v>
      </c>
      <c r="H1453" t="str">
        <f>VLOOKUP(D1453,Sales_Reps!$A$2:$C$31,3,FALSE)</f>
        <v>South</v>
      </c>
      <c r="I1453" s="44">
        <f t="shared" si="47"/>
        <v>45292</v>
      </c>
      <c r="L1453" t="str">
        <f>Orders!K1453</f>
        <v>Chennai</v>
      </c>
      <c r="M1453">
        <f>Orders!G1453</f>
        <v>3450</v>
      </c>
      <c r="N1453">
        <f>IFERROR(VLOOKUP(Orders!D1453,Products!$A$2:$D$61,4,FALSE),"")</f>
        <v>2420</v>
      </c>
      <c r="O1453">
        <f t="shared" si="48"/>
        <v>0.29855072463768118</v>
      </c>
      <c r="Q1453" t="str">
        <f>Orders!D1453</f>
        <v>PROD-047</v>
      </c>
    </row>
    <row r="1454" spans="1:17" x14ac:dyDescent="0.3">
      <c r="A1454" t="str">
        <f>Orders!A1454</f>
        <v>ORD-01453</v>
      </c>
      <c r="B1454">
        <f>Orders!B1454</f>
        <v>45487</v>
      </c>
      <c r="C1454">
        <f>Orders!I1454</f>
        <v>4573.4399999999996</v>
      </c>
      <c r="D1454" t="str">
        <f>Orders!E1454</f>
        <v>R021</v>
      </c>
      <c r="E1454" t="str">
        <f>IFERROR(VLOOKUP(Orders!D1454,Products!$A$2:$C$61,3,FALSE),"Unknown")</f>
        <v>Beauty</v>
      </c>
      <c r="F1454" t="str">
        <f>IFERROR(VLOOKUP(Orders!C1454,Customers!$A$2:$E$301,5,FALSE),"Unknown")</f>
        <v>Retail</v>
      </c>
      <c r="G1454">
        <f>IFERROR(VLOOKUP(Orders!C1454,Customers!$A$2:$C$301,3,FALSE),"")</f>
        <v>53</v>
      </c>
      <c r="H1454" t="str">
        <f>VLOOKUP(D1454,Sales_Reps!$A$2:$C$31,3,FALSE)</f>
        <v>East</v>
      </c>
      <c r="I1454" s="44">
        <f t="shared" si="47"/>
        <v>45474</v>
      </c>
      <c r="L1454" t="str">
        <f>Orders!K1454</f>
        <v>Bengaluru</v>
      </c>
      <c r="M1454">
        <f>Orders!G1454</f>
        <v>960</v>
      </c>
      <c r="N1454">
        <f>IFERROR(VLOOKUP(Orders!D1454,Products!$A$2:$D$61,4,FALSE),"")</f>
        <v>675</v>
      </c>
      <c r="O1454">
        <f t="shared" si="48"/>
        <v>0.296875</v>
      </c>
      <c r="Q1454" t="str">
        <f>Orders!D1454</f>
        <v>PROD-049</v>
      </c>
    </row>
    <row r="1455" spans="1:17" x14ac:dyDescent="0.3">
      <c r="A1455" t="str">
        <f>Orders!A1455</f>
        <v>ORD-01454</v>
      </c>
      <c r="B1455">
        <f>Orders!B1455</f>
        <v>45341</v>
      </c>
      <c r="C1455">
        <f>Orders!I1455</f>
        <v>35101.599999999999</v>
      </c>
      <c r="D1455" t="str">
        <f>Orders!E1455</f>
        <v>R013</v>
      </c>
      <c r="E1455" t="str">
        <f>IFERROR(VLOOKUP(Orders!D1455,Products!$A$2:$C$61,3,FALSE),"Unknown")</f>
        <v>Apparel</v>
      </c>
      <c r="F1455" t="str">
        <f>IFERROR(VLOOKUP(Orders!C1455,Customers!$A$2:$E$301,5,FALSE),"Unknown")</f>
        <v>Retail</v>
      </c>
      <c r="G1455">
        <f>IFERROR(VLOOKUP(Orders!C1455,Customers!$A$2:$C$301,3,FALSE),"")</f>
        <v>63</v>
      </c>
      <c r="H1455" t="str">
        <f>VLOOKUP(D1455,Sales_Reps!$A$2:$C$31,3,FALSE)</f>
        <v>South</v>
      </c>
      <c r="I1455" s="44">
        <f t="shared" si="47"/>
        <v>45323</v>
      </c>
      <c r="L1455" t="str">
        <f>Orders!K1455</f>
        <v>Delhi</v>
      </c>
      <c r="M1455">
        <f>Orders!G1455</f>
        <v>3560</v>
      </c>
      <c r="N1455">
        <f>IFERROR(VLOOKUP(Orders!D1455,Products!$A$2:$D$61,4,FALSE),"")</f>
        <v>2629</v>
      </c>
      <c r="O1455">
        <f t="shared" si="48"/>
        <v>0.26151685393258428</v>
      </c>
      <c r="Q1455" t="str">
        <f>Orders!D1455</f>
        <v>PROD-018</v>
      </c>
    </row>
    <row r="1456" spans="1:17" x14ac:dyDescent="0.3">
      <c r="A1456" t="str">
        <f>Orders!A1456</f>
        <v>ORD-01455</v>
      </c>
      <c r="B1456">
        <f>Orders!B1456</f>
        <v>45354</v>
      </c>
      <c r="C1456">
        <f>Orders!I1456</f>
        <v>8769.2800000000007</v>
      </c>
      <c r="D1456" t="str">
        <f>Orders!E1456</f>
        <v>R014</v>
      </c>
      <c r="E1456" t="str">
        <f>IFERROR(VLOOKUP(Orders!D1456,Products!$A$2:$C$61,3,FALSE),"Unknown")</f>
        <v>Apparel</v>
      </c>
      <c r="F1456" t="str">
        <f>IFERROR(VLOOKUP(Orders!C1456,Customers!$A$2:$E$301,5,FALSE),"Unknown")</f>
        <v>Retail</v>
      </c>
      <c r="G1456">
        <f>IFERROR(VLOOKUP(Orders!C1456,Customers!$A$2:$C$301,3,FALSE),"")</f>
        <v>53</v>
      </c>
      <c r="H1456" t="str">
        <f>VLOOKUP(D1456,Sales_Reps!$A$2:$C$31,3,FALSE)</f>
        <v>South</v>
      </c>
      <c r="I1456" s="44">
        <f t="shared" si="47"/>
        <v>45352</v>
      </c>
      <c r="L1456" t="str">
        <f>Orders!K1456</f>
        <v>Delhi</v>
      </c>
      <c r="M1456">
        <f>Orders!G1456</f>
        <v>2720</v>
      </c>
      <c r="N1456">
        <f>IFERROR(VLOOKUP(Orders!D1456,Products!$A$2:$D$61,4,FALSE),"")</f>
        <v>1962</v>
      </c>
      <c r="O1456">
        <f t="shared" si="48"/>
        <v>0.2786764705882353</v>
      </c>
      <c r="Q1456" t="str">
        <f>Orders!D1456</f>
        <v>PROD-015</v>
      </c>
    </row>
    <row r="1457" spans="1:17" x14ac:dyDescent="0.3">
      <c r="A1457" t="str">
        <f>Orders!A1457</f>
        <v>ORD-01456</v>
      </c>
      <c r="B1457">
        <f>Orders!B1457</f>
        <v>45458</v>
      </c>
      <c r="C1457">
        <f>Orders!I1457</f>
        <v>5148.3999999999996</v>
      </c>
      <c r="D1457" t="str">
        <f>Orders!E1457</f>
        <v>R029</v>
      </c>
      <c r="E1457" t="str">
        <f>IFERROR(VLOOKUP(Orders!D1457,Products!$A$2:$C$61,3,FALSE),"Unknown")</f>
        <v>Electronics</v>
      </c>
      <c r="F1457" t="str">
        <f>IFERROR(VLOOKUP(Orders!C1457,Customers!$A$2:$E$301,5,FALSE),"Unknown")</f>
        <v>SMB</v>
      </c>
      <c r="G1457">
        <f>IFERROR(VLOOKUP(Orders!C1457,Customers!$A$2:$C$301,3,FALSE),"")</f>
        <v>29</v>
      </c>
      <c r="H1457" t="str">
        <f>VLOOKUP(D1457,Sales_Reps!$A$2:$C$31,3,FALSE)</f>
        <v>West</v>
      </c>
      <c r="I1457" s="44">
        <f t="shared" si="47"/>
        <v>45444</v>
      </c>
      <c r="L1457" t="str">
        <f>Orders!K1457</f>
        <v>Hyderabad</v>
      </c>
      <c r="M1457">
        <f>Orders!G1457</f>
        <v>1220</v>
      </c>
      <c r="N1457">
        <f>IFERROR(VLOOKUP(Orders!D1457,Products!$A$2:$D$61,4,FALSE),"")</f>
        <v>517</v>
      </c>
      <c r="O1457">
        <f t="shared" si="48"/>
        <v>0.57622950819672136</v>
      </c>
      <c r="Q1457" t="str">
        <f>Orders!D1457</f>
        <v>PROD-009</v>
      </c>
    </row>
    <row r="1458" spans="1:17" x14ac:dyDescent="0.3">
      <c r="A1458" t="str">
        <f>Orders!A1458</f>
        <v>ORD-01457</v>
      </c>
      <c r="B1458">
        <f>Orders!B1458</f>
        <v>45364</v>
      </c>
      <c r="C1458">
        <f>Orders!I1458</f>
        <v>4632.5</v>
      </c>
      <c r="D1458" t="str">
        <f>Orders!E1458</f>
        <v>R026</v>
      </c>
      <c r="E1458" t="str">
        <f>IFERROR(VLOOKUP(Orders!D1458,Products!$A$2:$C$61,3,FALSE),"Unknown")</f>
        <v>Home</v>
      </c>
      <c r="F1458" t="str">
        <f>IFERROR(VLOOKUP(Orders!C1458,Customers!$A$2:$E$301,5,FALSE),"Unknown")</f>
        <v>Retail</v>
      </c>
      <c r="G1458">
        <f>IFERROR(VLOOKUP(Orders!C1458,Customers!$A$2:$C$301,3,FALSE),"")</f>
        <v>27</v>
      </c>
      <c r="H1458" t="str">
        <f>VLOOKUP(D1458,Sales_Reps!$A$2:$C$31,3,FALSE)</f>
        <v>West</v>
      </c>
      <c r="I1458" s="44">
        <f t="shared" si="47"/>
        <v>45352</v>
      </c>
      <c r="L1458" t="str">
        <f>Orders!K1458</f>
        <v>Hyderabad</v>
      </c>
      <c r="M1458">
        <f>Orders!G1458</f>
        <v>1090</v>
      </c>
      <c r="N1458">
        <f>IFERROR(VLOOKUP(Orders!D1458,Products!$A$2:$D$61,4,FALSE),"")</f>
        <v>464</v>
      </c>
      <c r="O1458">
        <f t="shared" si="48"/>
        <v>0.57431192660550456</v>
      </c>
      <c r="Q1458" t="str">
        <f>Orders!D1458</f>
        <v>PROD-035</v>
      </c>
    </row>
    <row r="1459" spans="1:17" x14ac:dyDescent="0.3">
      <c r="A1459" t="str">
        <f>Orders!A1459</f>
        <v>ORD-01458</v>
      </c>
      <c r="B1459">
        <f>Orders!B1459</f>
        <v>45618</v>
      </c>
      <c r="C1459">
        <f>Orders!I1459</f>
        <v>2484.1799999999998</v>
      </c>
      <c r="D1459" t="str">
        <f>Orders!E1459</f>
        <v>R029</v>
      </c>
      <c r="E1459" t="str">
        <f>IFERROR(VLOOKUP(Orders!D1459,Products!$A$2:$C$61,3,FALSE),"Unknown")</f>
        <v>Home</v>
      </c>
      <c r="F1459" t="str">
        <f>IFERROR(VLOOKUP(Orders!C1459,Customers!$A$2:$E$301,5,FALSE),"Unknown")</f>
        <v>SMB</v>
      </c>
      <c r="G1459">
        <f>IFERROR(VLOOKUP(Orders!C1459,Customers!$A$2:$C$301,3,FALSE),"")</f>
        <v>54</v>
      </c>
      <c r="H1459" t="str">
        <f>VLOOKUP(D1459,Sales_Reps!$A$2:$C$31,3,FALSE)</f>
        <v>West</v>
      </c>
      <c r="I1459" s="44">
        <f t="shared" si="47"/>
        <v>45597</v>
      </c>
      <c r="L1459" t="str">
        <f>Orders!K1459</f>
        <v>Mumbai</v>
      </c>
      <c r="M1459">
        <f>Orders!G1459</f>
        <v>370</v>
      </c>
      <c r="N1459">
        <f>IFERROR(VLOOKUP(Orders!D1459,Products!$A$2:$D$61,4,FALSE),"")</f>
        <v>288</v>
      </c>
      <c r="O1459">
        <f t="shared" si="48"/>
        <v>0.22162162162162163</v>
      </c>
      <c r="Q1459" t="str">
        <f>Orders!D1459</f>
        <v>PROD-032</v>
      </c>
    </row>
    <row r="1460" spans="1:17" x14ac:dyDescent="0.3">
      <c r="A1460" t="str">
        <f>Orders!A1460</f>
        <v>ORD-01459</v>
      </c>
      <c r="B1460">
        <f>Orders!B1460</f>
        <v>45456</v>
      </c>
      <c r="C1460">
        <f>Orders!I1460</f>
        <v>17217.2</v>
      </c>
      <c r="D1460" t="str">
        <f>Orders!E1460</f>
        <v>R007</v>
      </c>
      <c r="E1460" t="str">
        <f>IFERROR(VLOOKUP(Orders!D1460,Products!$A$2:$C$61,3,FALSE),"Unknown")</f>
        <v>Sports</v>
      </c>
      <c r="F1460" t="str">
        <f>IFERROR(VLOOKUP(Orders!C1460,Customers!$A$2:$E$301,5,FALSE),"Unknown")</f>
        <v>SMB</v>
      </c>
      <c r="G1460">
        <f>IFERROR(VLOOKUP(Orders!C1460,Customers!$A$2:$C$301,3,FALSE),"")</f>
        <v>43</v>
      </c>
      <c r="H1460" t="str">
        <f>VLOOKUP(D1460,Sales_Reps!$A$2:$C$31,3,FALSE)</f>
        <v>North</v>
      </c>
      <c r="I1460" s="44">
        <f t="shared" si="47"/>
        <v>45444</v>
      </c>
      <c r="L1460" t="str">
        <f>Orders!K1460</f>
        <v>Mumbai</v>
      </c>
      <c r="M1460">
        <f>Orders!G1460</f>
        <v>2860</v>
      </c>
      <c r="N1460">
        <f>IFERROR(VLOOKUP(Orders!D1460,Products!$A$2:$D$61,4,FALSE),"")</f>
        <v>2028</v>
      </c>
      <c r="O1460">
        <f t="shared" si="48"/>
        <v>0.29090909090909089</v>
      </c>
      <c r="Q1460" t="str">
        <f>Orders!D1460</f>
        <v>PROD-055</v>
      </c>
    </row>
    <row r="1461" spans="1:17" x14ac:dyDescent="0.3">
      <c r="A1461" t="str">
        <f>Orders!A1461</f>
        <v>ORD-01460</v>
      </c>
      <c r="B1461">
        <f>Orders!B1461</f>
        <v>45490</v>
      </c>
      <c r="C1461">
        <f>Orders!I1461</f>
        <v>2172.4299999999998</v>
      </c>
      <c r="D1461" t="str">
        <f>Orders!E1461</f>
        <v>R026</v>
      </c>
      <c r="E1461" t="str">
        <f>IFERROR(VLOOKUP(Orders!D1461,Products!$A$2:$C$61,3,FALSE),"Unknown")</f>
        <v>Grocery</v>
      </c>
      <c r="F1461" t="str">
        <f>IFERROR(VLOOKUP(Orders!C1461,Customers!$A$2:$E$301,5,FALSE),"Unknown")</f>
        <v>Corporate</v>
      </c>
      <c r="G1461">
        <f>IFERROR(VLOOKUP(Orders!C1461,Customers!$A$2:$C$301,3,FALSE),"")</f>
        <v>26</v>
      </c>
      <c r="H1461" t="str">
        <f>VLOOKUP(D1461,Sales_Reps!$A$2:$C$31,3,FALSE)</f>
        <v>West</v>
      </c>
      <c r="I1461" s="44">
        <f t="shared" si="47"/>
        <v>45474</v>
      </c>
      <c r="L1461" t="str">
        <f>Orders!K1461</f>
        <v>Bengaluru</v>
      </c>
      <c r="M1461">
        <f>Orders!G1461</f>
        <v>2210</v>
      </c>
      <c r="N1461">
        <f>IFERROR(VLOOKUP(Orders!D1461,Products!$A$2:$D$61,4,FALSE),"")</f>
        <v>1010</v>
      </c>
      <c r="O1461">
        <f t="shared" si="48"/>
        <v>0.54298642533936647</v>
      </c>
      <c r="Q1461" t="str">
        <f>Orders!D1461</f>
        <v>PROD-029</v>
      </c>
    </row>
    <row r="1462" spans="1:17" x14ac:dyDescent="0.3">
      <c r="A1462" t="str">
        <f>Orders!A1462</f>
        <v>ORD-01461</v>
      </c>
      <c r="B1462">
        <f>Orders!B1462</f>
        <v>45584</v>
      </c>
      <c r="C1462">
        <f>Orders!I1462</f>
        <v>2319.27</v>
      </c>
      <c r="D1462" t="str">
        <f>Orders!E1462</f>
        <v>R025</v>
      </c>
      <c r="E1462" t="str">
        <f>IFERROR(VLOOKUP(Orders!D1462,Products!$A$2:$C$61,3,FALSE),"Unknown")</f>
        <v>Grocery</v>
      </c>
      <c r="F1462" t="str">
        <f>IFERROR(VLOOKUP(Orders!C1462,Customers!$A$2:$E$301,5,FALSE),"Unknown")</f>
        <v>SMB</v>
      </c>
      <c r="G1462">
        <f>IFERROR(VLOOKUP(Orders!C1462,Customers!$A$2:$C$301,3,FALSE),"")</f>
        <v>24</v>
      </c>
      <c r="H1462" t="str">
        <f>VLOOKUP(D1462,Sales_Reps!$A$2:$C$31,3,FALSE)</f>
        <v>West</v>
      </c>
      <c r="I1462" s="44">
        <f t="shared" si="47"/>
        <v>45566</v>
      </c>
      <c r="L1462" t="str">
        <f>Orders!K1462</f>
        <v>Pune</v>
      </c>
      <c r="M1462">
        <f>Orders!G1462</f>
        <v>970</v>
      </c>
      <c r="N1462">
        <f>IFERROR(VLOOKUP(Orders!D1462,Products!$A$2:$D$61,4,FALSE),"")</f>
        <v>434</v>
      </c>
      <c r="O1462">
        <f t="shared" si="48"/>
        <v>0.5525773195876289</v>
      </c>
      <c r="Q1462" t="str">
        <f>Orders!D1462</f>
        <v>PROD-030</v>
      </c>
    </row>
    <row r="1463" spans="1:17" x14ac:dyDescent="0.3">
      <c r="A1463" t="str">
        <f>Orders!A1463</f>
        <v>ORD-01462</v>
      </c>
      <c r="B1463">
        <f>Orders!B1463</f>
        <v>45476</v>
      </c>
      <c r="C1463">
        <f>Orders!I1463</f>
        <v>14756.2</v>
      </c>
      <c r="D1463" t="str">
        <f>Orders!E1463</f>
        <v>R021</v>
      </c>
      <c r="E1463" t="str">
        <f>IFERROR(VLOOKUP(Orders!D1463,Products!$A$2:$C$61,3,FALSE),"Unknown")</f>
        <v>Apparel</v>
      </c>
      <c r="F1463" t="str">
        <f>IFERROR(VLOOKUP(Orders!C1463,Customers!$A$2:$E$301,5,FALSE),"Unknown")</f>
        <v>Retail</v>
      </c>
      <c r="G1463">
        <f>IFERROR(VLOOKUP(Orders!C1463,Customers!$A$2:$C$301,3,FALSE),"")</f>
        <v>27</v>
      </c>
      <c r="H1463" t="str">
        <f>VLOOKUP(D1463,Sales_Reps!$A$2:$C$31,3,FALSE)</f>
        <v>East</v>
      </c>
      <c r="I1463" s="44">
        <f t="shared" si="47"/>
        <v>45474</v>
      </c>
      <c r="L1463" t="str">
        <f>Orders!K1463</f>
        <v>Bengaluru</v>
      </c>
      <c r="M1463">
        <f>Orders!G1463</f>
        <v>3560</v>
      </c>
      <c r="N1463">
        <f>IFERROR(VLOOKUP(Orders!D1463,Products!$A$2:$D$61,4,FALSE),"")</f>
        <v>2629</v>
      </c>
      <c r="O1463">
        <f t="shared" si="48"/>
        <v>0.26151685393258428</v>
      </c>
      <c r="Q1463" t="str">
        <f>Orders!D1463</f>
        <v>PROD-018</v>
      </c>
    </row>
    <row r="1464" spans="1:17" x14ac:dyDescent="0.3">
      <c r="A1464" t="str">
        <f>Orders!A1464</f>
        <v>ORD-01463</v>
      </c>
      <c r="B1464">
        <f>Orders!B1464</f>
        <v>45387</v>
      </c>
      <c r="C1464">
        <f>Orders!I1464</f>
        <v>9417.6</v>
      </c>
      <c r="D1464" t="str">
        <f>Orders!E1464</f>
        <v>R023</v>
      </c>
      <c r="E1464" t="str">
        <f>IFERROR(VLOOKUP(Orders!D1464,Products!$A$2:$C$61,3,FALSE),"Unknown")</f>
        <v>Home</v>
      </c>
      <c r="F1464" t="str">
        <f>IFERROR(VLOOKUP(Orders!C1464,Customers!$A$2:$E$301,5,FALSE),"Unknown")</f>
        <v>Corporate</v>
      </c>
      <c r="G1464">
        <f>IFERROR(VLOOKUP(Orders!C1464,Customers!$A$2:$C$301,3,FALSE),"")</f>
        <v>56</v>
      </c>
      <c r="H1464" t="str">
        <f>VLOOKUP(D1464,Sales_Reps!$A$2:$C$31,3,FALSE)</f>
        <v>East</v>
      </c>
      <c r="I1464" s="44">
        <f t="shared" si="47"/>
        <v>45383</v>
      </c>
      <c r="L1464" t="str">
        <f>Orders!K1464</f>
        <v>Hyderabad</v>
      </c>
      <c r="M1464">
        <f>Orders!G1464</f>
        <v>1080</v>
      </c>
      <c r="N1464">
        <f>IFERROR(VLOOKUP(Orders!D1464,Products!$A$2:$D$61,4,FALSE),"")</f>
        <v>519</v>
      </c>
      <c r="O1464">
        <f t="shared" si="48"/>
        <v>0.51944444444444449</v>
      </c>
      <c r="Q1464" t="str">
        <f>Orders!D1464</f>
        <v>PROD-040</v>
      </c>
    </row>
    <row r="1465" spans="1:17" x14ac:dyDescent="0.3">
      <c r="A1465" t="str">
        <f>Orders!A1465</f>
        <v>ORD-01464</v>
      </c>
      <c r="B1465">
        <f>Orders!B1465</f>
        <v>45324</v>
      </c>
      <c r="C1465">
        <f>Orders!I1465</f>
        <v>3590.46</v>
      </c>
      <c r="D1465" t="str">
        <f>Orders!E1465</f>
        <v>R011</v>
      </c>
      <c r="E1465" t="str">
        <f>IFERROR(VLOOKUP(Orders!D1465,Products!$A$2:$C$61,3,FALSE),"Unknown")</f>
        <v>Electronics</v>
      </c>
      <c r="F1465" t="str">
        <f>IFERROR(VLOOKUP(Orders!C1465,Customers!$A$2:$E$301,5,FALSE),"Unknown")</f>
        <v>Retail</v>
      </c>
      <c r="G1465">
        <f>IFERROR(VLOOKUP(Orders!C1465,Customers!$A$2:$C$301,3,FALSE),"")</f>
        <v>59</v>
      </c>
      <c r="H1465" t="str">
        <f>VLOOKUP(D1465,Sales_Reps!$A$2:$C$31,3,FALSE)</f>
        <v>South</v>
      </c>
      <c r="I1465" s="44">
        <f t="shared" si="47"/>
        <v>45323</v>
      </c>
      <c r="L1465" t="str">
        <f>Orders!K1465</f>
        <v>Pune</v>
      </c>
      <c r="M1465">
        <f>Orders!G1465</f>
        <v>1220</v>
      </c>
      <c r="N1465">
        <f>IFERROR(VLOOKUP(Orders!D1465,Products!$A$2:$D$61,4,FALSE),"")</f>
        <v>517</v>
      </c>
      <c r="O1465">
        <f t="shared" si="48"/>
        <v>0.57622950819672136</v>
      </c>
      <c r="Q1465" t="str">
        <f>Orders!D1465</f>
        <v>PROD-009</v>
      </c>
    </row>
    <row r="1466" spans="1:17" x14ac:dyDescent="0.3">
      <c r="A1466" t="str">
        <f>Orders!A1466</f>
        <v>ORD-01465</v>
      </c>
      <c r="B1466">
        <f>Orders!B1466</f>
        <v>45479</v>
      </c>
      <c r="C1466">
        <f>Orders!I1466</f>
        <v>3181.69</v>
      </c>
      <c r="D1466" t="str">
        <f>Orders!E1466</f>
        <v>R009</v>
      </c>
      <c r="E1466" t="str">
        <f>IFERROR(VLOOKUP(Orders!D1466,Products!$A$2:$C$61,3,FALSE),"Unknown")</f>
        <v>Home</v>
      </c>
      <c r="F1466" t="str">
        <f>IFERROR(VLOOKUP(Orders!C1466,Customers!$A$2:$E$301,5,FALSE),"Unknown")</f>
        <v>Unknown</v>
      </c>
      <c r="G1466" t="str">
        <f>IFERROR(VLOOKUP(Orders!C1466,Customers!$A$2:$C$301,3,FALSE),"")</f>
        <v/>
      </c>
      <c r="H1466" t="str">
        <f>VLOOKUP(D1466,Sales_Reps!$A$2:$C$31,3,FALSE)</f>
        <v>South</v>
      </c>
      <c r="I1466" s="44">
        <f t="shared" si="47"/>
        <v>45474</v>
      </c>
      <c r="L1466" t="str">
        <f>Orders!K1466</f>
        <v>Pune</v>
      </c>
      <c r="M1466">
        <f>Orders!G1466</f>
        <v>3730</v>
      </c>
      <c r="N1466">
        <f>IFERROR(VLOOKUP(Orders!D1466,Products!$A$2:$D$61,4,FALSE),"")</f>
        <v>2135</v>
      </c>
      <c r="O1466">
        <f t="shared" si="48"/>
        <v>0.42761394101876676</v>
      </c>
      <c r="Q1466" t="str">
        <f>Orders!D1466</f>
        <v>PROD-031</v>
      </c>
    </row>
    <row r="1467" spans="1:17" x14ac:dyDescent="0.3">
      <c r="A1467" t="str">
        <f>Orders!A1467</f>
        <v>ORD-01466</v>
      </c>
      <c r="B1467">
        <f>Orders!B1467</f>
        <v>45628</v>
      </c>
      <c r="C1467">
        <f>Orders!I1467</f>
        <v>3723.72</v>
      </c>
      <c r="D1467" t="str">
        <f>Orders!E1467</f>
        <v>R001</v>
      </c>
      <c r="E1467" t="str">
        <f>IFERROR(VLOOKUP(Orders!D1467,Products!$A$2:$C$61,3,FALSE),"Unknown")</f>
        <v>Electronics</v>
      </c>
      <c r="F1467" t="str">
        <f>IFERROR(VLOOKUP(Orders!C1467,Customers!$A$2:$E$301,5,FALSE),"Unknown")</f>
        <v>SMB</v>
      </c>
      <c r="G1467">
        <f>IFERROR(VLOOKUP(Orders!C1467,Customers!$A$2:$C$301,3,FALSE),"")</f>
        <v>52</v>
      </c>
      <c r="H1467" t="str">
        <f>VLOOKUP(D1467,Sales_Reps!$A$2:$C$31,3,FALSE)</f>
        <v>North</v>
      </c>
      <c r="I1467" s="44">
        <f t="shared" si="47"/>
        <v>45627</v>
      </c>
      <c r="L1467" t="str">
        <f>Orders!K1467</f>
        <v>Chennai</v>
      </c>
      <c r="M1467">
        <f>Orders!G1467</f>
        <v>1430</v>
      </c>
      <c r="N1467">
        <f>IFERROR(VLOOKUP(Orders!D1467,Products!$A$2:$D$61,4,FALSE),"")</f>
        <v>861</v>
      </c>
      <c r="O1467">
        <f t="shared" si="48"/>
        <v>0.39790209790209791</v>
      </c>
      <c r="Q1467" t="str">
        <f>Orders!D1467</f>
        <v>PROD-007</v>
      </c>
    </row>
    <row r="1468" spans="1:17" x14ac:dyDescent="0.3">
      <c r="A1468" t="str">
        <f>Orders!A1468</f>
        <v>ORD-01467</v>
      </c>
      <c r="B1468">
        <f>Orders!B1468</f>
        <v>45413</v>
      </c>
      <c r="C1468">
        <f>Orders!I1468</f>
        <v>9509.1200000000008</v>
      </c>
      <c r="D1468" t="str">
        <f>Orders!E1468</f>
        <v>R018</v>
      </c>
      <c r="E1468" t="str">
        <f>IFERROR(VLOOKUP(Orders!D1468,Products!$A$2:$C$61,3,FALSE),"Unknown")</f>
        <v>Beauty</v>
      </c>
      <c r="F1468" t="str">
        <f>IFERROR(VLOOKUP(Orders!C1468,Customers!$A$2:$E$301,5,FALSE),"Unknown")</f>
        <v>Corporate</v>
      </c>
      <c r="G1468">
        <f>IFERROR(VLOOKUP(Orders!C1468,Customers!$A$2:$C$301,3,FALSE),"")</f>
        <v>56</v>
      </c>
      <c r="H1468" t="str">
        <f>VLOOKUP(D1468,Sales_Reps!$A$2:$C$31,3,FALSE)</f>
        <v>East</v>
      </c>
      <c r="I1468" s="44">
        <f t="shared" si="47"/>
        <v>45413</v>
      </c>
      <c r="L1468" t="str">
        <f>Orders!K1468</f>
        <v>Hyderabad</v>
      </c>
      <c r="M1468">
        <f>Orders!G1468</f>
        <v>6080</v>
      </c>
      <c r="N1468">
        <f>IFERROR(VLOOKUP(Orders!D1468,Products!$A$2:$D$61,4,FALSE),"")</f>
        <v>2617</v>
      </c>
      <c r="O1468">
        <f t="shared" si="48"/>
        <v>0.56957236842105263</v>
      </c>
      <c r="Q1468" t="str">
        <f>Orders!D1468</f>
        <v>PROD-050</v>
      </c>
    </row>
    <row r="1469" spans="1:17" x14ac:dyDescent="0.3">
      <c r="A1469" t="str">
        <f>Orders!A1469</f>
        <v>ORD-01468</v>
      </c>
      <c r="B1469">
        <f>Orders!B1469</f>
        <v>45343</v>
      </c>
      <c r="C1469">
        <f>Orders!I1469</f>
        <v>32451.3</v>
      </c>
      <c r="D1469" t="str">
        <f>Orders!E1469</f>
        <v>R015</v>
      </c>
      <c r="E1469" t="str">
        <f>IFERROR(VLOOKUP(Orders!D1469,Products!$A$2:$C$61,3,FALSE),"Unknown")</f>
        <v>Beauty</v>
      </c>
      <c r="F1469" t="str">
        <f>IFERROR(VLOOKUP(Orders!C1469,Customers!$A$2:$E$301,5,FALSE),"Unknown")</f>
        <v>Retail</v>
      </c>
      <c r="G1469">
        <f>IFERROR(VLOOKUP(Orders!C1469,Customers!$A$2:$C$301,3,FALSE),"")</f>
        <v>26</v>
      </c>
      <c r="H1469" t="str">
        <f>VLOOKUP(D1469,Sales_Reps!$A$2:$C$31,3,FALSE)</f>
        <v>South</v>
      </c>
      <c r="I1469" s="44">
        <f t="shared" si="47"/>
        <v>45323</v>
      </c>
      <c r="L1469" t="str">
        <f>Orders!K1469</f>
        <v>Chennai</v>
      </c>
      <c r="M1469">
        <f>Orders!G1469</f>
        <v>5100</v>
      </c>
      <c r="N1469">
        <f>IFERROR(VLOOKUP(Orders!D1469,Products!$A$2:$D$61,4,FALSE),"")</f>
        <v>2237</v>
      </c>
      <c r="O1469">
        <f t="shared" si="48"/>
        <v>0.56137254901960787</v>
      </c>
      <c r="Q1469" t="str">
        <f>Orders!D1469</f>
        <v>PROD-048</v>
      </c>
    </row>
    <row r="1470" spans="1:17" x14ac:dyDescent="0.3">
      <c r="A1470" t="str">
        <f>Orders!A1470</f>
        <v>ORD-01469</v>
      </c>
      <c r="B1470">
        <f>Orders!B1470</f>
        <v>45424</v>
      </c>
      <c r="C1470">
        <f>Orders!I1470</f>
        <v>16335.75</v>
      </c>
      <c r="D1470" t="str">
        <f>Orders!E1470</f>
        <v>R014</v>
      </c>
      <c r="E1470" t="str">
        <f>IFERROR(VLOOKUP(Orders!D1470,Products!$A$2:$C$61,3,FALSE),"Unknown")</f>
        <v>Apparel</v>
      </c>
      <c r="F1470" t="str">
        <f>IFERROR(VLOOKUP(Orders!C1470,Customers!$A$2:$E$301,5,FALSE),"Unknown")</f>
        <v>SMB</v>
      </c>
      <c r="G1470">
        <f>IFERROR(VLOOKUP(Orders!C1470,Customers!$A$2:$C$301,3,FALSE),"")</f>
        <v>43</v>
      </c>
      <c r="H1470" t="str">
        <f>VLOOKUP(D1470,Sales_Reps!$A$2:$C$31,3,FALSE)</f>
        <v>South</v>
      </c>
      <c r="I1470" s="44">
        <f t="shared" si="47"/>
        <v>45413</v>
      </c>
      <c r="L1470" t="str">
        <f>Orders!K1470</f>
        <v>Mumbai</v>
      </c>
      <c r="M1470">
        <f>Orders!G1470</f>
        <v>3450</v>
      </c>
      <c r="N1470">
        <f>IFERROR(VLOOKUP(Orders!D1470,Products!$A$2:$D$61,4,FALSE),"")</f>
        <v>1748</v>
      </c>
      <c r="O1470">
        <f t="shared" si="48"/>
        <v>0.49333333333333335</v>
      </c>
      <c r="Q1470" t="str">
        <f>Orders!D1470</f>
        <v>PROD-011</v>
      </c>
    </row>
    <row r="1471" spans="1:17" x14ac:dyDescent="0.3">
      <c r="A1471" t="str">
        <f>Orders!A1471</f>
        <v>ORD-01470</v>
      </c>
      <c r="B1471">
        <f>Orders!B1471</f>
        <v>45632</v>
      </c>
      <c r="C1471">
        <f>Orders!I1471</f>
        <v>17714.34</v>
      </c>
      <c r="D1471" t="str">
        <f>Orders!E1471</f>
        <v>R002</v>
      </c>
      <c r="E1471" t="str">
        <f>IFERROR(VLOOKUP(Orders!D1471,Products!$A$2:$C$61,3,FALSE),"Unknown")</f>
        <v>Electronics</v>
      </c>
      <c r="F1471" t="str">
        <f>IFERROR(VLOOKUP(Orders!C1471,Customers!$A$2:$E$301,5,FALSE),"Unknown")</f>
        <v>Retail</v>
      </c>
      <c r="G1471">
        <f>IFERROR(VLOOKUP(Orders!C1471,Customers!$A$2:$C$301,3,FALSE),"")</f>
        <v>44</v>
      </c>
      <c r="H1471" t="str">
        <f>VLOOKUP(D1471,Sales_Reps!$A$2:$C$31,3,FALSE)</f>
        <v>North</v>
      </c>
      <c r="I1471" s="44">
        <f t="shared" si="47"/>
        <v>45627</v>
      </c>
      <c r="L1471" t="str">
        <f>Orders!K1471</f>
        <v>Hyderabad</v>
      </c>
      <c r="M1471">
        <f>Orders!G1471</f>
        <v>3570</v>
      </c>
      <c r="N1471">
        <f>IFERROR(VLOOKUP(Orders!D1471,Products!$A$2:$D$61,4,FALSE),"")</f>
        <v>1665</v>
      </c>
      <c r="O1471">
        <f t="shared" si="48"/>
        <v>0.53361344537815125</v>
      </c>
      <c r="Q1471" t="str">
        <f>Orders!D1471</f>
        <v>PROD-003</v>
      </c>
    </row>
    <row r="1472" spans="1:17" x14ac:dyDescent="0.3">
      <c r="A1472" t="str">
        <f>Orders!A1472</f>
        <v>ORD-01471</v>
      </c>
      <c r="B1472">
        <f>Orders!B1472</f>
        <v>45444</v>
      </c>
      <c r="C1472">
        <f>Orders!I1472</f>
        <v>22156.2</v>
      </c>
      <c r="D1472" t="str">
        <f>Orders!E1472</f>
        <v>R018</v>
      </c>
      <c r="E1472" t="str">
        <f>IFERROR(VLOOKUP(Orders!D1472,Products!$A$2:$C$61,3,FALSE),"Unknown")</f>
        <v>Home</v>
      </c>
      <c r="F1472" t="str">
        <f>IFERROR(VLOOKUP(Orders!C1472,Customers!$A$2:$E$301,5,FALSE),"Unknown")</f>
        <v>Retail</v>
      </c>
      <c r="G1472">
        <f>IFERROR(VLOOKUP(Orders!C1472,Customers!$A$2:$C$301,3,FALSE),"")</f>
        <v>38</v>
      </c>
      <c r="H1472" t="str">
        <f>VLOOKUP(D1472,Sales_Reps!$A$2:$C$31,3,FALSE)</f>
        <v>East</v>
      </c>
      <c r="I1472" s="44">
        <f t="shared" si="47"/>
        <v>45444</v>
      </c>
      <c r="L1472" t="str">
        <f>Orders!K1472</f>
        <v>Chennai</v>
      </c>
      <c r="M1472">
        <f>Orders!G1472</f>
        <v>3730</v>
      </c>
      <c r="N1472">
        <f>IFERROR(VLOOKUP(Orders!D1472,Products!$A$2:$D$61,4,FALSE),"")</f>
        <v>2135</v>
      </c>
      <c r="O1472">
        <f t="shared" si="48"/>
        <v>0.42761394101876676</v>
      </c>
      <c r="Q1472" t="str">
        <f>Orders!D1472</f>
        <v>PROD-031</v>
      </c>
    </row>
    <row r="1473" spans="1:17" x14ac:dyDescent="0.3">
      <c r="A1473" t="str">
        <f>Orders!A1473</f>
        <v>ORD-01472</v>
      </c>
      <c r="B1473">
        <f>Orders!B1473</f>
        <v>45545</v>
      </c>
      <c r="C1473">
        <f>Orders!I1473</f>
        <v>13139.28</v>
      </c>
      <c r="D1473" t="str">
        <f>Orders!E1473</f>
        <v>R019</v>
      </c>
      <c r="E1473" t="str">
        <f>IFERROR(VLOOKUP(Orders!D1473,Products!$A$2:$C$61,3,FALSE),"Unknown")</f>
        <v>Sports</v>
      </c>
      <c r="F1473" t="str">
        <f>IFERROR(VLOOKUP(Orders!C1473,Customers!$A$2:$E$301,5,FALSE),"Unknown")</f>
        <v>Corporate</v>
      </c>
      <c r="G1473">
        <f>IFERROR(VLOOKUP(Orders!C1473,Customers!$A$2:$C$301,3,FALSE),"")</f>
        <v>55</v>
      </c>
      <c r="H1473" t="str">
        <f>VLOOKUP(D1473,Sales_Reps!$A$2:$C$31,3,FALSE)</f>
        <v>East</v>
      </c>
      <c r="I1473" s="44">
        <f t="shared" si="47"/>
        <v>45536</v>
      </c>
      <c r="L1473" t="str">
        <f>Orders!K1473</f>
        <v>Bengaluru</v>
      </c>
      <c r="M1473">
        <f>Orders!G1473</f>
        <v>3780</v>
      </c>
      <c r="N1473">
        <f>IFERROR(VLOOKUP(Orders!D1473,Products!$A$2:$D$61,4,FALSE),"")</f>
        <v>1860</v>
      </c>
      <c r="O1473">
        <f t="shared" si="48"/>
        <v>0.50793650793650791</v>
      </c>
      <c r="Q1473" t="str">
        <f>Orders!D1473</f>
        <v>PROD-059</v>
      </c>
    </row>
    <row r="1474" spans="1:17" x14ac:dyDescent="0.3">
      <c r="A1474" t="str">
        <f>Orders!A1474</f>
        <v>ORD-01473</v>
      </c>
      <c r="B1474">
        <f>Orders!B1474</f>
        <v>45511</v>
      </c>
      <c r="C1474">
        <f>Orders!I1474</f>
        <v>1812.22</v>
      </c>
      <c r="D1474" t="str">
        <f>Orders!E1474</f>
        <v>R011</v>
      </c>
      <c r="E1474" t="str">
        <f>IFERROR(VLOOKUP(Orders!D1474,Products!$A$2:$C$61,3,FALSE),"Unknown")</f>
        <v>Apparel</v>
      </c>
      <c r="F1474" t="str">
        <f>IFERROR(VLOOKUP(Orders!C1474,Customers!$A$2:$E$301,5,FALSE),"Unknown")</f>
        <v>SMB</v>
      </c>
      <c r="G1474">
        <f>IFERROR(VLOOKUP(Orders!C1474,Customers!$A$2:$C$301,3,FALSE),"")</f>
        <v>42</v>
      </c>
      <c r="H1474" t="str">
        <f>VLOOKUP(D1474,Sales_Reps!$A$2:$C$31,3,FALSE)</f>
        <v>South</v>
      </c>
      <c r="I1474" s="44">
        <f t="shared" si="47"/>
        <v>45505</v>
      </c>
      <c r="L1474" t="str">
        <f>Orders!K1474</f>
        <v>Bengaluru</v>
      </c>
      <c r="M1474">
        <f>Orders!G1474</f>
        <v>2510</v>
      </c>
      <c r="N1474">
        <f>IFERROR(VLOOKUP(Orders!D1474,Products!$A$2:$D$61,4,FALSE),"")</f>
        <v>1075</v>
      </c>
      <c r="O1474">
        <f t="shared" si="48"/>
        <v>0.57171314741035861</v>
      </c>
      <c r="Q1474" t="str">
        <f>Orders!D1474</f>
        <v>PROD-017</v>
      </c>
    </row>
    <row r="1475" spans="1:17" x14ac:dyDescent="0.3">
      <c r="A1475" t="str">
        <f>Orders!A1475</f>
        <v>ORD-01474</v>
      </c>
      <c r="B1475">
        <f>Orders!B1475</f>
        <v>45577</v>
      </c>
      <c r="C1475">
        <f>Orders!I1475</f>
        <v>4199.58</v>
      </c>
      <c r="D1475" t="str">
        <f>Orders!E1475</f>
        <v>R007</v>
      </c>
      <c r="E1475" t="str">
        <f>IFERROR(VLOOKUP(Orders!D1475,Products!$A$2:$C$61,3,FALSE),"Unknown")</f>
        <v>Home</v>
      </c>
      <c r="F1475" t="str">
        <f>IFERROR(VLOOKUP(Orders!C1475,Customers!$A$2:$E$301,5,FALSE),"Unknown")</f>
        <v>Retail</v>
      </c>
      <c r="G1475">
        <f>IFERROR(VLOOKUP(Orders!C1475,Customers!$A$2:$C$301,3,FALSE),"")</f>
        <v>63</v>
      </c>
      <c r="H1475" t="str">
        <f>VLOOKUP(D1475,Sales_Reps!$A$2:$C$31,3,FALSE)</f>
        <v>North</v>
      </c>
      <c r="I1475" s="44">
        <f t="shared" ref="I1475:I1538" si="49">DATE(YEAR(B1475),MONTH(B1475),1)</f>
        <v>45566</v>
      </c>
      <c r="L1475" t="str">
        <f>Orders!K1475</f>
        <v>Delhi</v>
      </c>
      <c r="M1475">
        <f>Orders!G1475</f>
        <v>660</v>
      </c>
      <c r="N1475">
        <f>IFERROR(VLOOKUP(Orders!D1475,Products!$A$2:$D$61,4,FALSE),"")</f>
        <v>329</v>
      </c>
      <c r="O1475">
        <f t="shared" ref="O1475:O1538" si="50">IF(OR(N1475="",M1475&lt;=0),"",(M1475-N1475)/M1475)</f>
        <v>0.50151515151515147</v>
      </c>
      <c r="Q1475" t="str">
        <f>Orders!D1475</f>
        <v>PROD-037</v>
      </c>
    </row>
    <row r="1476" spans="1:17" x14ac:dyDescent="0.3">
      <c r="A1476" t="str">
        <f>Orders!A1476</f>
        <v>ORD-01475</v>
      </c>
      <c r="B1476">
        <f>Orders!B1476</f>
        <v>45507</v>
      </c>
      <c r="C1476">
        <f>Orders!I1476</f>
        <v>22524.32</v>
      </c>
      <c r="D1476" t="str">
        <f>Orders!E1476</f>
        <v>R030</v>
      </c>
      <c r="E1476" t="str">
        <f>IFERROR(VLOOKUP(Orders!D1476,Products!$A$2:$C$61,3,FALSE),"Unknown")</f>
        <v>Apparel</v>
      </c>
      <c r="F1476" t="str">
        <f>IFERROR(VLOOKUP(Orders!C1476,Customers!$A$2:$E$301,5,FALSE),"Unknown")</f>
        <v>Retail</v>
      </c>
      <c r="G1476">
        <f>IFERROR(VLOOKUP(Orders!C1476,Customers!$A$2:$C$301,3,FALSE),"")</f>
        <v>33</v>
      </c>
      <c r="H1476" t="str">
        <f>VLOOKUP(D1476,Sales_Reps!$A$2:$C$31,3,FALSE)</f>
        <v>West</v>
      </c>
      <c r="I1476" s="44">
        <f t="shared" si="49"/>
        <v>45505</v>
      </c>
      <c r="L1476" t="str">
        <f>Orders!K1476</f>
        <v>Mumbai</v>
      </c>
      <c r="M1476">
        <f>Orders!G1476</f>
        <v>3640</v>
      </c>
      <c r="N1476">
        <f>IFERROR(VLOOKUP(Orders!D1476,Products!$A$2:$D$61,4,FALSE),"")</f>
        <v>2611</v>
      </c>
      <c r="O1476">
        <f t="shared" si="50"/>
        <v>0.28269230769230769</v>
      </c>
      <c r="Q1476" t="str">
        <f>Orders!D1476</f>
        <v>PROD-013</v>
      </c>
    </row>
    <row r="1477" spans="1:17" x14ac:dyDescent="0.3">
      <c r="A1477" t="str">
        <f>Orders!A1477</f>
        <v>ORD-01476</v>
      </c>
      <c r="B1477">
        <f>Orders!B1477</f>
        <v>45415</v>
      </c>
      <c r="C1477">
        <f>Orders!I1477</f>
        <v>32200.32</v>
      </c>
      <c r="D1477" t="str">
        <f>Orders!E1477</f>
        <v>R019</v>
      </c>
      <c r="E1477" t="str">
        <f>IFERROR(VLOOKUP(Orders!D1477,Products!$A$2:$C$61,3,FALSE),"Unknown")</f>
        <v>Sports</v>
      </c>
      <c r="F1477" t="str">
        <f>IFERROR(VLOOKUP(Orders!C1477,Customers!$A$2:$E$301,5,FALSE),"Unknown")</f>
        <v>Corporate</v>
      </c>
      <c r="G1477">
        <f>IFERROR(VLOOKUP(Orders!C1477,Customers!$A$2:$C$301,3,FALSE),"")</f>
        <v>52</v>
      </c>
      <c r="H1477" t="str">
        <f>VLOOKUP(D1477,Sales_Reps!$A$2:$C$31,3,FALSE)</f>
        <v>East</v>
      </c>
      <c r="I1477" s="44">
        <f t="shared" si="49"/>
        <v>45413</v>
      </c>
      <c r="L1477" t="str">
        <f>Orders!K1477</f>
        <v>Chennai</v>
      </c>
      <c r="M1477">
        <f>Orders!G1477</f>
        <v>5410</v>
      </c>
      <c r="N1477">
        <f>IFERROR(VLOOKUP(Orders!D1477,Products!$A$2:$D$61,4,FALSE),"")</f>
        <v>2265</v>
      </c>
      <c r="O1477">
        <f t="shared" si="50"/>
        <v>0.58133086876155271</v>
      </c>
      <c r="Q1477" t="str">
        <f>Orders!D1477</f>
        <v>PROD-052</v>
      </c>
    </row>
    <row r="1478" spans="1:17" x14ac:dyDescent="0.3">
      <c r="A1478" t="str">
        <f>Orders!A1478</f>
        <v>ORD-01477</v>
      </c>
      <c r="B1478">
        <f>Orders!B1478</f>
        <v>45342</v>
      </c>
      <c r="C1478">
        <f>Orders!I1478</f>
        <v>8601.6</v>
      </c>
      <c r="D1478" t="str">
        <f>Orders!E1478</f>
        <v>R008</v>
      </c>
      <c r="E1478" t="str">
        <f>IFERROR(VLOOKUP(Orders!D1478,Products!$A$2:$C$61,3,FALSE),"Unknown")</f>
        <v>Sports</v>
      </c>
      <c r="F1478" t="str">
        <f>IFERROR(VLOOKUP(Orders!C1478,Customers!$A$2:$E$301,5,FALSE),"Unknown")</f>
        <v>Retail</v>
      </c>
      <c r="G1478">
        <f>IFERROR(VLOOKUP(Orders!C1478,Customers!$A$2:$C$301,3,FALSE),"")</f>
        <v>40</v>
      </c>
      <c r="H1478" t="str">
        <f>VLOOKUP(D1478,Sales_Reps!$A$2:$C$31,3,FALSE)</f>
        <v>North</v>
      </c>
      <c r="I1478" s="44">
        <f t="shared" si="49"/>
        <v>45323</v>
      </c>
      <c r="L1478" t="str">
        <f>Orders!K1478</f>
        <v>Mumbai</v>
      </c>
      <c r="M1478">
        <f>Orders!G1478</f>
        <v>2400</v>
      </c>
      <c r="N1478">
        <f>IFERROR(VLOOKUP(Orders!D1478,Products!$A$2:$D$61,4,FALSE),"")</f>
        <v>974</v>
      </c>
      <c r="O1478">
        <f t="shared" si="50"/>
        <v>0.59416666666666662</v>
      </c>
      <c r="Q1478" t="str">
        <f>Orders!D1478</f>
        <v>PROD-058</v>
      </c>
    </row>
    <row r="1479" spans="1:17" x14ac:dyDescent="0.3">
      <c r="A1479" t="str">
        <f>Orders!A1479</f>
        <v>ORD-01478</v>
      </c>
      <c r="B1479">
        <f>Orders!B1479</f>
        <v>45333</v>
      </c>
      <c r="C1479">
        <f>Orders!I1479</f>
        <v>10387.08</v>
      </c>
      <c r="D1479" t="str">
        <f>Orders!E1479</f>
        <v>R028</v>
      </c>
      <c r="E1479" t="str">
        <f>IFERROR(VLOOKUP(Orders!D1479,Products!$A$2:$C$61,3,FALSE),"Unknown")</f>
        <v>Home</v>
      </c>
      <c r="F1479" t="str">
        <f>IFERROR(VLOOKUP(Orders!C1479,Customers!$A$2:$E$301,5,FALSE),"Unknown")</f>
        <v>Corporate</v>
      </c>
      <c r="G1479">
        <f>IFERROR(VLOOKUP(Orders!C1479,Customers!$A$2:$C$301,3,FALSE),"")</f>
        <v>35</v>
      </c>
      <c r="H1479" t="str">
        <f>VLOOKUP(D1479,Sales_Reps!$A$2:$C$31,3,FALSE)</f>
        <v>West</v>
      </c>
      <c r="I1479" s="44">
        <f t="shared" si="49"/>
        <v>45323</v>
      </c>
      <c r="L1479" t="str">
        <f>Orders!K1479</f>
        <v>Chennai</v>
      </c>
      <c r="M1479">
        <f>Orders!G1479</f>
        <v>5490</v>
      </c>
      <c r="N1479">
        <f>IFERROR(VLOOKUP(Orders!D1479,Products!$A$2:$D$61,4,FALSE),"")</f>
        <v>2549</v>
      </c>
      <c r="O1479">
        <f t="shared" si="50"/>
        <v>0.53570127504553733</v>
      </c>
      <c r="Q1479" t="str">
        <f>Orders!D1479</f>
        <v>PROD-038</v>
      </c>
    </row>
    <row r="1480" spans="1:17" x14ac:dyDescent="0.3">
      <c r="A1480" t="str">
        <f>Orders!A1480</f>
        <v>ORD-01479</v>
      </c>
      <c r="B1480">
        <f>Orders!B1480</f>
        <v>45516</v>
      </c>
      <c r="C1480">
        <f>Orders!I1480</f>
        <v>9184.56</v>
      </c>
      <c r="D1480" t="str">
        <f>Orders!E1480</f>
        <v>R016</v>
      </c>
      <c r="E1480" t="str">
        <f>IFERROR(VLOOKUP(Orders!D1480,Products!$A$2:$C$61,3,FALSE),"Unknown")</f>
        <v>Beauty</v>
      </c>
      <c r="F1480" t="str">
        <f>IFERROR(VLOOKUP(Orders!C1480,Customers!$A$2:$E$301,5,FALSE),"Unknown")</f>
        <v>Retail</v>
      </c>
      <c r="G1480">
        <f>IFERROR(VLOOKUP(Orders!C1480,Customers!$A$2:$C$301,3,FALSE),"")</f>
        <v>42</v>
      </c>
      <c r="H1480" t="str">
        <f>VLOOKUP(D1480,Sales_Reps!$A$2:$C$31,3,FALSE)</f>
        <v>South</v>
      </c>
      <c r="I1480" s="44">
        <f t="shared" si="49"/>
        <v>45505</v>
      </c>
      <c r="L1480" t="str">
        <f>Orders!K1480</f>
        <v>Pune</v>
      </c>
      <c r="M1480">
        <f>Orders!G1480</f>
        <v>1540</v>
      </c>
      <c r="N1480">
        <f>IFERROR(VLOOKUP(Orders!D1480,Products!$A$2:$D$61,4,FALSE),"")</f>
        <v>647</v>
      </c>
      <c r="O1480">
        <f t="shared" si="50"/>
        <v>0.57987012987012987</v>
      </c>
      <c r="Q1480" t="str">
        <f>Orders!D1480</f>
        <v>PROD-041</v>
      </c>
    </row>
    <row r="1481" spans="1:17" x14ac:dyDescent="0.3">
      <c r="A1481" t="str">
        <f>Orders!A1481</f>
        <v>ORD-01480</v>
      </c>
      <c r="B1481">
        <f>Orders!B1481</f>
        <v>45343</v>
      </c>
      <c r="C1481">
        <f>Orders!I1481</f>
        <v>15830.1</v>
      </c>
      <c r="D1481" t="str">
        <f>Orders!E1481</f>
        <v>R001</v>
      </c>
      <c r="E1481" t="str">
        <f>IFERROR(VLOOKUP(Orders!D1481,Products!$A$2:$C$61,3,FALSE),"Unknown")</f>
        <v>Electronics</v>
      </c>
      <c r="F1481" t="str">
        <f>IFERROR(VLOOKUP(Orders!C1481,Customers!$A$2:$E$301,5,FALSE),"Unknown")</f>
        <v>Retail</v>
      </c>
      <c r="G1481">
        <f>IFERROR(VLOOKUP(Orders!C1481,Customers!$A$2:$C$301,3,FALSE),"")</f>
        <v>31</v>
      </c>
      <c r="H1481" t="str">
        <f>VLOOKUP(D1481,Sales_Reps!$A$2:$C$31,3,FALSE)</f>
        <v>North</v>
      </c>
      <c r="I1481" s="44">
        <f t="shared" si="49"/>
        <v>45323</v>
      </c>
      <c r="L1481" t="str">
        <f>Orders!K1481</f>
        <v>Hyderabad</v>
      </c>
      <c r="M1481">
        <f>Orders!G1481</f>
        <v>5330</v>
      </c>
      <c r="N1481">
        <f>IFERROR(VLOOKUP(Orders!D1481,Products!$A$2:$D$61,4,FALSE),"")</f>
        <v>2405</v>
      </c>
      <c r="O1481">
        <f t="shared" si="50"/>
        <v>0.54878048780487809</v>
      </c>
      <c r="Q1481" t="str">
        <f>Orders!D1481</f>
        <v>PROD-001</v>
      </c>
    </row>
    <row r="1482" spans="1:17" x14ac:dyDescent="0.3">
      <c r="A1482" t="str">
        <f>Orders!A1482</f>
        <v>ORD-01481</v>
      </c>
      <c r="B1482">
        <f>Orders!B1482</f>
        <v>45522</v>
      </c>
      <c r="C1482">
        <f>Orders!I1482</f>
        <v>14877.72</v>
      </c>
      <c r="D1482" t="str">
        <f>Orders!E1482</f>
        <v>R012</v>
      </c>
      <c r="E1482" t="str">
        <f>IFERROR(VLOOKUP(Orders!D1482,Products!$A$2:$C$61,3,FALSE),"Unknown")</f>
        <v>Sports</v>
      </c>
      <c r="F1482" t="str">
        <f>IFERROR(VLOOKUP(Orders!C1482,Customers!$A$2:$E$301,5,FALSE),"Unknown")</f>
        <v>Corporate</v>
      </c>
      <c r="G1482">
        <f>IFERROR(VLOOKUP(Orders!C1482,Customers!$A$2:$C$301,3,FALSE),"")</f>
        <v>60</v>
      </c>
      <c r="H1482" t="str">
        <f>VLOOKUP(D1482,Sales_Reps!$A$2:$C$31,3,FALSE)</f>
        <v>South</v>
      </c>
      <c r="I1482" s="44">
        <f t="shared" si="49"/>
        <v>45505</v>
      </c>
      <c r="L1482" t="str">
        <f>Orders!K1482</f>
        <v>Hyderabad</v>
      </c>
      <c r="M1482">
        <f>Orders!G1482</f>
        <v>2860</v>
      </c>
      <c r="N1482">
        <f>IFERROR(VLOOKUP(Orders!D1482,Products!$A$2:$D$61,4,FALSE),"")</f>
        <v>2028</v>
      </c>
      <c r="O1482">
        <f t="shared" si="50"/>
        <v>0.29090909090909089</v>
      </c>
      <c r="Q1482" t="str">
        <f>Orders!D1482</f>
        <v>PROD-055</v>
      </c>
    </row>
    <row r="1483" spans="1:17" x14ac:dyDescent="0.3">
      <c r="A1483" t="str">
        <f>Orders!A1483</f>
        <v>ORD-01482</v>
      </c>
      <c r="B1483">
        <f>Orders!B1483</f>
        <v>45305</v>
      </c>
      <c r="C1483">
        <f>Orders!I1483</f>
        <v>12868.56</v>
      </c>
      <c r="D1483" t="str">
        <f>Orders!E1483</f>
        <v>R006</v>
      </c>
      <c r="E1483" t="str">
        <f>IFERROR(VLOOKUP(Orders!D1483,Products!$A$2:$C$61,3,FALSE),"Unknown")</f>
        <v>Beauty</v>
      </c>
      <c r="F1483" t="str">
        <f>IFERROR(VLOOKUP(Orders!C1483,Customers!$A$2:$E$301,5,FALSE),"Unknown")</f>
        <v>Retail</v>
      </c>
      <c r="G1483">
        <f>IFERROR(VLOOKUP(Orders!C1483,Customers!$A$2:$C$301,3,FALSE),"")</f>
        <v>52</v>
      </c>
      <c r="H1483" t="str">
        <f>VLOOKUP(D1483,Sales_Reps!$A$2:$C$31,3,FALSE)</f>
        <v>North</v>
      </c>
      <c r="I1483" s="44">
        <f t="shared" si="49"/>
        <v>45292</v>
      </c>
      <c r="L1483" t="str">
        <f>Orders!K1483</f>
        <v>Mumbai</v>
      </c>
      <c r="M1483">
        <f>Orders!G1483</f>
        <v>4880</v>
      </c>
      <c r="N1483">
        <f>IFERROR(VLOOKUP(Orders!D1483,Products!$A$2:$D$61,4,FALSE),"")</f>
        <v>2768</v>
      </c>
      <c r="O1483">
        <f t="shared" si="50"/>
        <v>0.43278688524590164</v>
      </c>
      <c r="Q1483" t="str">
        <f>Orders!D1483</f>
        <v>PROD-046</v>
      </c>
    </row>
    <row r="1484" spans="1:17" x14ac:dyDescent="0.3">
      <c r="A1484" t="str">
        <f>Orders!A1484</f>
        <v>ORD-01483</v>
      </c>
      <c r="B1484">
        <f>Orders!B1484</f>
        <v>45353</v>
      </c>
      <c r="C1484">
        <f>Orders!I1484</f>
        <v>12186.05</v>
      </c>
      <c r="D1484" t="str">
        <f>Orders!E1484</f>
        <v>R005</v>
      </c>
      <c r="E1484" t="str">
        <f>IFERROR(VLOOKUP(Orders!D1484,Products!$A$2:$C$61,3,FALSE),"Unknown")</f>
        <v>Apparel</v>
      </c>
      <c r="F1484" t="str">
        <f>IFERROR(VLOOKUP(Orders!C1484,Customers!$A$2:$E$301,5,FALSE),"Unknown")</f>
        <v>SMB</v>
      </c>
      <c r="G1484">
        <f>IFERROR(VLOOKUP(Orders!C1484,Customers!$A$2:$C$301,3,FALSE),"")</f>
        <v>59</v>
      </c>
      <c r="H1484" t="str">
        <f>VLOOKUP(D1484,Sales_Reps!$A$2:$C$31,3,FALSE)</f>
        <v>North</v>
      </c>
      <c r="I1484" s="44">
        <f t="shared" si="49"/>
        <v>45352</v>
      </c>
      <c r="L1484" t="str">
        <f>Orders!K1484</f>
        <v>Delhi</v>
      </c>
      <c r="M1484">
        <f>Orders!G1484</f>
        <v>2510</v>
      </c>
      <c r="N1484">
        <f>IFERROR(VLOOKUP(Orders!D1484,Products!$A$2:$D$61,4,FALSE),"")</f>
        <v>1075</v>
      </c>
      <c r="O1484">
        <f t="shared" si="50"/>
        <v>0.57171314741035861</v>
      </c>
      <c r="Q1484" t="str">
        <f>Orders!D1484</f>
        <v>PROD-017</v>
      </c>
    </row>
    <row r="1485" spans="1:17" x14ac:dyDescent="0.3">
      <c r="A1485" t="str">
        <f>Orders!A1485</f>
        <v>ORD-01484</v>
      </c>
      <c r="B1485">
        <f>Orders!B1485</f>
        <v>45525</v>
      </c>
      <c r="C1485">
        <f>Orders!I1485</f>
        <v>25725.599999999999</v>
      </c>
      <c r="D1485" t="str">
        <f>Orders!E1485</f>
        <v>R020</v>
      </c>
      <c r="E1485" t="str">
        <f>IFERROR(VLOOKUP(Orders!D1485,Products!$A$2:$C$61,3,FALSE),"Unknown")</f>
        <v>Electronics</v>
      </c>
      <c r="F1485" t="str">
        <f>IFERROR(VLOOKUP(Orders!C1485,Customers!$A$2:$E$301,5,FALSE),"Unknown")</f>
        <v>Unknown</v>
      </c>
      <c r="G1485" t="str">
        <f>IFERROR(VLOOKUP(Orders!C1485,Customers!$A$2:$C$301,3,FALSE),"")</f>
        <v/>
      </c>
      <c r="H1485" t="str">
        <f>VLOOKUP(D1485,Sales_Reps!$A$2:$C$31,3,FALSE)</f>
        <v>East</v>
      </c>
      <c r="I1485" s="44">
        <f t="shared" si="49"/>
        <v>45505</v>
      </c>
      <c r="L1485" t="str">
        <f>Orders!K1485</f>
        <v>Pune</v>
      </c>
      <c r="M1485">
        <f>Orders!G1485</f>
        <v>3970</v>
      </c>
      <c r="N1485">
        <f>IFERROR(VLOOKUP(Orders!D1485,Products!$A$2:$D$61,4,FALSE),"")</f>
        <v>2865</v>
      </c>
      <c r="O1485">
        <f t="shared" si="50"/>
        <v>0.27833753148614609</v>
      </c>
      <c r="Q1485" t="str">
        <f>Orders!D1485</f>
        <v>PROD-006</v>
      </c>
    </row>
    <row r="1486" spans="1:17" x14ac:dyDescent="0.3">
      <c r="A1486" t="str">
        <f>Orders!A1486</f>
        <v>ORD-01485</v>
      </c>
      <c r="B1486">
        <f>Orders!B1486</f>
        <v>45593</v>
      </c>
      <c r="C1486">
        <f>Orders!I1486</f>
        <v>1520.92</v>
      </c>
      <c r="D1486" t="str">
        <f>Orders!E1486</f>
        <v>R027</v>
      </c>
      <c r="E1486" t="str">
        <f>IFERROR(VLOOKUP(Orders!D1486,Products!$A$2:$C$61,3,FALSE),"Unknown")</f>
        <v>Sports</v>
      </c>
      <c r="F1486" t="str">
        <f>IFERROR(VLOOKUP(Orders!C1486,Customers!$A$2:$E$301,5,FALSE),"Unknown")</f>
        <v>Retail</v>
      </c>
      <c r="G1486">
        <f>IFERROR(VLOOKUP(Orders!C1486,Customers!$A$2:$C$301,3,FALSE),"")</f>
        <v>44</v>
      </c>
      <c r="H1486" t="str">
        <f>VLOOKUP(D1486,Sales_Reps!$A$2:$C$31,3,FALSE)</f>
        <v>West</v>
      </c>
      <c r="I1486" s="44">
        <f t="shared" si="49"/>
        <v>45566</v>
      </c>
      <c r="L1486" t="str">
        <f>Orders!K1486</f>
        <v>Mumbai</v>
      </c>
      <c r="M1486">
        <f>Orders!G1486</f>
        <v>470</v>
      </c>
      <c r="N1486">
        <f>IFERROR(VLOOKUP(Orders!D1486,Products!$A$2:$D$61,4,FALSE),"")</f>
        <v>302</v>
      </c>
      <c r="O1486">
        <f t="shared" si="50"/>
        <v>0.35744680851063831</v>
      </c>
      <c r="Q1486" t="str">
        <f>Orders!D1486</f>
        <v>PROD-053</v>
      </c>
    </row>
    <row r="1487" spans="1:17" x14ac:dyDescent="0.3">
      <c r="A1487" t="str">
        <f>Orders!A1487</f>
        <v>ORD-01486</v>
      </c>
      <c r="B1487">
        <f>Orders!B1487</f>
        <v>45550</v>
      </c>
      <c r="C1487">
        <f>Orders!I1487</f>
        <v>30892.68</v>
      </c>
      <c r="D1487" t="str">
        <f>Orders!E1487</f>
        <v>R025</v>
      </c>
      <c r="E1487" t="str">
        <f>IFERROR(VLOOKUP(Orders!D1487,Products!$A$2:$C$61,3,FALSE),"Unknown")</f>
        <v>Electronics</v>
      </c>
      <c r="F1487" t="str">
        <f>IFERROR(VLOOKUP(Orders!C1487,Customers!$A$2:$E$301,5,FALSE),"Unknown")</f>
        <v>Retail</v>
      </c>
      <c r="G1487">
        <f>IFERROR(VLOOKUP(Orders!C1487,Customers!$A$2:$C$301,3,FALSE),"")</f>
        <v>29</v>
      </c>
      <c r="H1487" t="str">
        <f>VLOOKUP(D1487,Sales_Reps!$A$2:$C$31,3,FALSE)</f>
        <v>West</v>
      </c>
      <c r="I1487" s="44">
        <f t="shared" si="49"/>
        <v>45536</v>
      </c>
      <c r="L1487" t="str">
        <f>Orders!K1487</f>
        <v>Hyderabad</v>
      </c>
      <c r="M1487">
        <f>Orders!G1487</f>
        <v>5330</v>
      </c>
      <c r="N1487">
        <f>IFERROR(VLOOKUP(Orders!D1487,Products!$A$2:$D$61,4,FALSE),"")</f>
        <v>2405</v>
      </c>
      <c r="O1487">
        <f t="shared" si="50"/>
        <v>0.54878048780487809</v>
      </c>
      <c r="Q1487" t="str">
        <f>Orders!D1487</f>
        <v>PROD-001</v>
      </c>
    </row>
    <row r="1488" spans="1:17" x14ac:dyDescent="0.3">
      <c r="A1488" t="str">
        <f>Orders!A1488</f>
        <v>ORD-01487</v>
      </c>
      <c r="B1488">
        <f>Orders!B1488</f>
        <v>45511</v>
      </c>
      <c r="C1488">
        <f>Orders!I1488</f>
        <v>4146.3599999999997</v>
      </c>
      <c r="D1488" t="str">
        <f>Orders!E1488</f>
        <v>R012</v>
      </c>
      <c r="E1488" t="str">
        <f>IFERROR(VLOOKUP(Orders!D1488,Products!$A$2:$C$61,3,FALSE),"Unknown")</f>
        <v>Home</v>
      </c>
      <c r="F1488" t="str">
        <f>IFERROR(VLOOKUP(Orders!C1488,Customers!$A$2:$E$301,5,FALSE),"Unknown")</f>
        <v>SMB</v>
      </c>
      <c r="G1488">
        <f>IFERROR(VLOOKUP(Orders!C1488,Customers!$A$2:$C$301,3,FALSE),"")</f>
        <v>46</v>
      </c>
      <c r="H1488" t="str">
        <f>VLOOKUP(D1488,Sales_Reps!$A$2:$C$31,3,FALSE)</f>
        <v>South</v>
      </c>
      <c r="I1488" s="44">
        <f t="shared" si="49"/>
        <v>45505</v>
      </c>
      <c r="L1488" t="str">
        <f>Orders!K1488</f>
        <v>Bengaluru</v>
      </c>
      <c r="M1488">
        <f>Orders!G1488</f>
        <v>1090</v>
      </c>
      <c r="N1488">
        <f>IFERROR(VLOOKUP(Orders!D1488,Products!$A$2:$D$61,4,FALSE),"")</f>
        <v>464</v>
      </c>
      <c r="O1488">
        <f t="shared" si="50"/>
        <v>0.57431192660550456</v>
      </c>
      <c r="Q1488" t="str">
        <f>Orders!D1488</f>
        <v>PROD-035</v>
      </c>
    </row>
    <row r="1489" spans="1:17" x14ac:dyDescent="0.3">
      <c r="A1489" t="str">
        <f>Orders!A1489</f>
        <v>ORD-01488</v>
      </c>
      <c r="B1489">
        <f>Orders!B1489</f>
        <v>45456</v>
      </c>
      <c r="C1489">
        <f>Orders!I1489</f>
        <v>1737.2</v>
      </c>
      <c r="D1489" t="str">
        <f>Orders!E1489</f>
        <v>R009</v>
      </c>
      <c r="E1489" t="str">
        <f>IFERROR(VLOOKUP(Orders!D1489,Products!$A$2:$C$61,3,FALSE),"Unknown")</f>
        <v>Sports</v>
      </c>
      <c r="F1489" t="str">
        <f>IFERROR(VLOOKUP(Orders!C1489,Customers!$A$2:$E$301,5,FALSE),"Unknown")</f>
        <v>SMB</v>
      </c>
      <c r="G1489">
        <f>IFERROR(VLOOKUP(Orders!C1489,Customers!$A$2:$C$301,3,FALSE),"")</f>
        <v>30</v>
      </c>
      <c r="H1489" t="str">
        <f>VLOOKUP(D1489,Sales_Reps!$A$2:$C$31,3,FALSE)</f>
        <v>South</v>
      </c>
      <c r="I1489" s="44">
        <f t="shared" si="49"/>
        <v>45444</v>
      </c>
      <c r="L1489" t="str">
        <f>Orders!K1489</f>
        <v>Pune</v>
      </c>
      <c r="M1489">
        <f>Orders!G1489</f>
        <v>1010</v>
      </c>
      <c r="N1489">
        <f>IFERROR(VLOOKUP(Orders!D1489,Products!$A$2:$D$61,4,FALSE),"")</f>
        <v>516</v>
      </c>
      <c r="O1489">
        <f t="shared" si="50"/>
        <v>0.4891089108910891</v>
      </c>
      <c r="Q1489" t="str">
        <f>Orders!D1489</f>
        <v>PROD-054</v>
      </c>
    </row>
    <row r="1490" spans="1:17" x14ac:dyDescent="0.3">
      <c r="A1490" t="str">
        <f>Orders!A1490</f>
        <v>ORD-01489</v>
      </c>
      <c r="B1490">
        <f>Orders!B1490</f>
        <v>45343</v>
      </c>
      <c r="C1490">
        <f>Orders!I1490</f>
        <v>31973.94</v>
      </c>
      <c r="D1490" t="str">
        <f>Orders!E1490</f>
        <v>R016</v>
      </c>
      <c r="E1490" t="str">
        <f>IFERROR(VLOOKUP(Orders!D1490,Products!$A$2:$C$61,3,FALSE),"Unknown")</f>
        <v>Electronics</v>
      </c>
      <c r="F1490" t="str">
        <f>IFERROR(VLOOKUP(Orders!C1490,Customers!$A$2:$E$301,5,FALSE),"Unknown")</f>
        <v>Corporate</v>
      </c>
      <c r="G1490">
        <f>IFERROR(VLOOKUP(Orders!C1490,Customers!$A$2:$C$301,3,FALSE),"")</f>
        <v>40</v>
      </c>
      <c r="H1490" t="str">
        <f>VLOOKUP(D1490,Sales_Reps!$A$2:$C$31,3,FALSE)</f>
        <v>South</v>
      </c>
      <c r="I1490" s="44">
        <f t="shared" si="49"/>
        <v>45323</v>
      </c>
      <c r="L1490" t="str">
        <f>Orders!K1490</f>
        <v>pune</v>
      </c>
      <c r="M1490">
        <f>Orders!G1490</f>
        <v>3870</v>
      </c>
      <c r="N1490">
        <f>IFERROR(VLOOKUP(Orders!D1490,Products!$A$2:$D$61,4,FALSE),"")</f>
        <v>1559</v>
      </c>
      <c r="O1490">
        <f t="shared" si="50"/>
        <v>0.59715762273901807</v>
      </c>
      <c r="Q1490" t="str">
        <f>Orders!D1490</f>
        <v>PROD-004</v>
      </c>
    </row>
    <row r="1491" spans="1:17" x14ac:dyDescent="0.3">
      <c r="A1491" t="str">
        <f>Orders!A1491</f>
        <v>ORD-01490</v>
      </c>
      <c r="B1491">
        <f>Orders!B1491</f>
        <v>45491</v>
      </c>
      <c r="C1491">
        <f>Orders!I1491</f>
        <v>15659.42</v>
      </c>
      <c r="D1491" t="str">
        <f>Orders!E1491</f>
        <v>R013</v>
      </c>
      <c r="E1491" t="str">
        <f>IFERROR(VLOOKUP(Orders!D1491,Products!$A$2:$C$61,3,FALSE),"Unknown")</f>
        <v>Electronics</v>
      </c>
      <c r="F1491" t="str">
        <f>IFERROR(VLOOKUP(Orders!C1491,Customers!$A$2:$E$301,5,FALSE),"Unknown")</f>
        <v>Retail</v>
      </c>
      <c r="G1491">
        <f>IFERROR(VLOOKUP(Orders!C1491,Customers!$A$2:$C$301,3,FALSE),"")</f>
        <v>41</v>
      </c>
      <c r="H1491" t="str">
        <f>VLOOKUP(D1491,Sales_Reps!$A$2:$C$31,3,FALSE)</f>
        <v>South</v>
      </c>
      <c r="I1491" s="44">
        <f t="shared" si="49"/>
        <v>45474</v>
      </c>
      <c r="L1491" t="str">
        <f>Orders!K1491</f>
        <v>Hyderabad</v>
      </c>
      <c r="M1491">
        <f>Orders!G1491</f>
        <v>2660</v>
      </c>
      <c r="N1491">
        <f>IFERROR(VLOOKUP(Orders!D1491,Products!$A$2:$D$61,4,FALSE),"")</f>
        <v>1259</v>
      </c>
      <c r="O1491">
        <f t="shared" si="50"/>
        <v>0.52669172932330832</v>
      </c>
      <c r="Q1491" t="str">
        <f>Orders!D1491</f>
        <v>PROD-008</v>
      </c>
    </row>
    <row r="1492" spans="1:17" x14ac:dyDescent="0.3">
      <c r="A1492" t="str">
        <f>Orders!A1492</f>
        <v>ORD-01491</v>
      </c>
      <c r="B1492">
        <f>Orders!B1492</f>
        <v>45619</v>
      </c>
      <c r="C1492">
        <f>Orders!I1492</f>
        <v>4255.68</v>
      </c>
      <c r="D1492" t="str">
        <f>Orders!E1492</f>
        <v>R019</v>
      </c>
      <c r="E1492" t="str">
        <f>IFERROR(VLOOKUP(Orders!D1492,Products!$A$2:$C$61,3,FALSE),"Unknown")</f>
        <v>Electronics</v>
      </c>
      <c r="F1492" t="str">
        <f>IFERROR(VLOOKUP(Orders!C1492,Customers!$A$2:$E$301,5,FALSE),"Unknown")</f>
        <v>Corporate</v>
      </c>
      <c r="G1492">
        <f>IFERROR(VLOOKUP(Orders!C1492,Customers!$A$2:$C$301,3,FALSE),"")</f>
        <v>55</v>
      </c>
      <c r="H1492" t="str">
        <f>VLOOKUP(D1492,Sales_Reps!$A$2:$C$31,3,FALSE)</f>
        <v>East</v>
      </c>
      <c r="I1492" s="44">
        <f t="shared" si="49"/>
        <v>45597</v>
      </c>
      <c r="L1492" t="str">
        <f>Orders!K1492</f>
        <v>Mumbai</v>
      </c>
      <c r="M1492">
        <f>Orders!G1492</f>
        <v>1430</v>
      </c>
      <c r="N1492">
        <f>IFERROR(VLOOKUP(Orders!D1492,Products!$A$2:$D$61,4,FALSE),"")</f>
        <v>861</v>
      </c>
      <c r="O1492">
        <f t="shared" si="50"/>
        <v>0.39790209790209791</v>
      </c>
      <c r="Q1492" t="str">
        <f>Orders!D1492</f>
        <v>PROD-007</v>
      </c>
    </row>
    <row r="1493" spans="1:17" x14ac:dyDescent="0.3">
      <c r="A1493" t="str">
        <f>Orders!A1493</f>
        <v>ORD-01492</v>
      </c>
      <c r="B1493">
        <f>Orders!B1493</f>
        <v>45374</v>
      </c>
      <c r="C1493">
        <f>Orders!I1493</f>
        <v>15733.12</v>
      </c>
      <c r="D1493" t="str">
        <f>Orders!E1493</f>
        <v>R023</v>
      </c>
      <c r="E1493" t="str">
        <f>IFERROR(VLOOKUP(Orders!D1493,Products!$A$2:$C$61,3,FALSE),"Unknown")</f>
        <v>Beauty</v>
      </c>
      <c r="F1493" t="str">
        <f>IFERROR(VLOOKUP(Orders!C1493,Customers!$A$2:$E$301,5,FALSE),"Unknown")</f>
        <v>Corporate</v>
      </c>
      <c r="G1493">
        <f>IFERROR(VLOOKUP(Orders!C1493,Customers!$A$2:$C$301,3,FALSE),"")</f>
        <v>36</v>
      </c>
      <c r="H1493" t="str">
        <f>VLOOKUP(D1493,Sales_Reps!$A$2:$C$31,3,FALSE)</f>
        <v>East</v>
      </c>
      <c r="I1493" s="44">
        <f t="shared" si="49"/>
        <v>45352</v>
      </c>
      <c r="L1493" t="str">
        <f>Orders!K1493</f>
        <v>Bengaluru</v>
      </c>
      <c r="M1493">
        <f>Orders!G1493</f>
        <v>4880</v>
      </c>
      <c r="N1493">
        <f>IFERROR(VLOOKUP(Orders!D1493,Products!$A$2:$D$61,4,FALSE),"")</f>
        <v>2768</v>
      </c>
      <c r="O1493">
        <f t="shared" si="50"/>
        <v>0.43278688524590164</v>
      </c>
      <c r="Q1493" t="str">
        <f>Orders!D1493</f>
        <v>PROD-046</v>
      </c>
    </row>
    <row r="1494" spans="1:17" x14ac:dyDescent="0.3">
      <c r="A1494" t="str">
        <f>Orders!A1494</f>
        <v>ORD-01493</v>
      </c>
      <c r="B1494">
        <f>Orders!B1494</f>
        <v>45566</v>
      </c>
      <c r="C1494">
        <f>Orders!I1494</f>
        <v>345.8</v>
      </c>
      <c r="D1494" t="str">
        <f>Orders!E1494</f>
        <v>R001</v>
      </c>
      <c r="E1494" t="str">
        <f>IFERROR(VLOOKUP(Orders!D1494,Products!$A$2:$C$61,3,FALSE),"Unknown")</f>
        <v>Sports</v>
      </c>
      <c r="F1494" t="str">
        <f>IFERROR(VLOOKUP(Orders!C1494,Customers!$A$2:$E$301,5,FALSE),"Unknown")</f>
        <v>Retail</v>
      </c>
      <c r="G1494">
        <f>IFERROR(VLOOKUP(Orders!C1494,Customers!$A$2:$C$301,3,FALSE),"")</f>
        <v>55</v>
      </c>
      <c r="H1494" t="str">
        <f>VLOOKUP(D1494,Sales_Reps!$A$2:$C$31,3,FALSE)</f>
        <v>North</v>
      </c>
      <c r="I1494" s="44">
        <f t="shared" si="49"/>
        <v>45566</v>
      </c>
      <c r="L1494" t="str">
        <f>Orders!K1494</f>
        <v>Bengaluru</v>
      </c>
      <c r="M1494">
        <f>Orders!G1494</f>
        <v>190</v>
      </c>
      <c r="N1494">
        <f>IFERROR(VLOOKUP(Orders!D1494,Products!$A$2:$D$61,4,FALSE),"")</f>
        <v>147</v>
      </c>
      <c r="O1494">
        <f t="shared" si="50"/>
        <v>0.22631578947368422</v>
      </c>
      <c r="Q1494" t="str">
        <f>Orders!D1494</f>
        <v>PROD-060</v>
      </c>
    </row>
    <row r="1495" spans="1:17" x14ac:dyDescent="0.3">
      <c r="A1495" t="str">
        <f>Orders!A1495</f>
        <v>ORD-01494</v>
      </c>
      <c r="B1495">
        <f>Orders!B1495</f>
        <v>45415</v>
      </c>
      <c r="C1495">
        <f>Orders!I1495</f>
        <v>2911.28</v>
      </c>
      <c r="D1495" t="str">
        <f>Orders!E1495</f>
        <v>R019</v>
      </c>
      <c r="E1495" t="str">
        <f>IFERROR(VLOOKUP(Orders!D1495,Products!$A$2:$C$61,3,FALSE),"Unknown")</f>
        <v>Beauty</v>
      </c>
      <c r="F1495" t="str">
        <f>IFERROR(VLOOKUP(Orders!C1495,Customers!$A$2:$E$301,5,FALSE),"Unknown")</f>
        <v>Corporate</v>
      </c>
      <c r="G1495">
        <f>IFERROR(VLOOKUP(Orders!C1495,Customers!$A$2:$C$301,3,FALSE),"")</f>
        <v>31</v>
      </c>
      <c r="H1495" t="str">
        <f>VLOOKUP(D1495,Sales_Reps!$A$2:$C$31,3,FALSE)</f>
        <v>East</v>
      </c>
      <c r="I1495" s="44">
        <f t="shared" si="49"/>
        <v>45413</v>
      </c>
      <c r="L1495" t="str">
        <f>Orders!K1495</f>
        <v>Delhi</v>
      </c>
      <c r="M1495">
        <f>Orders!G1495</f>
        <v>3020</v>
      </c>
      <c r="N1495">
        <f>IFERROR(VLOOKUP(Orders!D1495,Products!$A$2:$D$61,4,FALSE),"")</f>
        <v>1626</v>
      </c>
      <c r="O1495">
        <f t="shared" si="50"/>
        <v>0.46158940397350995</v>
      </c>
      <c r="Q1495" t="str">
        <f>Orders!D1495</f>
        <v>PROD-045</v>
      </c>
    </row>
    <row r="1496" spans="1:17" x14ac:dyDescent="0.3">
      <c r="A1496" t="str">
        <f>Orders!A1496</f>
        <v>ORD-01495</v>
      </c>
      <c r="B1496">
        <f>Orders!B1496</f>
        <v>45601</v>
      </c>
      <c r="C1496">
        <f>Orders!I1496</f>
        <v>9564.7999999999993</v>
      </c>
      <c r="D1496" t="str">
        <f>Orders!E1496</f>
        <v>R019</v>
      </c>
      <c r="E1496" t="str">
        <f>IFERROR(VLOOKUP(Orders!D1496,Products!$A$2:$C$61,3,FALSE),"Unknown")</f>
        <v>Beauty</v>
      </c>
      <c r="F1496" t="str">
        <f>IFERROR(VLOOKUP(Orders!C1496,Customers!$A$2:$E$301,5,FALSE),"Unknown")</f>
        <v>Corporate</v>
      </c>
      <c r="G1496">
        <f>IFERROR(VLOOKUP(Orders!C1496,Customers!$A$2:$C$301,3,FALSE),"")</f>
        <v>57</v>
      </c>
      <c r="H1496" t="str">
        <f>VLOOKUP(D1496,Sales_Reps!$A$2:$C$31,3,FALSE)</f>
        <v>East</v>
      </c>
      <c r="I1496" s="44">
        <f t="shared" si="49"/>
        <v>45597</v>
      </c>
      <c r="L1496" t="str">
        <f>Orders!K1496</f>
        <v>Bengaluru</v>
      </c>
      <c r="M1496">
        <f>Orders!G1496</f>
        <v>4880</v>
      </c>
      <c r="N1496">
        <f>IFERROR(VLOOKUP(Orders!D1496,Products!$A$2:$D$61,4,FALSE),"")</f>
        <v>2768</v>
      </c>
      <c r="O1496">
        <f t="shared" si="50"/>
        <v>0.43278688524590164</v>
      </c>
      <c r="Q1496" t="str">
        <f>Orders!D1496</f>
        <v>PROD-046</v>
      </c>
    </row>
    <row r="1497" spans="1:17" x14ac:dyDescent="0.3">
      <c r="A1497" t="str">
        <f>Orders!A1497</f>
        <v>ORD-01496</v>
      </c>
      <c r="B1497">
        <f>Orders!B1497</f>
        <v>45319</v>
      </c>
      <c r="C1497">
        <f>Orders!I1497</f>
        <v>8496</v>
      </c>
      <c r="D1497" t="str">
        <f>Orders!E1497</f>
        <v>R027</v>
      </c>
      <c r="E1497" t="str">
        <f>IFERROR(VLOOKUP(Orders!D1497,Products!$A$2:$C$61,3,FALSE),"Unknown")</f>
        <v>Sports</v>
      </c>
      <c r="F1497" t="str">
        <f>IFERROR(VLOOKUP(Orders!C1497,Customers!$A$2:$E$301,5,FALSE),"Unknown")</f>
        <v>Corporate</v>
      </c>
      <c r="G1497">
        <f>IFERROR(VLOOKUP(Orders!C1497,Customers!$A$2:$C$301,3,FALSE),"")</f>
        <v>41</v>
      </c>
      <c r="H1497" t="str">
        <f>VLOOKUP(D1497,Sales_Reps!$A$2:$C$31,3,FALSE)</f>
        <v>West</v>
      </c>
      <c r="I1497" s="44">
        <f t="shared" si="49"/>
        <v>45292</v>
      </c>
      <c r="L1497" t="str">
        <f>Orders!K1497</f>
        <v>Bengaluru</v>
      </c>
      <c r="M1497">
        <f>Orders!G1497</f>
        <v>2400</v>
      </c>
      <c r="N1497">
        <f>IFERROR(VLOOKUP(Orders!D1497,Products!$A$2:$D$61,4,FALSE),"")</f>
        <v>974</v>
      </c>
      <c r="O1497">
        <f t="shared" si="50"/>
        <v>0.59416666666666662</v>
      </c>
      <c r="Q1497" t="str">
        <f>Orders!D1497</f>
        <v>PROD-058</v>
      </c>
    </row>
    <row r="1498" spans="1:17" x14ac:dyDescent="0.3">
      <c r="A1498" t="str">
        <f>Orders!A1498</f>
        <v>ORD-01497</v>
      </c>
      <c r="B1498">
        <f>Orders!B1498</f>
        <v>45357</v>
      </c>
      <c r="C1498">
        <f>Orders!I1498</f>
        <v>12099.2</v>
      </c>
      <c r="D1498" t="str">
        <f>Orders!E1498</f>
        <v>R002</v>
      </c>
      <c r="E1498" t="str">
        <f>IFERROR(VLOOKUP(Orders!D1498,Products!$A$2:$C$61,3,FALSE),"Unknown")</f>
        <v>Beauty</v>
      </c>
      <c r="F1498" t="str">
        <f>IFERROR(VLOOKUP(Orders!C1498,Customers!$A$2:$E$301,5,FALSE),"Unknown")</f>
        <v>Retail</v>
      </c>
      <c r="G1498">
        <f>IFERROR(VLOOKUP(Orders!C1498,Customers!$A$2:$C$301,3,FALSE),"")</f>
        <v>65</v>
      </c>
      <c r="H1498" t="str">
        <f>VLOOKUP(D1498,Sales_Reps!$A$2:$C$31,3,FALSE)</f>
        <v>North</v>
      </c>
      <c r="I1498" s="44">
        <f t="shared" si="49"/>
        <v>45352</v>
      </c>
      <c r="L1498" t="str">
        <f>Orders!K1498</f>
        <v>Mumbai</v>
      </c>
      <c r="M1498">
        <f>Orders!G1498</f>
        <v>6080</v>
      </c>
      <c r="N1498">
        <f>IFERROR(VLOOKUP(Orders!D1498,Products!$A$2:$D$61,4,FALSE),"")</f>
        <v>2617</v>
      </c>
      <c r="O1498">
        <f t="shared" si="50"/>
        <v>0.56957236842105263</v>
      </c>
      <c r="Q1498" t="str">
        <f>Orders!D1498</f>
        <v>PROD-050</v>
      </c>
    </row>
    <row r="1499" spans="1:17" x14ac:dyDescent="0.3">
      <c r="A1499" t="str">
        <f>Orders!A1499</f>
        <v>ORD-01498</v>
      </c>
      <c r="B1499">
        <f>Orders!B1499</f>
        <v>45384</v>
      </c>
      <c r="C1499">
        <f>Orders!I1499</f>
        <v>14610.82</v>
      </c>
      <c r="D1499" t="str">
        <f>Orders!E1499</f>
        <v>R023</v>
      </c>
      <c r="E1499" t="str">
        <f>IFERROR(VLOOKUP(Orders!D1499,Products!$A$2:$C$61,3,FALSE),"Unknown")</f>
        <v>Grocery</v>
      </c>
      <c r="F1499" t="str">
        <f>IFERROR(VLOOKUP(Orders!C1499,Customers!$A$2:$E$301,5,FALSE),"Unknown")</f>
        <v>Retail</v>
      </c>
      <c r="G1499">
        <f>IFERROR(VLOOKUP(Orders!C1499,Customers!$A$2:$C$301,3,FALSE),"")</f>
        <v>32</v>
      </c>
      <c r="H1499" t="str">
        <f>VLOOKUP(D1499,Sales_Reps!$A$2:$C$31,3,FALSE)</f>
        <v>East</v>
      </c>
      <c r="I1499" s="44">
        <f t="shared" si="49"/>
        <v>45383</v>
      </c>
      <c r="L1499" t="str">
        <f>Orders!K1499</f>
        <v>Chennai</v>
      </c>
      <c r="M1499">
        <f>Orders!G1499</f>
        <v>2380</v>
      </c>
      <c r="N1499">
        <f>IFERROR(VLOOKUP(Orders!D1499,Products!$A$2:$D$61,4,FALSE),"")</f>
        <v>1182</v>
      </c>
      <c r="O1499">
        <f t="shared" si="50"/>
        <v>0.50336134453781511</v>
      </c>
      <c r="Q1499" t="str">
        <f>Orders!D1499</f>
        <v>PROD-023</v>
      </c>
    </row>
    <row r="1500" spans="1:17" x14ac:dyDescent="0.3">
      <c r="A1500" t="str">
        <f>Orders!A1500</f>
        <v>ORD-01499</v>
      </c>
      <c r="B1500">
        <f>Orders!B1500</f>
        <v>45509</v>
      </c>
      <c r="C1500">
        <f>Orders!I1500</f>
        <v>12227.6</v>
      </c>
      <c r="D1500" t="str">
        <f>Orders!E1500</f>
        <v>R001</v>
      </c>
      <c r="E1500" t="str">
        <f>IFERROR(VLOOKUP(Orders!D1500,Products!$A$2:$C$61,3,FALSE),"Unknown")</f>
        <v>Beauty</v>
      </c>
      <c r="F1500" t="str">
        <f>IFERROR(VLOOKUP(Orders!C1500,Customers!$A$2:$E$301,5,FALSE),"Unknown")</f>
        <v>SMB</v>
      </c>
      <c r="G1500">
        <f>IFERROR(VLOOKUP(Orders!C1500,Customers!$A$2:$C$301,3,FALSE),"")</f>
        <v>62</v>
      </c>
      <c r="H1500" t="str">
        <f>VLOOKUP(D1500,Sales_Reps!$A$2:$C$31,3,FALSE)</f>
        <v>North</v>
      </c>
      <c r="I1500" s="44">
        <f t="shared" si="49"/>
        <v>45505</v>
      </c>
      <c r="L1500" t="str">
        <f>Orders!K1500</f>
        <v>Chennai</v>
      </c>
      <c r="M1500">
        <f>Orders!G1500</f>
        <v>1540</v>
      </c>
      <c r="N1500">
        <f>IFERROR(VLOOKUP(Orders!D1500,Products!$A$2:$D$61,4,FALSE),"")</f>
        <v>647</v>
      </c>
      <c r="O1500">
        <f t="shared" si="50"/>
        <v>0.57987012987012987</v>
      </c>
      <c r="Q1500" t="str">
        <f>Orders!D1500</f>
        <v>PROD-041</v>
      </c>
    </row>
    <row r="1501" spans="1:17" x14ac:dyDescent="0.3">
      <c r="A1501" t="str">
        <f>Orders!A1501</f>
        <v>ORD-01500</v>
      </c>
      <c r="B1501">
        <f>Orders!B1501</f>
        <v>45520</v>
      </c>
      <c r="C1501">
        <f>Orders!I1501</f>
        <v>25437.51</v>
      </c>
      <c r="D1501" t="str">
        <f>Orders!E1501</f>
        <v>R028</v>
      </c>
      <c r="E1501" t="str">
        <f>IFERROR(VLOOKUP(Orders!D1501,Products!$A$2:$C$61,3,FALSE),"Unknown")</f>
        <v>Electronics</v>
      </c>
      <c r="F1501" t="str">
        <f>IFERROR(VLOOKUP(Orders!C1501,Customers!$A$2:$E$301,5,FALSE),"Unknown")</f>
        <v>Retail</v>
      </c>
      <c r="G1501">
        <f>IFERROR(VLOOKUP(Orders!C1501,Customers!$A$2:$C$301,3,FALSE),"")</f>
        <v>49</v>
      </c>
      <c r="H1501" t="str">
        <f>VLOOKUP(D1501,Sales_Reps!$A$2:$C$31,3,FALSE)</f>
        <v>West</v>
      </c>
      <c r="I1501" s="44">
        <f t="shared" si="49"/>
        <v>45505</v>
      </c>
      <c r="L1501" t="str">
        <f>Orders!K1501</f>
        <v>Chennai</v>
      </c>
      <c r="M1501">
        <f>Orders!G1501</f>
        <v>3870</v>
      </c>
      <c r="N1501">
        <f>IFERROR(VLOOKUP(Orders!D1501,Products!$A$2:$D$61,4,FALSE),"")</f>
        <v>1559</v>
      </c>
      <c r="O1501">
        <f t="shared" si="50"/>
        <v>0.59715762273901807</v>
      </c>
      <c r="Q1501" t="str">
        <f>Orders!D1501</f>
        <v>PROD-004</v>
      </c>
    </row>
    <row r="1502" spans="1:17" x14ac:dyDescent="0.3">
      <c r="A1502" t="str">
        <f>Orders!A1502</f>
        <v>ORD-01501</v>
      </c>
      <c r="B1502">
        <f>Orders!B1502</f>
        <v>45383</v>
      </c>
      <c r="C1502">
        <f>Orders!I1502</f>
        <v>957.93</v>
      </c>
      <c r="D1502" t="str">
        <f>Orders!E1502</f>
        <v>R021</v>
      </c>
      <c r="E1502" t="str">
        <f>IFERROR(VLOOKUP(Orders!D1502,Products!$A$2:$C$61,3,FALSE),"Unknown")</f>
        <v>Home</v>
      </c>
      <c r="F1502" t="str">
        <f>IFERROR(VLOOKUP(Orders!C1502,Customers!$A$2:$E$301,5,FALSE),"Unknown")</f>
        <v>Corporate</v>
      </c>
      <c r="G1502">
        <f>IFERROR(VLOOKUP(Orders!C1502,Customers!$A$2:$C$301,3,FALSE),"")</f>
        <v>40</v>
      </c>
      <c r="H1502" t="str">
        <f>VLOOKUP(D1502,Sales_Reps!$A$2:$C$31,3,FALSE)</f>
        <v>East</v>
      </c>
      <c r="I1502" s="44">
        <f t="shared" si="49"/>
        <v>45383</v>
      </c>
      <c r="L1502" t="str">
        <f>Orders!K1502</f>
        <v>Pune</v>
      </c>
      <c r="M1502">
        <f>Orders!G1502</f>
        <v>370</v>
      </c>
      <c r="N1502">
        <f>IFERROR(VLOOKUP(Orders!D1502,Products!$A$2:$D$61,4,FALSE),"")</f>
        <v>288</v>
      </c>
      <c r="O1502">
        <f t="shared" si="50"/>
        <v>0.22162162162162163</v>
      </c>
      <c r="Q1502" t="str">
        <f>Orders!D1502</f>
        <v>PROD-032</v>
      </c>
    </row>
    <row r="1503" spans="1:17" x14ac:dyDescent="0.3">
      <c r="A1503" t="str">
        <f>Orders!A1503</f>
        <v>ORD-01502</v>
      </c>
      <c r="B1503">
        <f>Orders!B1503</f>
        <v>45328</v>
      </c>
      <c r="C1503">
        <f>Orders!I1503</f>
        <v>1516.96</v>
      </c>
      <c r="D1503" t="str">
        <f>Orders!E1503</f>
        <v>R027</v>
      </c>
      <c r="E1503" t="str">
        <f>IFERROR(VLOOKUP(Orders!D1503,Products!$A$2:$C$61,3,FALSE),"Unknown")</f>
        <v>Sports</v>
      </c>
      <c r="F1503" t="str">
        <f>IFERROR(VLOOKUP(Orders!C1503,Customers!$A$2:$E$301,5,FALSE),"Unknown")</f>
        <v>Retail</v>
      </c>
      <c r="G1503">
        <f>IFERROR(VLOOKUP(Orders!C1503,Customers!$A$2:$C$301,3,FALSE),"")</f>
        <v>42</v>
      </c>
      <c r="H1503" t="str">
        <f>VLOOKUP(D1503,Sales_Reps!$A$2:$C$31,3,FALSE)</f>
        <v>West</v>
      </c>
      <c r="I1503" s="44">
        <f t="shared" si="49"/>
        <v>45323</v>
      </c>
      <c r="L1503" t="str">
        <f>Orders!K1503</f>
        <v>Mumbai</v>
      </c>
      <c r="M1503">
        <f>Orders!G1503</f>
        <v>190</v>
      </c>
      <c r="N1503">
        <f>IFERROR(VLOOKUP(Orders!D1503,Products!$A$2:$D$61,4,FALSE),"")</f>
        <v>147</v>
      </c>
      <c r="O1503">
        <f t="shared" si="50"/>
        <v>0.22631578947368422</v>
      </c>
      <c r="Q1503" t="str">
        <f>Orders!D1503</f>
        <v>PROD-060</v>
      </c>
    </row>
    <row r="1504" spans="1:17" x14ac:dyDescent="0.3">
      <c r="A1504" t="str">
        <f>Orders!A1504</f>
        <v>ORD-01503</v>
      </c>
      <c r="B1504">
        <f>Orders!B1504</f>
        <v>45501</v>
      </c>
      <c r="C1504">
        <f>Orders!I1504</f>
        <v>8571.42</v>
      </c>
      <c r="D1504" t="str">
        <f>Orders!E1504</f>
        <v>R011</v>
      </c>
      <c r="E1504" t="str">
        <f>IFERROR(VLOOKUP(Orders!D1504,Products!$A$2:$C$61,3,FALSE),"Unknown")</f>
        <v>Electronics</v>
      </c>
      <c r="F1504" t="str">
        <f>IFERROR(VLOOKUP(Orders!C1504,Customers!$A$2:$E$301,5,FALSE),"Unknown")</f>
        <v>Retail</v>
      </c>
      <c r="G1504">
        <f>IFERROR(VLOOKUP(Orders!C1504,Customers!$A$2:$C$301,3,FALSE),"")</f>
        <v>39</v>
      </c>
      <c r="H1504" t="str">
        <f>VLOOKUP(D1504,Sales_Reps!$A$2:$C$31,3,FALSE)</f>
        <v>South</v>
      </c>
      <c r="I1504" s="44">
        <f t="shared" si="49"/>
        <v>45474</v>
      </c>
      <c r="L1504" t="str">
        <f>Orders!K1504</f>
        <v>Chennai</v>
      </c>
      <c r="M1504">
        <f>Orders!G1504</f>
        <v>1430</v>
      </c>
      <c r="N1504">
        <f>IFERROR(VLOOKUP(Orders!D1504,Products!$A$2:$D$61,4,FALSE),"")</f>
        <v>861</v>
      </c>
      <c r="O1504">
        <f t="shared" si="50"/>
        <v>0.39790209790209791</v>
      </c>
      <c r="Q1504" t="str">
        <f>Orders!D1504</f>
        <v>PROD-007</v>
      </c>
    </row>
    <row r="1505" spans="1:17" x14ac:dyDescent="0.3">
      <c r="A1505" t="str">
        <f>Orders!A1505</f>
        <v>ORD-01504</v>
      </c>
      <c r="B1505">
        <f>Orders!B1505</f>
        <v>45346</v>
      </c>
      <c r="C1505">
        <f>Orders!I1505</f>
        <v>1823.6</v>
      </c>
      <c r="D1505" t="str">
        <f>Orders!E1505</f>
        <v>R020</v>
      </c>
      <c r="E1505" t="str">
        <f>IFERROR(VLOOKUP(Orders!D1505,Products!$A$2:$C$61,3,FALSE),"Unknown")</f>
        <v>Sports</v>
      </c>
      <c r="F1505" t="str">
        <f>IFERROR(VLOOKUP(Orders!C1505,Customers!$A$2:$E$301,5,FALSE),"Unknown")</f>
        <v>Corporate</v>
      </c>
      <c r="G1505">
        <f>IFERROR(VLOOKUP(Orders!C1505,Customers!$A$2:$C$301,3,FALSE),"")</f>
        <v>35</v>
      </c>
      <c r="H1505" t="str">
        <f>VLOOKUP(D1505,Sales_Reps!$A$2:$C$31,3,FALSE)</f>
        <v>East</v>
      </c>
      <c r="I1505" s="44">
        <f t="shared" si="49"/>
        <v>45323</v>
      </c>
      <c r="L1505" t="str">
        <f>Orders!K1505</f>
        <v>Chennai</v>
      </c>
      <c r="M1505">
        <f>Orders!G1505</f>
        <v>470</v>
      </c>
      <c r="N1505">
        <f>IFERROR(VLOOKUP(Orders!D1505,Products!$A$2:$D$61,4,FALSE),"")</f>
        <v>302</v>
      </c>
      <c r="O1505">
        <f t="shared" si="50"/>
        <v>0.35744680851063831</v>
      </c>
      <c r="Q1505" t="str">
        <f>Orders!D1505</f>
        <v>PROD-053</v>
      </c>
    </row>
    <row r="1506" spans="1:17" x14ac:dyDescent="0.3">
      <c r="A1506" t="str">
        <f>Orders!A1506</f>
        <v>ORD-01505</v>
      </c>
      <c r="B1506">
        <f>Orders!B1506</f>
        <v>45446</v>
      </c>
      <c r="C1506">
        <f>Orders!I1506</f>
        <v>14083.36</v>
      </c>
      <c r="D1506" t="str">
        <f>Orders!E1506</f>
        <v>R004</v>
      </c>
      <c r="E1506" t="str">
        <f>IFERROR(VLOOKUP(Orders!D1506,Products!$A$2:$C$61,3,FALSE),"Unknown")</f>
        <v>Apparel</v>
      </c>
      <c r="F1506" t="str">
        <f>IFERROR(VLOOKUP(Orders!C1506,Customers!$A$2:$E$301,5,FALSE),"Unknown")</f>
        <v>Retail</v>
      </c>
      <c r="G1506">
        <f>IFERROR(VLOOKUP(Orders!C1506,Customers!$A$2:$C$301,3,FALSE),"")</f>
        <v>49</v>
      </c>
      <c r="H1506" t="str">
        <f>VLOOKUP(D1506,Sales_Reps!$A$2:$C$31,3,FALSE)</f>
        <v>North</v>
      </c>
      <c r="I1506" s="44">
        <f t="shared" si="49"/>
        <v>45444</v>
      </c>
      <c r="L1506" t="str">
        <f>Orders!K1506</f>
        <v>Pune</v>
      </c>
      <c r="M1506">
        <f>Orders!G1506</f>
        <v>3560</v>
      </c>
      <c r="N1506">
        <f>IFERROR(VLOOKUP(Orders!D1506,Products!$A$2:$D$61,4,FALSE),"")</f>
        <v>2629</v>
      </c>
      <c r="O1506">
        <f t="shared" si="50"/>
        <v>0.26151685393258428</v>
      </c>
      <c r="Q1506" t="str">
        <f>Orders!D1506</f>
        <v>PROD-018</v>
      </c>
    </row>
    <row r="1507" spans="1:17" x14ac:dyDescent="0.3">
      <c r="A1507" t="str">
        <f>Orders!A1507</f>
        <v>ORD-01506</v>
      </c>
      <c r="B1507">
        <f>Orders!B1507</f>
        <v>45521</v>
      </c>
      <c r="C1507">
        <f>Orders!I1507</f>
        <v>20252</v>
      </c>
      <c r="D1507" t="str">
        <f>Orders!E1507</f>
        <v>R012</v>
      </c>
      <c r="E1507" t="str">
        <f>IFERROR(VLOOKUP(Orders!D1507,Products!$A$2:$C$61,3,FALSE),"Unknown")</f>
        <v>Beauty</v>
      </c>
      <c r="F1507" t="str">
        <f>IFERROR(VLOOKUP(Orders!C1507,Customers!$A$2:$E$301,5,FALSE),"Unknown")</f>
        <v>Retail</v>
      </c>
      <c r="G1507">
        <f>IFERROR(VLOOKUP(Orders!C1507,Customers!$A$2:$C$301,3,FALSE),"")</f>
        <v>49</v>
      </c>
      <c r="H1507" t="str">
        <f>VLOOKUP(D1507,Sales_Reps!$A$2:$C$31,3,FALSE)</f>
        <v>South</v>
      </c>
      <c r="I1507" s="44">
        <f t="shared" si="49"/>
        <v>45505</v>
      </c>
      <c r="L1507" t="str">
        <f>Orders!K1507</f>
        <v>Delhi</v>
      </c>
      <c r="M1507">
        <f>Orders!G1507</f>
        <v>4880</v>
      </c>
      <c r="N1507">
        <f>IFERROR(VLOOKUP(Orders!D1507,Products!$A$2:$D$61,4,FALSE),"")</f>
        <v>2768</v>
      </c>
      <c r="O1507">
        <f t="shared" si="50"/>
        <v>0.43278688524590164</v>
      </c>
      <c r="Q1507" t="str">
        <f>Orders!D1507</f>
        <v>PROD-046</v>
      </c>
    </row>
    <row r="1508" spans="1:17" x14ac:dyDescent="0.3">
      <c r="A1508" t="str">
        <f>Orders!A1508</f>
        <v>ORD-01507</v>
      </c>
      <c r="B1508">
        <f>Orders!B1508</f>
        <v>45483</v>
      </c>
      <c r="C1508">
        <f>Orders!I1508</f>
        <v>28274.400000000001</v>
      </c>
      <c r="D1508" t="str">
        <f>Orders!E1508</f>
        <v>R009</v>
      </c>
      <c r="E1508" t="str">
        <f>IFERROR(VLOOKUP(Orders!D1508,Products!$A$2:$C$61,3,FALSE),"Unknown")</f>
        <v>Electronics</v>
      </c>
      <c r="F1508" t="str">
        <f>IFERROR(VLOOKUP(Orders!C1508,Customers!$A$2:$E$301,5,FALSE),"Unknown")</f>
        <v>Retail</v>
      </c>
      <c r="G1508">
        <f>IFERROR(VLOOKUP(Orders!C1508,Customers!$A$2:$C$301,3,FALSE),"")</f>
        <v>26</v>
      </c>
      <c r="H1508" t="str">
        <f>VLOOKUP(D1508,Sales_Reps!$A$2:$C$31,3,FALSE)</f>
        <v>South</v>
      </c>
      <c r="I1508" s="44">
        <f t="shared" si="49"/>
        <v>45474</v>
      </c>
      <c r="L1508" t="str">
        <f>Orders!K1508</f>
        <v>Chennai</v>
      </c>
      <c r="M1508">
        <f>Orders!G1508</f>
        <v>3570</v>
      </c>
      <c r="N1508">
        <f>IFERROR(VLOOKUP(Orders!D1508,Products!$A$2:$D$61,4,FALSE),"")</f>
        <v>1665</v>
      </c>
      <c r="O1508">
        <f t="shared" si="50"/>
        <v>0.53361344537815125</v>
      </c>
      <c r="Q1508" t="str">
        <f>Orders!D1508</f>
        <v>PROD-003</v>
      </c>
    </row>
    <row r="1509" spans="1:17" x14ac:dyDescent="0.3">
      <c r="A1509" t="str">
        <f>Orders!A1509</f>
        <v>ORD-01508</v>
      </c>
      <c r="B1509">
        <f>Orders!B1509</f>
        <v>45370</v>
      </c>
      <c r="C1509">
        <f>Orders!I1509</f>
        <v>16001.1</v>
      </c>
      <c r="D1509" t="str">
        <f>Orders!E1509</f>
        <v>R025</v>
      </c>
      <c r="E1509" t="str">
        <f>IFERROR(VLOOKUP(Orders!D1509,Products!$A$2:$C$61,3,FALSE),"Unknown")</f>
        <v>Sports</v>
      </c>
      <c r="F1509" t="str">
        <f>IFERROR(VLOOKUP(Orders!C1509,Customers!$A$2:$E$301,5,FALSE),"Unknown")</f>
        <v>Retail</v>
      </c>
      <c r="G1509">
        <f>IFERROR(VLOOKUP(Orders!C1509,Customers!$A$2:$C$301,3,FALSE),"")</f>
        <v>34</v>
      </c>
      <c r="H1509" t="str">
        <f>VLOOKUP(D1509,Sales_Reps!$A$2:$C$31,3,FALSE)</f>
        <v>West</v>
      </c>
      <c r="I1509" s="44">
        <f t="shared" si="49"/>
        <v>45352</v>
      </c>
      <c r="L1509" t="str">
        <f>Orders!K1509</f>
        <v>Chennai</v>
      </c>
      <c r="M1509">
        <f>Orders!G1509</f>
        <v>3450</v>
      </c>
      <c r="N1509">
        <f>IFERROR(VLOOKUP(Orders!D1509,Products!$A$2:$D$61,4,FALSE),"")</f>
        <v>2467</v>
      </c>
      <c r="O1509">
        <f t="shared" si="50"/>
        <v>0.28492753623188405</v>
      </c>
      <c r="Q1509" t="str">
        <f>Orders!D1509</f>
        <v>PROD-051</v>
      </c>
    </row>
    <row r="1510" spans="1:17" x14ac:dyDescent="0.3">
      <c r="A1510" t="str">
        <f>Orders!A1510</f>
        <v>ORD-01509</v>
      </c>
      <c r="B1510">
        <f>Orders!B1510</f>
        <v>45456</v>
      </c>
      <c r="C1510">
        <f>Orders!I1510</f>
        <v>7840.8</v>
      </c>
      <c r="D1510" t="str">
        <f>Orders!E1510</f>
        <v>R002</v>
      </c>
      <c r="E1510" t="str">
        <f>IFERROR(VLOOKUP(Orders!D1510,Products!$A$2:$C$61,3,FALSE),"Unknown")</f>
        <v>Home</v>
      </c>
      <c r="F1510" t="str">
        <f>IFERROR(VLOOKUP(Orders!C1510,Customers!$A$2:$E$301,5,FALSE),"Unknown")</f>
        <v>Corporate</v>
      </c>
      <c r="G1510">
        <f>IFERROR(VLOOKUP(Orders!C1510,Customers!$A$2:$C$301,3,FALSE),"")</f>
        <v>55</v>
      </c>
      <c r="H1510" t="str">
        <f>VLOOKUP(D1510,Sales_Reps!$A$2:$C$31,3,FALSE)</f>
        <v>North</v>
      </c>
      <c r="I1510" s="44">
        <f t="shared" si="49"/>
        <v>45444</v>
      </c>
      <c r="L1510" t="str">
        <f>Orders!K1510</f>
        <v>Chennai</v>
      </c>
      <c r="M1510">
        <f>Orders!G1510</f>
        <v>1080</v>
      </c>
      <c r="N1510">
        <f>IFERROR(VLOOKUP(Orders!D1510,Products!$A$2:$D$61,4,FALSE),"")</f>
        <v>519</v>
      </c>
      <c r="O1510">
        <f t="shared" si="50"/>
        <v>0.51944444444444449</v>
      </c>
      <c r="Q1510" t="str">
        <f>Orders!D1510</f>
        <v>PROD-040</v>
      </c>
    </row>
    <row r="1511" spans="1:17" x14ac:dyDescent="0.3">
      <c r="A1511" t="str">
        <f>Orders!A1511</f>
        <v>ORD-01510</v>
      </c>
      <c r="B1511">
        <f>Orders!B1511</f>
        <v>45605</v>
      </c>
      <c r="C1511">
        <f>Orders!I1511</f>
        <v>7659.96</v>
      </c>
      <c r="D1511" t="str">
        <f>Orders!E1511</f>
        <v>R025</v>
      </c>
      <c r="E1511" t="str">
        <f>IFERROR(VLOOKUP(Orders!D1511,Products!$A$2:$C$61,3,FALSE),"Unknown")</f>
        <v>Beauty</v>
      </c>
      <c r="F1511" t="str">
        <f>IFERROR(VLOOKUP(Orders!C1511,Customers!$A$2:$E$301,5,FALSE),"Unknown")</f>
        <v>SMB</v>
      </c>
      <c r="G1511">
        <f>IFERROR(VLOOKUP(Orders!C1511,Customers!$A$2:$C$301,3,FALSE),"")</f>
        <v>59</v>
      </c>
      <c r="H1511" t="str">
        <f>VLOOKUP(D1511,Sales_Reps!$A$2:$C$31,3,FALSE)</f>
        <v>West</v>
      </c>
      <c r="I1511" s="44">
        <f t="shared" si="49"/>
        <v>45597</v>
      </c>
      <c r="L1511" t="str">
        <f>Orders!K1511</f>
        <v>Pune</v>
      </c>
      <c r="M1511">
        <f>Orders!G1511</f>
        <v>1540</v>
      </c>
      <c r="N1511">
        <f>IFERROR(VLOOKUP(Orders!D1511,Products!$A$2:$D$61,4,FALSE),"")</f>
        <v>647</v>
      </c>
      <c r="O1511">
        <f t="shared" si="50"/>
        <v>0.57987012987012987</v>
      </c>
      <c r="Q1511" t="str">
        <f>Orders!D1511</f>
        <v>PROD-041</v>
      </c>
    </row>
    <row r="1512" spans="1:17" x14ac:dyDescent="0.3">
      <c r="A1512" t="str">
        <f>Orders!A1512</f>
        <v>ORD-01511</v>
      </c>
      <c r="B1512">
        <f>Orders!B1512</f>
        <v>45556</v>
      </c>
      <c r="C1512">
        <f>Orders!I1512</f>
        <v>11734.08</v>
      </c>
      <c r="D1512" t="str">
        <f>Orders!E1512</f>
        <v>R013</v>
      </c>
      <c r="E1512" t="str">
        <f>IFERROR(VLOOKUP(Orders!D1512,Products!$A$2:$C$61,3,FALSE),"Unknown")</f>
        <v>Apparel</v>
      </c>
      <c r="F1512" t="str">
        <f>IFERROR(VLOOKUP(Orders!C1512,Customers!$A$2:$E$301,5,FALSE),"Unknown")</f>
        <v>Unknown</v>
      </c>
      <c r="G1512" t="str">
        <f>IFERROR(VLOOKUP(Orders!C1512,Customers!$A$2:$C$301,3,FALSE),"")</f>
        <v/>
      </c>
      <c r="H1512" t="str">
        <f>VLOOKUP(D1512,Sales_Reps!$A$2:$C$31,3,FALSE)</f>
        <v>South</v>
      </c>
      <c r="I1512" s="44">
        <f t="shared" si="49"/>
        <v>45536</v>
      </c>
      <c r="L1512" t="str">
        <f>Orders!K1512</f>
        <v>Mumbai</v>
      </c>
      <c r="M1512">
        <f>Orders!G1512</f>
        <v>2720</v>
      </c>
      <c r="N1512">
        <f>IFERROR(VLOOKUP(Orders!D1512,Products!$A$2:$D$61,4,FALSE),"")</f>
        <v>1962</v>
      </c>
      <c r="O1512">
        <f t="shared" si="50"/>
        <v>0.2786764705882353</v>
      </c>
      <c r="Q1512" t="str">
        <f>Orders!D1512</f>
        <v>PROD-015</v>
      </c>
    </row>
    <row r="1513" spans="1:17" x14ac:dyDescent="0.3">
      <c r="A1513" t="str">
        <f>Orders!A1513</f>
        <v>ORD-01512</v>
      </c>
      <c r="B1513">
        <f>Orders!B1513</f>
        <v>45569</v>
      </c>
      <c r="C1513">
        <f>Orders!I1513</f>
        <v>9032.24</v>
      </c>
      <c r="D1513" t="str">
        <f>Orders!E1513</f>
        <v>R005</v>
      </c>
      <c r="E1513" t="str">
        <f>IFERROR(VLOOKUP(Orders!D1513,Products!$A$2:$C$61,3,FALSE),"Unknown")</f>
        <v>Home</v>
      </c>
      <c r="F1513" t="str">
        <f>IFERROR(VLOOKUP(Orders!C1513,Customers!$A$2:$E$301,5,FALSE),"Unknown")</f>
        <v>Retail</v>
      </c>
      <c r="G1513">
        <f>IFERROR(VLOOKUP(Orders!C1513,Customers!$A$2:$C$301,3,FALSE),"")</f>
        <v>27</v>
      </c>
      <c r="H1513" t="str">
        <f>VLOOKUP(D1513,Sales_Reps!$A$2:$C$31,3,FALSE)</f>
        <v>North</v>
      </c>
      <c r="I1513" s="44">
        <f t="shared" si="49"/>
        <v>45566</v>
      </c>
      <c r="L1513" t="str">
        <f>Orders!K1513</f>
        <v>Hyderabad</v>
      </c>
      <c r="M1513">
        <f>Orders!G1513</f>
        <v>5080</v>
      </c>
      <c r="N1513">
        <f>IFERROR(VLOOKUP(Orders!D1513,Products!$A$2:$D$61,4,FALSE),"")</f>
        <v>2459</v>
      </c>
      <c r="O1513">
        <f t="shared" si="50"/>
        <v>0.51594488188976373</v>
      </c>
      <c r="Q1513" t="str">
        <f>Orders!D1513</f>
        <v>PROD-034</v>
      </c>
    </row>
    <row r="1514" spans="1:17" x14ac:dyDescent="0.3">
      <c r="A1514" t="str">
        <f>Orders!A1514</f>
        <v>ORD-01513</v>
      </c>
      <c r="B1514">
        <f>Orders!B1514</f>
        <v>45329</v>
      </c>
      <c r="C1514">
        <f>Orders!I1514</f>
        <v>2762.1</v>
      </c>
      <c r="D1514" t="str">
        <f>Orders!E1514</f>
        <v>R008</v>
      </c>
      <c r="E1514" t="str">
        <f>IFERROR(VLOOKUP(Orders!D1514,Products!$A$2:$C$61,3,FALSE),"Unknown")</f>
        <v>Apparel</v>
      </c>
      <c r="F1514" t="str">
        <f>IFERROR(VLOOKUP(Orders!C1514,Customers!$A$2:$E$301,5,FALSE),"Unknown")</f>
        <v>Unknown</v>
      </c>
      <c r="G1514" t="str">
        <f>IFERROR(VLOOKUP(Orders!C1514,Customers!$A$2:$C$301,3,FALSE),"")</f>
        <v/>
      </c>
      <c r="H1514" t="str">
        <f>VLOOKUP(D1514,Sales_Reps!$A$2:$C$31,3,FALSE)</f>
        <v>North</v>
      </c>
      <c r="I1514" s="44">
        <f t="shared" si="49"/>
        <v>45323</v>
      </c>
      <c r="L1514" t="str">
        <f>Orders!K1514</f>
        <v>Chennai</v>
      </c>
      <c r="M1514">
        <f>Orders!G1514</f>
        <v>620</v>
      </c>
      <c r="N1514">
        <f>IFERROR(VLOOKUP(Orders!D1514,Products!$A$2:$D$61,4,FALSE),"")</f>
        <v>396</v>
      </c>
      <c r="O1514">
        <f t="shared" si="50"/>
        <v>0.36129032258064514</v>
      </c>
      <c r="Q1514" t="str">
        <f>Orders!D1514</f>
        <v>PROD-016</v>
      </c>
    </row>
    <row r="1515" spans="1:17" x14ac:dyDescent="0.3">
      <c r="A1515" t="str">
        <f>Orders!A1515</f>
        <v>ORD-01514</v>
      </c>
      <c r="B1515">
        <f>Orders!B1515</f>
        <v>45377</v>
      </c>
      <c r="C1515">
        <f>Orders!I1515</f>
        <v>7068</v>
      </c>
      <c r="D1515" t="str">
        <f>Orders!E1515</f>
        <v>R003</v>
      </c>
      <c r="E1515" t="str">
        <f>IFERROR(VLOOKUP(Orders!D1515,Products!$A$2:$C$61,3,FALSE),"Unknown")</f>
        <v>Apparel</v>
      </c>
      <c r="F1515" t="str">
        <f>IFERROR(VLOOKUP(Orders!C1515,Customers!$A$2:$E$301,5,FALSE),"Unknown")</f>
        <v>SMB</v>
      </c>
      <c r="G1515">
        <f>IFERROR(VLOOKUP(Orders!C1515,Customers!$A$2:$C$301,3,FALSE),"")</f>
        <v>54</v>
      </c>
      <c r="H1515" t="str">
        <f>VLOOKUP(D1515,Sales_Reps!$A$2:$C$31,3,FALSE)</f>
        <v>North</v>
      </c>
      <c r="I1515" s="44">
        <f t="shared" si="49"/>
        <v>45352</v>
      </c>
      <c r="L1515" t="str">
        <f>Orders!K1515</f>
        <v>Pune</v>
      </c>
      <c r="M1515">
        <f>Orders!G1515</f>
        <v>2480</v>
      </c>
      <c r="N1515">
        <f>IFERROR(VLOOKUP(Orders!D1515,Products!$A$2:$D$61,4,FALSE),"")</f>
        <v>1173</v>
      </c>
      <c r="O1515">
        <f t="shared" si="50"/>
        <v>0.52701612903225803</v>
      </c>
      <c r="Q1515" t="str">
        <f>Orders!D1515</f>
        <v>PROD-019</v>
      </c>
    </row>
    <row r="1516" spans="1:17" x14ac:dyDescent="0.3">
      <c r="A1516" t="str">
        <f>Orders!A1516</f>
        <v>ORD-01515</v>
      </c>
      <c r="B1516">
        <f>Orders!B1516</f>
        <v>45537</v>
      </c>
      <c r="C1516">
        <f>Orders!I1516</f>
        <v>7099.29</v>
      </c>
      <c r="D1516" t="str">
        <f>Orders!E1516</f>
        <v>R005</v>
      </c>
      <c r="E1516" t="str">
        <f>IFERROR(VLOOKUP(Orders!D1516,Products!$A$2:$C$61,3,FALSE),"Unknown")</f>
        <v>Sports</v>
      </c>
      <c r="F1516" t="str">
        <f>IFERROR(VLOOKUP(Orders!C1516,Customers!$A$2:$E$301,5,FALSE),"Unknown")</f>
        <v>Corporate</v>
      </c>
      <c r="G1516">
        <f>IFERROR(VLOOKUP(Orders!C1516,Customers!$A$2:$C$301,3,FALSE),"")</f>
        <v>55</v>
      </c>
      <c r="H1516" t="str">
        <f>VLOOKUP(D1516,Sales_Reps!$A$2:$C$31,3,FALSE)</f>
        <v>North</v>
      </c>
      <c r="I1516" s="44">
        <f t="shared" si="49"/>
        <v>45536</v>
      </c>
      <c r="L1516" t="str">
        <f>Orders!K1516</f>
        <v>Mumbai</v>
      </c>
      <c r="M1516">
        <f>Orders!G1516</f>
        <v>1010</v>
      </c>
      <c r="N1516">
        <f>IFERROR(VLOOKUP(Orders!D1516,Products!$A$2:$D$61,4,FALSE),"")</f>
        <v>516</v>
      </c>
      <c r="O1516">
        <f t="shared" si="50"/>
        <v>0.4891089108910891</v>
      </c>
      <c r="Q1516" t="str">
        <f>Orders!D1516</f>
        <v>PROD-054</v>
      </c>
    </row>
    <row r="1517" spans="1:17" x14ac:dyDescent="0.3">
      <c r="A1517" t="str">
        <f>Orders!A1517</f>
        <v>ORD-01516</v>
      </c>
      <c r="B1517">
        <f>Orders!B1517</f>
        <v>45550</v>
      </c>
      <c r="C1517">
        <f>Orders!I1517</f>
        <v>1976.4</v>
      </c>
      <c r="D1517" t="str">
        <f>Orders!E1517</f>
        <v>R004</v>
      </c>
      <c r="E1517" t="str">
        <f>IFERROR(VLOOKUP(Orders!D1517,Products!$A$2:$C$61,3,FALSE),"Unknown")</f>
        <v>Home</v>
      </c>
      <c r="F1517" t="str">
        <f>IFERROR(VLOOKUP(Orders!C1517,Customers!$A$2:$E$301,5,FALSE),"Unknown")</f>
        <v>Retail</v>
      </c>
      <c r="G1517">
        <f>IFERROR(VLOOKUP(Orders!C1517,Customers!$A$2:$C$301,3,FALSE),"")</f>
        <v>22</v>
      </c>
      <c r="H1517" t="str">
        <f>VLOOKUP(D1517,Sales_Reps!$A$2:$C$31,3,FALSE)</f>
        <v>North</v>
      </c>
      <c r="I1517" s="44">
        <f t="shared" si="49"/>
        <v>45536</v>
      </c>
      <c r="L1517" t="str">
        <f>Orders!K1517</f>
        <v>Pune</v>
      </c>
      <c r="M1517">
        <f>Orders!G1517</f>
        <v>1080</v>
      </c>
      <c r="N1517">
        <f>IFERROR(VLOOKUP(Orders!D1517,Products!$A$2:$D$61,4,FALSE),"")</f>
        <v>519</v>
      </c>
      <c r="O1517">
        <f t="shared" si="50"/>
        <v>0.51944444444444449</v>
      </c>
      <c r="Q1517" t="str">
        <f>Orders!D1517</f>
        <v>PROD-040</v>
      </c>
    </row>
    <row r="1518" spans="1:17" x14ac:dyDescent="0.3">
      <c r="A1518" t="str">
        <f>Orders!A1518</f>
        <v>ORD-01517</v>
      </c>
      <c r="B1518">
        <f>Orders!B1518</f>
        <v>45325</v>
      </c>
      <c r="C1518">
        <f>Orders!I1518</f>
        <v>2162</v>
      </c>
      <c r="D1518" t="str">
        <f>Orders!E1518</f>
        <v>R025</v>
      </c>
      <c r="E1518" t="str">
        <f>IFERROR(VLOOKUP(Orders!D1518,Products!$A$2:$C$61,3,FALSE),"Unknown")</f>
        <v>Sports</v>
      </c>
      <c r="F1518" t="str">
        <f>IFERROR(VLOOKUP(Orders!C1518,Customers!$A$2:$E$301,5,FALSE),"Unknown")</f>
        <v>Retail</v>
      </c>
      <c r="G1518">
        <f>IFERROR(VLOOKUP(Orders!C1518,Customers!$A$2:$C$301,3,FALSE),"")</f>
        <v>53</v>
      </c>
      <c r="H1518" t="str">
        <f>VLOOKUP(D1518,Sales_Reps!$A$2:$C$31,3,FALSE)</f>
        <v>West</v>
      </c>
      <c r="I1518" s="44">
        <f t="shared" si="49"/>
        <v>45323</v>
      </c>
      <c r="L1518" t="str">
        <f>Orders!K1518</f>
        <v>Delhi</v>
      </c>
      <c r="M1518">
        <f>Orders!G1518</f>
        <v>470</v>
      </c>
      <c r="N1518">
        <f>IFERROR(VLOOKUP(Orders!D1518,Products!$A$2:$D$61,4,FALSE),"")</f>
        <v>302</v>
      </c>
      <c r="O1518">
        <f t="shared" si="50"/>
        <v>0.35744680851063831</v>
      </c>
      <c r="Q1518" t="str">
        <f>Orders!D1518</f>
        <v>PROD-053</v>
      </c>
    </row>
    <row r="1519" spans="1:17" x14ac:dyDescent="0.3">
      <c r="A1519" t="str">
        <f>Orders!A1519</f>
        <v>ORD-01518</v>
      </c>
      <c r="B1519">
        <f>Orders!B1519</f>
        <v>45375</v>
      </c>
      <c r="C1519">
        <f>Orders!I1519</f>
        <v>29119.95</v>
      </c>
      <c r="D1519" t="str">
        <f>Orders!E1519</f>
        <v>R020</v>
      </c>
      <c r="E1519" t="str">
        <f>IFERROR(VLOOKUP(Orders!D1519,Products!$A$2:$C$61,3,FALSE),"Unknown")</f>
        <v>Electronics</v>
      </c>
      <c r="F1519" t="str">
        <f>IFERROR(VLOOKUP(Orders!C1519,Customers!$A$2:$E$301,5,FALSE),"Unknown")</f>
        <v>Retail</v>
      </c>
      <c r="G1519">
        <f>IFERROR(VLOOKUP(Orders!C1519,Customers!$A$2:$C$301,3,FALSE),"")</f>
        <v>25</v>
      </c>
      <c r="H1519" t="str">
        <f>VLOOKUP(D1519,Sales_Reps!$A$2:$C$31,3,FALSE)</f>
        <v>East</v>
      </c>
      <c r="I1519" s="44">
        <f t="shared" si="49"/>
        <v>45352</v>
      </c>
      <c r="L1519" t="str">
        <f>Orders!K1519</f>
        <v>Pune</v>
      </c>
      <c r="M1519">
        <f>Orders!G1519</f>
        <v>3970</v>
      </c>
      <c r="N1519">
        <f>IFERROR(VLOOKUP(Orders!D1519,Products!$A$2:$D$61,4,FALSE),"")</f>
        <v>2865</v>
      </c>
      <c r="O1519">
        <f t="shared" si="50"/>
        <v>0.27833753148614609</v>
      </c>
      <c r="Q1519" t="str">
        <f>Orders!D1519</f>
        <v>PROD-006</v>
      </c>
    </row>
    <row r="1520" spans="1:17" x14ac:dyDescent="0.3">
      <c r="A1520" t="str">
        <f>Orders!A1520</f>
        <v>ORD-01519</v>
      </c>
      <c r="B1520">
        <f>Orders!B1520</f>
        <v>45614</v>
      </c>
      <c r="C1520">
        <f>Orders!I1520</f>
        <v>11954.25</v>
      </c>
      <c r="D1520" t="str">
        <f>Orders!E1520</f>
        <v>R010</v>
      </c>
      <c r="E1520" t="str">
        <f>IFERROR(VLOOKUP(Orders!D1520,Products!$A$2:$C$61,3,FALSE),"Unknown")</f>
        <v>Beauty</v>
      </c>
      <c r="F1520" t="str">
        <f>IFERROR(VLOOKUP(Orders!C1520,Customers!$A$2:$E$301,5,FALSE),"Unknown")</f>
        <v>Retail</v>
      </c>
      <c r="G1520">
        <f>IFERROR(VLOOKUP(Orders!C1520,Customers!$A$2:$C$301,3,FALSE),"")</f>
        <v>29</v>
      </c>
      <c r="H1520" t="str">
        <f>VLOOKUP(D1520,Sales_Reps!$A$2:$C$31,3,FALSE)</f>
        <v>South</v>
      </c>
      <c r="I1520" s="44">
        <f t="shared" si="49"/>
        <v>45597</v>
      </c>
      <c r="L1520" t="str">
        <f>Orders!K1520</f>
        <v>Mumbai</v>
      </c>
      <c r="M1520">
        <f>Orders!G1520</f>
        <v>1650</v>
      </c>
      <c r="N1520">
        <f>IFERROR(VLOOKUP(Orders!D1520,Products!$A$2:$D$61,4,FALSE),"")</f>
        <v>1222</v>
      </c>
      <c r="O1520">
        <f t="shared" si="50"/>
        <v>0.2593939393939394</v>
      </c>
      <c r="Q1520" t="str">
        <f>Orders!D1520</f>
        <v>PROD-044</v>
      </c>
    </row>
    <row r="1521" spans="1:17" x14ac:dyDescent="0.3">
      <c r="A1521" t="str">
        <f>Orders!A1521</f>
        <v>ORD-01520</v>
      </c>
      <c r="B1521">
        <f>Orders!B1521</f>
        <v>45364</v>
      </c>
      <c r="C1521">
        <f>Orders!I1521</f>
        <v>28913.85</v>
      </c>
      <c r="D1521" t="str">
        <f>Orders!E1521</f>
        <v>R006</v>
      </c>
      <c r="E1521" t="str">
        <f>IFERROR(VLOOKUP(Orders!D1521,Products!$A$2:$C$61,3,FALSE),"Unknown")</f>
        <v>Beauty</v>
      </c>
      <c r="F1521" t="str">
        <f>IFERROR(VLOOKUP(Orders!C1521,Customers!$A$2:$E$301,5,FALSE),"Unknown")</f>
        <v>Retail</v>
      </c>
      <c r="G1521">
        <f>IFERROR(VLOOKUP(Orders!C1521,Customers!$A$2:$C$301,3,FALSE),"")</f>
        <v>31</v>
      </c>
      <c r="H1521" t="str">
        <f>VLOOKUP(D1521,Sales_Reps!$A$2:$C$31,3,FALSE)</f>
        <v>North</v>
      </c>
      <c r="I1521" s="44">
        <f t="shared" si="49"/>
        <v>45352</v>
      </c>
      <c r="L1521" t="str">
        <f>Orders!K1521</f>
        <v>Hyderabad</v>
      </c>
      <c r="M1521">
        <f>Orders!G1521</f>
        <v>3350</v>
      </c>
      <c r="N1521">
        <f>IFERROR(VLOOKUP(Orders!D1521,Products!$A$2:$D$61,4,FALSE),"")</f>
        <v>1728</v>
      </c>
      <c r="O1521">
        <f t="shared" si="50"/>
        <v>0.48417910447761192</v>
      </c>
      <c r="Q1521" t="str">
        <f>Orders!D1521</f>
        <v>PROD-043</v>
      </c>
    </row>
    <row r="1522" spans="1:17" x14ac:dyDescent="0.3">
      <c r="A1522" t="str">
        <f>Orders!A1522</f>
        <v>ORD-01521</v>
      </c>
      <c r="B1522">
        <f>Orders!B1522</f>
        <v>45342</v>
      </c>
      <c r="C1522">
        <f>Orders!I1522</f>
        <v>23454.76</v>
      </c>
      <c r="D1522" t="str">
        <f>Orders!E1522</f>
        <v>R023</v>
      </c>
      <c r="E1522" t="str">
        <f>IFERROR(VLOOKUP(Orders!D1522,Products!$A$2:$C$61,3,FALSE),"Unknown")</f>
        <v>Electronics</v>
      </c>
      <c r="F1522" t="str">
        <f>IFERROR(VLOOKUP(Orders!C1522,Customers!$A$2:$E$301,5,FALSE),"Unknown")</f>
        <v>Corporate</v>
      </c>
      <c r="G1522">
        <f>IFERROR(VLOOKUP(Orders!C1522,Customers!$A$2:$C$301,3,FALSE),"")</f>
        <v>55</v>
      </c>
      <c r="H1522" t="str">
        <f>VLOOKUP(D1522,Sales_Reps!$A$2:$C$31,3,FALSE)</f>
        <v>East</v>
      </c>
      <c r="I1522" s="44">
        <f t="shared" si="49"/>
        <v>45323</v>
      </c>
      <c r="L1522" t="str">
        <f>Orders!K1522</f>
        <v>Delhi</v>
      </c>
      <c r="M1522">
        <f>Orders!G1522</f>
        <v>3970</v>
      </c>
      <c r="N1522">
        <f>IFERROR(VLOOKUP(Orders!D1522,Products!$A$2:$D$61,4,FALSE),"")</f>
        <v>2865</v>
      </c>
      <c r="O1522">
        <f t="shared" si="50"/>
        <v>0.27833753148614609</v>
      </c>
      <c r="Q1522" t="str">
        <f>Orders!D1522</f>
        <v>PROD-006</v>
      </c>
    </row>
    <row r="1523" spans="1:17" x14ac:dyDescent="0.3">
      <c r="A1523" t="str">
        <f>Orders!A1523</f>
        <v>ORD-01522</v>
      </c>
      <c r="B1523">
        <f>Orders!B1523</f>
        <v>45454</v>
      </c>
      <c r="C1523">
        <f>Orders!I1523</f>
        <v>21511.98</v>
      </c>
      <c r="D1523" t="str">
        <f>Orders!E1523</f>
        <v>R018</v>
      </c>
      <c r="E1523" t="str">
        <f>IFERROR(VLOOKUP(Orders!D1523,Products!$A$2:$C$61,3,FALSE),"Unknown")</f>
        <v>Grocery</v>
      </c>
      <c r="F1523" t="str">
        <f>IFERROR(VLOOKUP(Orders!C1523,Customers!$A$2:$E$301,5,FALSE),"Unknown")</f>
        <v>Retail</v>
      </c>
      <c r="G1523">
        <f>IFERROR(VLOOKUP(Orders!C1523,Customers!$A$2:$C$301,3,FALSE),"")</f>
        <v>36</v>
      </c>
      <c r="H1523" t="str">
        <f>VLOOKUP(D1523,Sales_Reps!$A$2:$C$31,3,FALSE)</f>
        <v>East</v>
      </c>
      <c r="I1523" s="44">
        <f t="shared" si="49"/>
        <v>45444</v>
      </c>
      <c r="L1523" t="str">
        <f>Orders!K1523</f>
        <v>Pune</v>
      </c>
      <c r="M1523">
        <f>Orders!G1523</f>
        <v>3780</v>
      </c>
      <c r="N1523">
        <f>IFERROR(VLOOKUP(Orders!D1523,Products!$A$2:$D$61,4,FALSE),"")</f>
        <v>2436</v>
      </c>
      <c r="O1523">
        <f t="shared" si="50"/>
        <v>0.35555555555555557</v>
      </c>
      <c r="Q1523" t="str">
        <f>Orders!D1523</f>
        <v>PROD-027</v>
      </c>
    </row>
    <row r="1524" spans="1:17" x14ac:dyDescent="0.3">
      <c r="A1524" t="str">
        <f>Orders!A1524</f>
        <v>ORD-01523</v>
      </c>
      <c r="B1524">
        <f>Orders!B1524</f>
        <v>45625</v>
      </c>
      <c r="C1524">
        <f>Orders!I1524</f>
        <v>2663.36</v>
      </c>
      <c r="D1524" t="str">
        <f>Orders!E1524</f>
        <v>R013</v>
      </c>
      <c r="E1524" t="str">
        <f>IFERROR(VLOOKUP(Orders!D1524,Products!$A$2:$C$61,3,FALSE),"Unknown")</f>
        <v>Apparel</v>
      </c>
      <c r="F1524" t="str">
        <f>IFERROR(VLOOKUP(Orders!C1524,Customers!$A$2:$E$301,5,FALSE),"Unknown")</f>
        <v>Retail</v>
      </c>
      <c r="G1524">
        <f>IFERROR(VLOOKUP(Orders!C1524,Customers!$A$2:$C$301,3,FALSE),"")</f>
        <v>49</v>
      </c>
      <c r="H1524" t="str">
        <f>VLOOKUP(D1524,Sales_Reps!$A$2:$C$31,3,FALSE)</f>
        <v>South</v>
      </c>
      <c r="I1524" s="44">
        <f t="shared" si="49"/>
        <v>45597</v>
      </c>
      <c r="L1524" t="str">
        <f>Orders!K1524</f>
        <v>Delhi</v>
      </c>
      <c r="M1524">
        <f>Orders!G1524</f>
        <v>820</v>
      </c>
      <c r="N1524">
        <f>IFERROR(VLOOKUP(Orders!D1524,Products!$A$2:$D$61,4,FALSE),"")</f>
        <v>391</v>
      </c>
      <c r="O1524">
        <f t="shared" si="50"/>
        <v>0.52317073170731709</v>
      </c>
      <c r="Q1524" t="str">
        <f>Orders!D1524</f>
        <v>PROD-020</v>
      </c>
    </row>
    <row r="1525" spans="1:17" x14ac:dyDescent="0.3">
      <c r="A1525" t="str">
        <f>Orders!A1525</f>
        <v>ORD-01524</v>
      </c>
      <c r="B1525">
        <f>Orders!B1525</f>
        <v>45600</v>
      </c>
      <c r="C1525">
        <f>Orders!I1525</f>
        <v>1339.8</v>
      </c>
      <c r="D1525" t="str">
        <f>Orders!E1525</f>
        <v>R022</v>
      </c>
      <c r="E1525" t="str">
        <f>IFERROR(VLOOKUP(Orders!D1525,Products!$A$2:$C$61,3,FALSE),"Unknown")</f>
        <v>Beauty</v>
      </c>
      <c r="F1525" t="str">
        <f>IFERROR(VLOOKUP(Orders!C1525,Customers!$A$2:$E$301,5,FALSE),"Unknown")</f>
        <v>Retail</v>
      </c>
      <c r="G1525">
        <f>IFERROR(VLOOKUP(Orders!C1525,Customers!$A$2:$C$301,3,FALSE),"")</f>
        <v>56</v>
      </c>
      <c r="H1525" t="str">
        <f>VLOOKUP(D1525,Sales_Reps!$A$2:$C$31,3,FALSE)</f>
        <v>East</v>
      </c>
      <c r="I1525" s="44">
        <f t="shared" si="49"/>
        <v>45597</v>
      </c>
      <c r="L1525" t="str">
        <f>Orders!K1525</f>
        <v>Mumbai</v>
      </c>
      <c r="M1525">
        <f>Orders!G1525</f>
        <v>1650</v>
      </c>
      <c r="N1525">
        <f>IFERROR(VLOOKUP(Orders!D1525,Products!$A$2:$D$61,4,FALSE),"")</f>
        <v>1222</v>
      </c>
      <c r="O1525">
        <f t="shared" si="50"/>
        <v>0.2593939393939394</v>
      </c>
      <c r="Q1525" t="str">
        <f>Orders!D1525</f>
        <v>PROD-044</v>
      </c>
    </row>
    <row r="1526" spans="1:17" x14ac:dyDescent="0.3">
      <c r="A1526" t="str">
        <f>Orders!A1526</f>
        <v>ORD-01525</v>
      </c>
      <c r="B1526">
        <f>Orders!B1526</f>
        <v>45397</v>
      </c>
      <c r="C1526">
        <f>Orders!I1526</f>
        <v>7484.4</v>
      </c>
      <c r="D1526" t="str">
        <f>Orders!E1526</f>
        <v>R021</v>
      </c>
      <c r="E1526" t="str">
        <f>IFERROR(VLOOKUP(Orders!D1526,Products!$A$2:$C$61,3,FALSE),"Unknown")</f>
        <v>Grocery</v>
      </c>
      <c r="F1526" t="str">
        <f>IFERROR(VLOOKUP(Orders!C1526,Customers!$A$2:$E$301,5,FALSE),"Unknown")</f>
        <v>Retail</v>
      </c>
      <c r="G1526">
        <f>IFERROR(VLOOKUP(Orders!C1526,Customers!$A$2:$C$301,3,FALSE),"")</f>
        <v>25</v>
      </c>
      <c r="H1526" t="str">
        <f>VLOOKUP(D1526,Sales_Reps!$A$2:$C$31,3,FALSE)</f>
        <v>East</v>
      </c>
      <c r="I1526" s="44">
        <f t="shared" si="49"/>
        <v>45383</v>
      </c>
      <c r="L1526" t="str">
        <f>Orders!K1526</f>
        <v>Pune</v>
      </c>
      <c r="M1526">
        <f>Orders!G1526</f>
        <v>3780</v>
      </c>
      <c r="N1526">
        <f>IFERROR(VLOOKUP(Orders!D1526,Products!$A$2:$D$61,4,FALSE),"")</f>
        <v>2436</v>
      </c>
      <c r="O1526">
        <f t="shared" si="50"/>
        <v>0.35555555555555557</v>
      </c>
      <c r="Q1526" t="str">
        <f>Orders!D1526</f>
        <v>PROD-027</v>
      </c>
    </row>
    <row r="1527" spans="1:17" x14ac:dyDescent="0.3">
      <c r="A1527" t="str">
        <f>Orders!A1527</f>
        <v>ORD-01526</v>
      </c>
      <c r="B1527">
        <f>Orders!B1527</f>
        <v>45417</v>
      </c>
      <c r="C1527">
        <f>Orders!I1527</f>
        <v>9215.7000000000007</v>
      </c>
      <c r="D1527" t="str">
        <f>Orders!E1527</f>
        <v>R027</v>
      </c>
      <c r="E1527" t="str">
        <f>IFERROR(VLOOKUP(Orders!D1527,Products!$A$2:$C$61,3,FALSE),"Unknown")</f>
        <v>Grocery</v>
      </c>
      <c r="F1527" t="str">
        <f>IFERROR(VLOOKUP(Orders!C1527,Customers!$A$2:$E$301,5,FALSE),"Unknown")</f>
        <v>Retail</v>
      </c>
      <c r="G1527">
        <f>IFERROR(VLOOKUP(Orders!C1527,Customers!$A$2:$C$301,3,FALSE),"")</f>
        <v>41</v>
      </c>
      <c r="H1527" t="str">
        <f>VLOOKUP(D1527,Sales_Reps!$A$2:$C$31,3,FALSE)</f>
        <v>West</v>
      </c>
      <c r="I1527" s="44">
        <f t="shared" si="49"/>
        <v>45413</v>
      </c>
      <c r="L1527" t="str">
        <f>Orders!K1527</f>
        <v>Mumbai</v>
      </c>
      <c r="M1527">
        <f>Orders!G1527</f>
        <v>2210</v>
      </c>
      <c r="N1527">
        <f>IFERROR(VLOOKUP(Orders!D1527,Products!$A$2:$D$61,4,FALSE),"")</f>
        <v>1010</v>
      </c>
      <c r="O1527">
        <f t="shared" si="50"/>
        <v>0.54298642533936647</v>
      </c>
      <c r="Q1527" t="str">
        <f>Orders!D1527</f>
        <v>PROD-029</v>
      </c>
    </row>
    <row r="1528" spans="1:17" x14ac:dyDescent="0.3">
      <c r="A1528" t="str">
        <f>Orders!A1528</f>
        <v>ORD-01527</v>
      </c>
      <c r="B1528">
        <f>Orders!B1528</f>
        <v>45487</v>
      </c>
      <c r="C1528">
        <f>Orders!I1528</f>
        <v>62043.6</v>
      </c>
      <c r="D1528" t="str">
        <f>Orders!E1528</f>
        <v>R010</v>
      </c>
      <c r="E1528" t="str">
        <f>IFERROR(VLOOKUP(Orders!D1528,Products!$A$2:$C$61,3,FALSE),"Unknown")</f>
        <v>Sports</v>
      </c>
      <c r="F1528" t="str">
        <f>IFERROR(VLOOKUP(Orders!C1528,Customers!$A$2:$E$301,5,FALSE),"Unknown")</f>
        <v>Retail</v>
      </c>
      <c r="G1528">
        <f>IFERROR(VLOOKUP(Orders!C1528,Customers!$A$2:$C$301,3,FALSE),"")</f>
        <v>27</v>
      </c>
      <c r="H1528" t="str">
        <f>VLOOKUP(D1528,Sales_Reps!$A$2:$C$31,3,FALSE)</f>
        <v>South</v>
      </c>
      <c r="I1528" s="44">
        <f t="shared" si="49"/>
        <v>45474</v>
      </c>
      <c r="L1528" t="str">
        <f>Orders!K1528</f>
        <v>Hyderabad</v>
      </c>
      <c r="M1528">
        <f>Orders!G1528</f>
        <v>6940</v>
      </c>
      <c r="N1528">
        <f>IFERROR(VLOOKUP(Orders!D1528,Products!$A$2:$D$61,4,FALSE),"")</f>
        <v>2827</v>
      </c>
      <c r="O1528">
        <f t="shared" si="50"/>
        <v>0.5926512968299712</v>
      </c>
      <c r="Q1528" t="str">
        <f>Orders!D1528</f>
        <v>PROD-056</v>
      </c>
    </row>
    <row r="1529" spans="1:17" x14ac:dyDescent="0.3">
      <c r="A1529" t="str">
        <f>Orders!A1529</f>
        <v>ORD-01528</v>
      </c>
      <c r="B1529">
        <f>Orders!B1529</f>
        <v>45454</v>
      </c>
      <c r="C1529">
        <f>Orders!I1529</f>
        <v>16084.96</v>
      </c>
      <c r="D1529" t="str">
        <f>Orders!E1529</f>
        <v>R005</v>
      </c>
      <c r="E1529" t="str">
        <f>IFERROR(VLOOKUP(Orders!D1529,Products!$A$2:$C$61,3,FALSE),"Unknown")</f>
        <v>Beauty</v>
      </c>
      <c r="F1529" t="str">
        <f>IFERROR(VLOOKUP(Orders!C1529,Customers!$A$2:$E$301,5,FALSE),"Unknown")</f>
        <v>SMB</v>
      </c>
      <c r="G1529">
        <f>IFERROR(VLOOKUP(Orders!C1529,Customers!$A$2:$C$301,3,FALSE),"")</f>
        <v>62</v>
      </c>
      <c r="H1529" t="str">
        <f>VLOOKUP(D1529,Sales_Reps!$A$2:$C$31,3,FALSE)</f>
        <v>North</v>
      </c>
      <c r="I1529" s="44">
        <f t="shared" si="49"/>
        <v>45444</v>
      </c>
      <c r="L1529" t="str">
        <f>Orders!K1529</f>
        <v>Chennai</v>
      </c>
      <c r="M1529">
        <f>Orders!G1529</f>
        <v>2290</v>
      </c>
      <c r="N1529">
        <f>IFERROR(VLOOKUP(Orders!D1529,Products!$A$2:$D$61,4,FALSE),"")</f>
        <v>1219</v>
      </c>
      <c r="O1529">
        <f t="shared" si="50"/>
        <v>0.46768558951965067</v>
      </c>
      <c r="Q1529" t="str">
        <f>Orders!D1529</f>
        <v>PROD-042</v>
      </c>
    </row>
    <row r="1530" spans="1:17" x14ac:dyDescent="0.3">
      <c r="A1530" t="str">
        <f>Orders!A1530</f>
        <v>ORD-01529</v>
      </c>
      <c r="B1530">
        <f>Orders!B1530</f>
        <v>45529</v>
      </c>
      <c r="C1530">
        <f>Orders!I1530</f>
        <v>7734.3</v>
      </c>
      <c r="D1530" t="str">
        <f>Orders!E1530</f>
        <v>R025</v>
      </c>
      <c r="E1530" t="str">
        <f>IFERROR(VLOOKUP(Orders!D1530,Products!$A$2:$C$61,3,FALSE),"Unknown")</f>
        <v>Home</v>
      </c>
      <c r="F1530" t="str">
        <f>IFERROR(VLOOKUP(Orders!C1530,Customers!$A$2:$E$301,5,FALSE),"Unknown")</f>
        <v>Retail</v>
      </c>
      <c r="G1530">
        <f>IFERROR(VLOOKUP(Orders!C1530,Customers!$A$2:$C$301,3,FALSE),"")</f>
        <v>26</v>
      </c>
      <c r="H1530" t="str">
        <f>VLOOKUP(D1530,Sales_Reps!$A$2:$C$31,3,FALSE)</f>
        <v>West</v>
      </c>
      <c r="I1530" s="44">
        <f t="shared" si="49"/>
        <v>45505</v>
      </c>
      <c r="L1530" t="str">
        <f>Orders!K1530</f>
        <v>Chennai</v>
      </c>
      <c r="M1530">
        <f>Orders!G1530</f>
        <v>2030</v>
      </c>
      <c r="N1530">
        <f>IFERROR(VLOOKUP(Orders!D1530,Products!$A$2:$D$61,4,FALSE),"")</f>
        <v>1143</v>
      </c>
      <c r="O1530">
        <f t="shared" si="50"/>
        <v>0.43694581280788175</v>
      </c>
      <c r="Q1530" t="str">
        <f>Orders!D1530</f>
        <v>PROD-033</v>
      </c>
    </row>
    <row r="1531" spans="1:17" x14ac:dyDescent="0.3">
      <c r="A1531" t="str">
        <f>Orders!A1531</f>
        <v>ORD-01530</v>
      </c>
      <c r="B1531">
        <f>Orders!B1531</f>
        <v>45546</v>
      </c>
      <c r="C1531">
        <f>Orders!I1531</f>
        <v>10992.93</v>
      </c>
      <c r="D1531" t="str">
        <f>Orders!E1531</f>
        <v>R029</v>
      </c>
      <c r="E1531" t="str">
        <f>IFERROR(VLOOKUP(Orders!D1531,Products!$A$2:$C$61,3,FALSE),"Unknown")</f>
        <v>Electronics</v>
      </c>
      <c r="F1531" t="str">
        <f>IFERROR(VLOOKUP(Orders!C1531,Customers!$A$2:$E$301,5,FALSE),"Unknown")</f>
        <v>SMB</v>
      </c>
      <c r="G1531">
        <f>IFERROR(VLOOKUP(Orders!C1531,Customers!$A$2:$C$301,3,FALSE),"")</f>
        <v>30</v>
      </c>
      <c r="H1531" t="str">
        <f>VLOOKUP(D1531,Sales_Reps!$A$2:$C$31,3,FALSE)</f>
        <v>West</v>
      </c>
      <c r="I1531" s="44">
        <f t="shared" si="49"/>
        <v>45536</v>
      </c>
      <c r="L1531" t="str">
        <f>Orders!K1531</f>
        <v>Pune</v>
      </c>
      <c r="M1531">
        <f>Orders!G1531</f>
        <v>3970</v>
      </c>
      <c r="N1531">
        <f>IFERROR(VLOOKUP(Orders!D1531,Products!$A$2:$D$61,4,FALSE),"")</f>
        <v>2865</v>
      </c>
      <c r="O1531">
        <f t="shared" si="50"/>
        <v>0.27833753148614609</v>
      </c>
      <c r="Q1531" t="str">
        <f>Orders!D1531</f>
        <v>PROD-006</v>
      </c>
    </row>
    <row r="1532" spans="1:17" x14ac:dyDescent="0.3">
      <c r="A1532" t="str">
        <f>Orders!A1532</f>
        <v>ORD-01821</v>
      </c>
      <c r="B1532">
        <f>Orders!B1532</f>
        <v>45481</v>
      </c>
      <c r="C1532">
        <f>Orders!I1532</f>
        <v>775.72</v>
      </c>
      <c r="D1532" t="str">
        <f>Orders!E1532</f>
        <v>R016</v>
      </c>
      <c r="E1532" t="str">
        <f>IFERROR(VLOOKUP(Orders!D1532,Products!$A$2:$C$61,3,FALSE),"Unknown")</f>
        <v>Apparel</v>
      </c>
      <c r="F1532" t="str">
        <f>IFERROR(VLOOKUP(Orders!C1532,Customers!$A$2:$E$301,5,FALSE),"Unknown")</f>
        <v>Corporate</v>
      </c>
      <c r="G1532">
        <f>IFERROR(VLOOKUP(Orders!C1532,Customers!$A$2:$C$301,3,FALSE),"")</f>
        <v>51</v>
      </c>
      <c r="H1532" t="str">
        <f>VLOOKUP(D1532,Sales_Reps!$A$2:$C$31,3,FALSE)</f>
        <v>South</v>
      </c>
      <c r="I1532" s="44">
        <f t="shared" si="49"/>
        <v>45474</v>
      </c>
      <c r="L1532" t="str">
        <f>Orders!K1532</f>
        <v>Mumbai</v>
      </c>
      <c r="M1532">
        <f>Orders!G1532</f>
        <v>820</v>
      </c>
      <c r="N1532">
        <f>IFERROR(VLOOKUP(Orders!D1532,Products!$A$2:$D$61,4,FALSE),"")</f>
        <v>391</v>
      </c>
      <c r="O1532">
        <f t="shared" si="50"/>
        <v>0.52317073170731709</v>
      </c>
      <c r="Q1532" t="str">
        <f>Orders!D1532</f>
        <v>PROD-020</v>
      </c>
    </row>
    <row r="1533" spans="1:17" x14ac:dyDescent="0.3">
      <c r="A1533" t="str">
        <f>Orders!A1533</f>
        <v>ORD-01532</v>
      </c>
      <c r="B1533">
        <f>Orders!B1533</f>
        <v>45472</v>
      </c>
      <c r="C1533">
        <f>Orders!I1533</f>
        <v>11389.41</v>
      </c>
      <c r="D1533" t="str">
        <f>Orders!E1533</f>
        <v>R025</v>
      </c>
      <c r="E1533" t="str">
        <f>IFERROR(VLOOKUP(Orders!D1533,Products!$A$2:$C$61,3,FALSE),"Unknown")</f>
        <v>Electronics</v>
      </c>
      <c r="F1533" t="str">
        <f>IFERROR(VLOOKUP(Orders!C1533,Customers!$A$2:$E$301,5,FALSE),"Unknown")</f>
        <v>Retail</v>
      </c>
      <c r="G1533">
        <f>IFERROR(VLOOKUP(Orders!C1533,Customers!$A$2:$C$301,3,FALSE),"")</f>
        <v>31</v>
      </c>
      <c r="H1533" t="str">
        <f>VLOOKUP(D1533,Sales_Reps!$A$2:$C$31,3,FALSE)</f>
        <v>West</v>
      </c>
      <c r="I1533" s="44">
        <f t="shared" si="49"/>
        <v>45444</v>
      </c>
      <c r="L1533" t="str">
        <f>Orders!K1533</f>
        <v>Delhi</v>
      </c>
      <c r="M1533">
        <f>Orders!G1533</f>
        <v>3870</v>
      </c>
      <c r="N1533">
        <f>IFERROR(VLOOKUP(Orders!D1533,Products!$A$2:$D$61,4,FALSE),"")</f>
        <v>1559</v>
      </c>
      <c r="O1533">
        <f t="shared" si="50"/>
        <v>0.59715762273901807</v>
      </c>
      <c r="Q1533" t="str">
        <f>Orders!D1533</f>
        <v>PROD-004</v>
      </c>
    </row>
    <row r="1534" spans="1:17" x14ac:dyDescent="0.3">
      <c r="A1534" t="str">
        <f>Orders!A1534</f>
        <v>ORD-01533</v>
      </c>
      <c r="B1534">
        <f>Orders!B1534</f>
        <v>45296</v>
      </c>
      <c r="C1534">
        <f>Orders!I1534</f>
        <v>4242.78</v>
      </c>
      <c r="D1534" t="str">
        <f>Orders!E1534</f>
        <v>R022</v>
      </c>
      <c r="E1534" t="str">
        <f>IFERROR(VLOOKUP(Orders!D1534,Products!$A$2:$C$61,3,FALSE),"Unknown")</f>
        <v>Grocery</v>
      </c>
      <c r="F1534" t="str">
        <f>IFERROR(VLOOKUP(Orders!C1534,Customers!$A$2:$E$301,5,FALSE),"Unknown")</f>
        <v>Retail</v>
      </c>
      <c r="G1534">
        <f>IFERROR(VLOOKUP(Orders!C1534,Customers!$A$2:$C$301,3,FALSE),"")</f>
        <v>44</v>
      </c>
      <c r="H1534" t="str">
        <f>VLOOKUP(D1534,Sales_Reps!$A$2:$C$31,3,FALSE)</f>
        <v>East</v>
      </c>
      <c r="I1534" s="44">
        <f t="shared" si="49"/>
        <v>45292</v>
      </c>
      <c r="L1534" t="str">
        <f>Orders!K1534</f>
        <v>Mumbai</v>
      </c>
      <c r="M1534">
        <f>Orders!G1534</f>
        <v>970</v>
      </c>
      <c r="N1534">
        <f>IFERROR(VLOOKUP(Orders!D1534,Products!$A$2:$D$61,4,FALSE),"")</f>
        <v>434</v>
      </c>
      <c r="O1534">
        <f t="shared" si="50"/>
        <v>0.5525773195876289</v>
      </c>
      <c r="Q1534" t="str">
        <f>Orders!D1534</f>
        <v>PROD-030</v>
      </c>
    </row>
    <row r="1535" spans="1:17" x14ac:dyDescent="0.3">
      <c r="A1535" t="str">
        <f>Orders!A1535</f>
        <v>ORD-01534</v>
      </c>
      <c r="B1535">
        <f>Orders!B1535</f>
        <v>45567</v>
      </c>
      <c r="C1535">
        <f>Orders!I1535</f>
        <v>3572.16</v>
      </c>
      <c r="D1535" t="str">
        <f>Orders!E1535</f>
        <v>R025</v>
      </c>
      <c r="E1535" t="str">
        <f>IFERROR(VLOOKUP(Orders!D1535,Products!$A$2:$C$61,3,FALSE),"Unknown")</f>
        <v>Beauty</v>
      </c>
      <c r="F1535" t="str">
        <f>IFERROR(VLOOKUP(Orders!C1535,Customers!$A$2:$E$301,5,FALSE),"Unknown")</f>
        <v>SMB</v>
      </c>
      <c r="G1535">
        <f>IFERROR(VLOOKUP(Orders!C1535,Customers!$A$2:$C$301,3,FALSE),"")</f>
        <v>43</v>
      </c>
      <c r="H1535" t="str">
        <f>VLOOKUP(D1535,Sales_Reps!$A$2:$C$31,3,FALSE)</f>
        <v>West</v>
      </c>
      <c r="I1535" s="44">
        <f t="shared" si="49"/>
        <v>45566</v>
      </c>
      <c r="L1535" t="str">
        <f>Orders!K1535</f>
        <v>Hyderabad</v>
      </c>
      <c r="M1535">
        <f>Orders!G1535</f>
        <v>4880</v>
      </c>
      <c r="N1535">
        <f>IFERROR(VLOOKUP(Orders!D1535,Products!$A$2:$D$61,4,FALSE),"")</f>
        <v>2768</v>
      </c>
      <c r="O1535">
        <f t="shared" si="50"/>
        <v>0.43278688524590164</v>
      </c>
      <c r="Q1535" t="str">
        <f>Orders!D1535</f>
        <v>PROD-046</v>
      </c>
    </row>
    <row r="1536" spans="1:17" x14ac:dyDescent="0.3">
      <c r="A1536" t="str">
        <f>Orders!A1536</f>
        <v>ORD-01535</v>
      </c>
      <c r="B1536">
        <f>Orders!B1536</f>
        <v>45337</v>
      </c>
      <c r="C1536">
        <f>Orders!I1536</f>
        <v>1766.06</v>
      </c>
      <c r="D1536" t="str">
        <f>Orders!E1536</f>
        <v>R023</v>
      </c>
      <c r="E1536" t="str">
        <f>IFERROR(VLOOKUP(Orders!D1536,Products!$A$2:$C$61,3,FALSE),"Unknown")</f>
        <v>Grocery</v>
      </c>
      <c r="F1536" t="str">
        <f>IFERROR(VLOOKUP(Orders!C1536,Customers!$A$2:$E$301,5,FALSE),"Unknown")</f>
        <v>Corporate</v>
      </c>
      <c r="G1536">
        <f>IFERROR(VLOOKUP(Orders!C1536,Customers!$A$2:$C$301,3,FALSE),"")</f>
        <v>41</v>
      </c>
      <c r="H1536" t="str">
        <f>VLOOKUP(D1536,Sales_Reps!$A$2:$C$31,3,FALSE)</f>
        <v>East</v>
      </c>
      <c r="I1536" s="44">
        <f t="shared" si="49"/>
        <v>45323</v>
      </c>
      <c r="L1536" t="str">
        <f>Orders!K1536</f>
        <v>Bengaluru</v>
      </c>
      <c r="M1536">
        <f>Orders!G1536</f>
        <v>2270</v>
      </c>
      <c r="N1536">
        <f>IFERROR(VLOOKUP(Orders!D1536,Products!$A$2:$D$61,4,FALSE),"")</f>
        <v>1412</v>
      </c>
      <c r="O1536">
        <f t="shared" si="50"/>
        <v>0.37797356828193834</v>
      </c>
      <c r="Q1536" t="str">
        <f>Orders!D1536</f>
        <v>PROD-022</v>
      </c>
    </row>
    <row r="1537" spans="1:17" x14ac:dyDescent="0.3">
      <c r="A1537" t="str">
        <f>Orders!A1537</f>
        <v>ORD-01536</v>
      </c>
      <c r="B1537">
        <f>Orders!B1537</f>
        <v>45376</v>
      </c>
      <c r="C1537">
        <f>Orders!I1537</f>
        <v>26944.5</v>
      </c>
      <c r="D1537" t="str">
        <f>Orders!E1537</f>
        <v>R026</v>
      </c>
      <c r="E1537" t="str">
        <f>IFERROR(VLOOKUP(Orders!D1537,Products!$A$2:$C$61,3,FALSE),"Unknown")</f>
        <v>Beauty</v>
      </c>
      <c r="F1537" t="str">
        <f>IFERROR(VLOOKUP(Orders!C1537,Customers!$A$2:$E$301,5,FALSE),"Unknown")</f>
        <v>SMB</v>
      </c>
      <c r="G1537">
        <f>IFERROR(VLOOKUP(Orders!C1537,Customers!$A$2:$C$301,3,FALSE),"")</f>
        <v>46</v>
      </c>
      <c r="H1537" t="str">
        <f>VLOOKUP(D1537,Sales_Reps!$A$2:$C$31,3,FALSE)</f>
        <v>West</v>
      </c>
      <c r="I1537" s="44">
        <f t="shared" si="49"/>
        <v>45352</v>
      </c>
      <c r="L1537" t="str">
        <f>Orders!K1537</f>
        <v>Bengaluru</v>
      </c>
      <c r="M1537">
        <f>Orders!G1537</f>
        <v>3450</v>
      </c>
      <c r="N1537">
        <f>IFERROR(VLOOKUP(Orders!D1537,Products!$A$2:$D$61,4,FALSE),"")</f>
        <v>2420</v>
      </c>
      <c r="O1537">
        <f t="shared" si="50"/>
        <v>0.29855072463768118</v>
      </c>
      <c r="Q1537" t="str">
        <f>Orders!D1537</f>
        <v>PROD-047</v>
      </c>
    </row>
    <row r="1538" spans="1:17" x14ac:dyDescent="0.3">
      <c r="A1538" t="str">
        <f>Orders!A1538</f>
        <v>ORD-01537</v>
      </c>
      <c r="B1538">
        <f>Orders!B1538</f>
        <v>45616</v>
      </c>
      <c r="C1538">
        <f>Orders!I1538</f>
        <v>5509.29</v>
      </c>
      <c r="D1538" t="str">
        <f>Orders!E1538</f>
        <v>R011</v>
      </c>
      <c r="E1538" t="str">
        <f>IFERROR(VLOOKUP(Orders!D1538,Products!$A$2:$C$61,3,FALSE),"Unknown")</f>
        <v>Grocery</v>
      </c>
      <c r="F1538" t="str">
        <f>IFERROR(VLOOKUP(Orders!C1538,Customers!$A$2:$E$301,5,FALSE),"Unknown")</f>
        <v>SMB</v>
      </c>
      <c r="G1538">
        <f>IFERROR(VLOOKUP(Orders!C1538,Customers!$A$2:$C$301,3,FALSE),"")</f>
        <v>43</v>
      </c>
      <c r="H1538" t="str">
        <f>VLOOKUP(D1538,Sales_Reps!$A$2:$C$31,3,FALSE)</f>
        <v>South</v>
      </c>
      <c r="I1538" s="44">
        <f t="shared" si="49"/>
        <v>45597</v>
      </c>
      <c r="L1538" t="str">
        <f>Orders!K1538</f>
        <v>Hyderabad</v>
      </c>
      <c r="M1538">
        <f>Orders!G1538</f>
        <v>2270</v>
      </c>
      <c r="N1538">
        <f>IFERROR(VLOOKUP(Orders!D1538,Products!$A$2:$D$61,4,FALSE),"")</f>
        <v>1412</v>
      </c>
      <c r="O1538">
        <f t="shared" si="50"/>
        <v>0.37797356828193834</v>
      </c>
      <c r="Q1538" t="str">
        <f>Orders!D1538</f>
        <v>PROD-022</v>
      </c>
    </row>
    <row r="1539" spans="1:17" x14ac:dyDescent="0.3">
      <c r="A1539" t="str">
        <f>Orders!A1539</f>
        <v>ORD-01538</v>
      </c>
      <c r="B1539">
        <f>Orders!B1539</f>
        <v>45360</v>
      </c>
      <c r="C1539">
        <f>Orders!I1539</f>
        <v>17171.7</v>
      </c>
      <c r="D1539" t="str">
        <f>Orders!E1539</f>
        <v>R030</v>
      </c>
      <c r="E1539" t="str">
        <f>IFERROR(VLOOKUP(Orders!D1539,Products!$A$2:$C$61,3,FALSE),"Unknown")</f>
        <v>Grocery</v>
      </c>
      <c r="F1539" t="str">
        <f>IFERROR(VLOOKUP(Orders!C1539,Customers!$A$2:$E$301,5,FALSE),"Unknown")</f>
        <v>Retail</v>
      </c>
      <c r="G1539">
        <f>IFERROR(VLOOKUP(Orders!C1539,Customers!$A$2:$C$301,3,FALSE),"")</f>
        <v>28</v>
      </c>
      <c r="H1539" t="str">
        <f>VLOOKUP(D1539,Sales_Reps!$A$2:$C$31,3,FALSE)</f>
        <v>West</v>
      </c>
      <c r="I1539" s="44">
        <f t="shared" ref="I1539:I1602" si="51">DATE(YEAR(B1539),MONTH(B1539),1)</f>
        <v>45352</v>
      </c>
      <c r="L1539" t="str">
        <f>Orders!K1539</f>
        <v>Bengaluru</v>
      </c>
      <c r="M1539">
        <f>Orders!G1539</f>
        <v>2210</v>
      </c>
      <c r="N1539">
        <f>IFERROR(VLOOKUP(Orders!D1539,Products!$A$2:$D$61,4,FALSE),"")</f>
        <v>1010</v>
      </c>
      <c r="O1539">
        <f t="shared" ref="O1539:O1602" si="52">IF(OR(N1539="",M1539&lt;=0),"",(M1539-N1539)/M1539)</f>
        <v>0.54298642533936647</v>
      </c>
      <c r="Q1539" t="str">
        <f>Orders!D1539</f>
        <v>PROD-029</v>
      </c>
    </row>
    <row r="1540" spans="1:17" x14ac:dyDescent="0.3">
      <c r="A1540" t="str">
        <f>Orders!A1540</f>
        <v>ORD-01539</v>
      </c>
      <c r="B1540">
        <f>Orders!B1540</f>
        <v>45465</v>
      </c>
      <c r="C1540">
        <f>Orders!I1540</f>
        <v>13739.04</v>
      </c>
      <c r="D1540" t="str">
        <f>Orders!E1540</f>
        <v>R011</v>
      </c>
      <c r="E1540" t="str">
        <f>IFERROR(VLOOKUP(Orders!D1540,Products!$A$2:$C$61,3,FALSE),"Unknown")</f>
        <v>Home</v>
      </c>
      <c r="F1540" t="str">
        <f>IFERROR(VLOOKUP(Orders!C1540,Customers!$A$2:$E$301,5,FALSE),"Unknown")</f>
        <v>SMB</v>
      </c>
      <c r="G1540">
        <f>IFERROR(VLOOKUP(Orders!C1540,Customers!$A$2:$C$301,3,FALSE),"")</f>
        <v>59</v>
      </c>
      <c r="H1540" t="str">
        <f>VLOOKUP(D1540,Sales_Reps!$A$2:$C$31,3,FALSE)</f>
        <v>South</v>
      </c>
      <c r="I1540" s="44">
        <f t="shared" si="51"/>
        <v>45444</v>
      </c>
      <c r="L1540" t="str">
        <f>Orders!K1540</f>
        <v>Delhi</v>
      </c>
      <c r="M1540">
        <f>Orders!G1540</f>
        <v>2030</v>
      </c>
      <c r="N1540">
        <f>IFERROR(VLOOKUP(Orders!D1540,Products!$A$2:$D$61,4,FALSE),"")</f>
        <v>1143</v>
      </c>
      <c r="O1540">
        <f t="shared" si="52"/>
        <v>0.43694581280788175</v>
      </c>
      <c r="Q1540" t="str">
        <f>Orders!D1540</f>
        <v>PROD-033</v>
      </c>
    </row>
    <row r="1541" spans="1:17" x14ac:dyDescent="0.3">
      <c r="A1541" t="str">
        <f>Orders!A1541</f>
        <v>ORD-01540</v>
      </c>
      <c r="B1541">
        <f>Orders!B1541</f>
        <v>45380</v>
      </c>
      <c r="C1541">
        <f>Orders!I1541</f>
        <v>13701.5</v>
      </c>
      <c r="D1541" t="str">
        <f>Orders!E1541</f>
        <v>R023</v>
      </c>
      <c r="E1541" t="str">
        <f>IFERROR(VLOOKUP(Orders!D1541,Products!$A$2:$C$61,3,FALSE),"Unknown")</f>
        <v>Beauty</v>
      </c>
      <c r="F1541" t="str">
        <f>IFERROR(VLOOKUP(Orders!C1541,Customers!$A$2:$E$301,5,FALSE),"Unknown")</f>
        <v>Retail</v>
      </c>
      <c r="G1541">
        <f>IFERROR(VLOOKUP(Orders!C1541,Customers!$A$2:$C$301,3,FALSE),"")</f>
        <v>44</v>
      </c>
      <c r="H1541" t="str">
        <f>VLOOKUP(D1541,Sales_Reps!$A$2:$C$31,3,FALSE)</f>
        <v>East</v>
      </c>
      <c r="I1541" s="44">
        <f t="shared" si="51"/>
        <v>45352</v>
      </c>
      <c r="L1541" t="str">
        <f>Orders!K1541</f>
        <v>Hyderabad</v>
      </c>
      <c r="M1541">
        <f>Orders!G1541</f>
        <v>3350</v>
      </c>
      <c r="N1541">
        <f>IFERROR(VLOOKUP(Orders!D1541,Products!$A$2:$D$61,4,FALSE),"")</f>
        <v>1728</v>
      </c>
      <c r="O1541">
        <f t="shared" si="52"/>
        <v>0.48417910447761192</v>
      </c>
      <c r="Q1541" t="str">
        <f>Orders!D1541</f>
        <v>PROD-043</v>
      </c>
    </row>
    <row r="1542" spans="1:17" x14ac:dyDescent="0.3">
      <c r="A1542" t="str">
        <f>Orders!A1542</f>
        <v>ORD-01541</v>
      </c>
      <c r="B1542">
        <f>Orders!B1542</f>
        <v>45358</v>
      </c>
      <c r="C1542">
        <f>Orders!I1542</f>
        <v>21810.880000000001</v>
      </c>
      <c r="D1542" t="str">
        <f>Orders!E1542</f>
        <v>R008</v>
      </c>
      <c r="E1542" t="str">
        <f>IFERROR(VLOOKUP(Orders!D1542,Products!$A$2:$C$61,3,FALSE),"Unknown")</f>
        <v>Apparel</v>
      </c>
      <c r="F1542" t="str">
        <f>IFERROR(VLOOKUP(Orders!C1542,Customers!$A$2:$E$301,5,FALSE),"Unknown")</f>
        <v>Retail</v>
      </c>
      <c r="G1542">
        <f>IFERROR(VLOOKUP(Orders!C1542,Customers!$A$2:$C$301,3,FALSE),"")</f>
        <v>35</v>
      </c>
      <c r="H1542" t="str">
        <f>VLOOKUP(D1542,Sales_Reps!$A$2:$C$31,3,FALSE)</f>
        <v>North</v>
      </c>
      <c r="I1542" s="44">
        <f t="shared" si="51"/>
        <v>45352</v>
      </c>
      <c r="L1542" t="str">
        <f>Orders!K1542</f>
        <v>Chennai</v>
      </c>
      <c r="M1542">
        <f>Orders!G1542</f>
        <v>3640</v>
      </c>
      <c r="N1542">
        <f>IFERROR(VLOOKUP(Orders!D1542,Products!$A$2:$D$61,4,FALSE),"")</f>
        <v>2611</v>
      </c>
      <c r="O1542">
        <f t="shared" si="52"/>
        <v>0.28269230769230769</v>
      </c>
      <c r="Q1542" t="str">
        <f>Orders!D1542</f>
        <v>PROD-013</v>
      </c>
    </row>
    <row r="1543" spans="1:17" x14ac:dyDescent="0.3">
      <c r="A1543" t="str">
        <f>Orders!A1543</f>
        <v>ORD-01542</v>
      </c>
      <c r="B1543">
        <f>Orders!B1543</f>
        <v>45385</v>
      </c>
      <c r="C1543">
        <f>Orders!I1543</f>
        <v>24808.95</v>
      </c>
      <c r="D1543" t="str">
        <f>Orders!E1543</f>
        <v>R018</v>
      </c>
      <c r="E1543" t="str">
        <f>IFERROR(VLOOKUP(Orders!D1543,Products!$A$2:$C$61,3,FALSE),"Unknown")</f>
        <v>Sports</v>
      </c>
      <c r="F1543" t="str">
        <f>IFERROR(VLOOKUP(Orders!C1543,Customers!$A$2:$E$301,5,FALSE),"Unknown")</f>
        <v>Retail</v>
      </c>
      <c r="G1543">
        <f>IFERROR(VLOOKUP(Orders!C1543,Customers!$A$2:$C$301,3,FALSE),"")</f>
        <v>37</v>
      </c>
      <c r="H1543" t="str">
        <f>VLOOKUP(D1543,Sales_Reps!$A$2:$C$31,3,FALSE)</f>
        <v>East</v>
      </c>
      <c r="I1543" s="44">
        <f t="shared" si="51"/>
        <v>45383</v>
      </c>
      <c r="L1543" t="str">
        <f>Orders!K1543</f>
        <v>Mumbai</v>
      </c>
      <c r="M1543">
        <f>Orders!G1543</f>
        <v>3450</v>
      </c>
      <c r="N1543">
        <f>IFERROR(VLOOKUP(Orders!D1543,Products!$A$2:$D$61,4,FALSE),"")</f>
        <v>2467</v>
      </c>
      <c r="O1543">
        <f t="shared" si="52"/>
        <v>0.28492753623188405</v>
      </c>
      <c r="Q1543" t="str">
        <f>Orders!D1543</f>
        <v>PROD-051</v>
      </c>
    </row>
    <row r="1544" spans="1:17" x14ac:dyDescent="0.3">
      <c r="A1544" t="str">
        <f>Orders!A1544</f>
        <v>ORD-01543</v>
      </c>
      <c r="B1544">
        <f>Orders!B1544</f>
        <v>45443</v>
      </c>
      <c r="C1544">
        <f>Orders!I1544</f>
        <v>16580.7</v>
      </c>
      <c r="D1544" t="str">
        <f>Orders!E1544</f>
        <v>R003</v>
      </c>
      <c r="E1544" t="str">
        <f>IFERROR(VLOOKUP(Orders!D1544,Products!$A$2:$C$61,3,FALSE),"Unknown")</f>
        <v>Beauty</v>
      </c>
      <c r="F1544" t="str">
        <f>IFERROR(VLOOKUP(Orders!C1544,Customers!$A$2:$E$301,5,FALSE),"Unknown")</f>
        <v>SMB</v>
      </c>
      <c r="G1544">
        <f>IFERROR(VLOOKUP(Orders!C1544,Customers!$A$2:$C$301,3,FALSE),"")</f>
        <v>38</v>
      </c>
      <c r="H1544" t="str">
        <f>VLOOKUP(D1544,Sales_Reps!$A$2:$C$31,3,FALSE)</f>
        <v>North</v>
      </c>
      <c r="I1544" s="44">
        <f t="shared" si="51"/>
        <v>45413</v>
      </c>
      <c r="L1544" t="str">
        <f>Orders!K1544</f>
        <v>Delhi</v>
      </c>
      <c r="M1544">
        <f>Orders!G1544</f>
        <v>3450</v>
      </c>
      <c r="N1544">
        <f>IFERROR(VLOOKUP(Orders!D1544,Products!$A$2:$D$61,4,FALSE),"")</f>
        <v>2420</v>
      </c>
      <c r="O1544">
        <f t="shared" si="52"/>
        <v>0.29855072463768118</v>
      </c>
      <c r="Q1544" t="str">
        <f>Orders!D1544</f>
        <v>PROD-047</v>
      </c>
    </row>
    <row r="1545" spans="1:17" x14ac:dyDescent="0.3">
      <c r="A1545" t="str">
        <f>Orders!A1545</f>
        <v>ORD-01544</v>
      </c>
      <c r="B1545">
        <f>Orders!B1545</f>
        <v>45599</v>
      </c>
      <c r="C1545">
        <f>Orders!I1545</f>
        <v>8720.32</v>
      </c>
      <c r="D1545" t="str">
        <f>Orders!E1545</f>
        <v>R022</v>
      </c>
      <c r="E1545" t="str">
        <f>IFERROR(VLOOKUP(Orders!D1545,Products!$A$2:$C$61,3,FALSE),"Unknown")</f>
        <v>Beauty</v>
      </c>
      <c r="F1545" t="str">
        <f>IFERROR(VLOOKUP(Orders!C1545,Customers!$A$2:$E$301,5,FALSE),"Unknown")</f>
        <v>Retail</v>
      </c>
      <c r="G1545">
        <f>IFERROR(VLOOKUP(Orders!C1545,Customers!$A$2:$C$301,3,FALSE),"")</f>
        <v>31</v>
      </c>
      <c r="H1545" t="str">
        <f>VLOOKUP(D1545,Sales_Reps!$A$2:$C$31,3,FALSE)</f>
        <v>East</v>
      </c>
      <c r="I1545" s="44">
        <f t="shared" si="51"/>
        <v>45597</v>
      </c>
      <c r="L1545" t="str">
        <f>Orders!K1545</f>
        <v>Delhi</v>
      </c>
      <c r="M1545">
        <f>Orders!G1545</f>
        <v>2290</v>
      </c>
      <c r="N1545">
        <f>IFERROR(VLOOKUP(Orders!D1545,Products!$A$2:$D$61,4,FALSE),"")</f>
        <v>1219</v>
      </c>
      <c r="O1545">
        <f t="shared" si="52"/>
        <v>0.46768558951965067</v>
      </c>
      <c r="Q1545" t="str">
        <f>Orders!D1545</f>
        <v>PROD-042</v>
      </c>
    </row>
    <row r="1546" spans="1:17" x14ac:dyDescent="0.3">
      <c r="A1546" t="str">
        <f>Orders!A1546</f>
        <v>ORD-01545</v>
      </c>
      <c r="B1546">
        <f>Orders!B1546</f>
        <v>45479</v>
      </c>
      <c r="C1546">
        <f>Orders!I1546</f>
        <v>8432.64</v>
      </c>
      <c r="D1546" t="str">
        <f>Orders!E1546</f>
        <v>R010</v>
      </c>
      <c r="E1546" t="str">
        <f>IFERROR(VLOOKUP(Orders!D1546,Products!$A$2:$C$61,3,FALSE),"Unknown")</f>
        <v>Sports</v>
      </c>
      <c r="F1546" t="str">
        <f>IFERROR(VLOOKUP(Orders!C1546,Customers!$A$2:$E$301,5,FALSE),"Unknown")</f>
        <v>Retail</v>
      </c>
      <c r="G1546">
        <f>IFERROR(VLOOKUP(Orders!C1546,Customers!$A$2:$C$301,3,FALSE),"")</f>
        <v>65</v>
      </c>
      <c r="H1546" t="str">
        <f>VLOOKUP(D1546,Sales_Reps!$A$2:$C$31,3,FALSE)</f>
        <v>South</v>
      </c>
      <c r="I1546" s="44">
        <f t="shared" si="51"/>
        <v>45474</v>
      </c>
      <c r="L1546" t="str">
        <f>Orders!K1546</f>
        <v>Hyderabad</v>
      </c>
      <c r="M1546">
        <f>Orders!G1546</f>
        <v>960</v>
      </c>
      <c r="N1546">
        <f>IFERROR(VLOOKUP(Orders!D1546,Products!$A$2:$D$61,4,FALSE),"")</f>
        <v>705</v>
      </c>
      <c r="O1546">
        <f t="shared" si="52"/>
        <v>0.265625</v>
      </c>
      <c r="Q1546" t="str">
        <f>Orders!D1546</f>
        <v>PROD-057</v>
      </c>
    </row>
    <row r="1547" spans="1:17" x14ac:dyDescent="0.3">
      <c r="A1547" t="str">
        <f>Orders!A1547</f>
        <v>ORD-01546</v>
      </c>
      <c r="B1547">
        <f>Orders!B1547</f>
        <v>45489</v>
      </c>
      <c r="C1547">
        <f>Orders!I1547</f>
        <v>32652.63</v>
      </c>
      <c r="D1547" t="str">
        <f>Orders!E1547</f>
        <v>R025</v>
      </c>
      <c r="E1547" t="str">
        <f>IFERROR(VLOOKUP(Orders!D1547,Products!$A$2:$C$61,3,FALSE),"Unknown")</f>
        <v>Home</v>
      </c>
      <c r="F1547" t="str">
        <f>IFERROR(VLOOKUP(Orders!C1547,Customers!$A$2:$E$301,5,FALSE),"Unknown")</f>
        <v>SMB</v>
      </c>
      <c r="G1547">
        <f>IFERROR(VLOOKUP(Orders!C1547,Customers!$A$2:$C$301,3,FALSE),"")</f>
        <v>26</v>
      </c>
      <c r="H1547" t="str">
        <f>VLOOKUP(D1547,Sales_Reps!$A$2:$C$31,3,FALSE)</f>
        <v>West</v>
      </c>
      <c r="I1547" s="44">
        <f t="shared" si="51"/>
        <v>45474</v>
      </c>
      <c r="L1547" t="str">
        <f>Orders!K1547</f>
        <v>Delhi</v>
      </c>
      <c r="M1547">
        <f>Orders!G1547</f>
        <v>4610</v>
      </c>
      <c r="N1547">
        <f>IFERROR(VLOOKUP(Orders!D1547,Products!$A$2:$D$61,4,FALSE),"")</f>
        <v>1850</v>
      </c>
      <c r="O1547">
        <f t="shared" si="52"/>
        <v>0.59869848156182215</v>
      </c>
      <c r="Q1547" t="str">
        <f>Orders!D1547</f>
        <v>PROD-039</v>
      </c>
    </row>
    <row r="1548" spans="1:17" x14ac:dyDescent="0.3">
      <c r="A1548" t="str">
        <f>Orders!A1548</f>
        <v>ORD-01547</v>
      </c>
      <c r="B1548">
        <f>Orders!B1548</f>
        <v>45514</v>
      </c>
      <c r="C1548">
        <f>Orders!I1548</f>
        <v>3089.04</v>
      </c>
      <c r="D1548" t="str">
        <f>Orders!E1548</f>
        <v>R003</v>
      </c>
      <c r="E1548" t="str">
        <f>IFERROR(VLOOKUP(Orders!D1548,Products!$A$2:$C$61,3,FALSE),"Unknown")</f>
        <v>Grocery</v>
      </c>
      <c r="F1548" t="str">
        <f>IFERROR(VLOOKUP(Orders!C1548,Customers!$A$2:$E$301,5,FALSE),"Unknown")</f>
        <v>SMB</v>
      </c>
      <c r="G1548">
        <f>IFERROR(VLOOKUP(Orders!C1548,Customers!$A$2:$C$301,3,FALSE),"")</f>
        <v>53</v>
      </c>
      <c r="H1548" t="str">
        <f>VLOOKUP(D1548,Sales_Reps!$A$2:$C$31,3,FALSE)</f>
        <v>North</v>
      </c>
      <c r="I1548" s="44">
        <f t="shared" si="51"/>
        <v>45505</v>
      </c>
      <c r="L1548" t="str">
        <f>Orders!K1548</f>
        <v>Mumbai</v>
      </c>
      <c r="M1548">
        <f>Orders!G1548</f>
        <v>3660</v>
      </c>
      <c r="N1548">
        <f>IFERROR(VLOOKUP(Orders!D1548,Products!$A$2:$D$61,4,FALSE),"")</f>
        <v>2214</v>
      </c>
      <c r="O1548">
        <f t="shared" si="52"/>
        <v>0.39508196721311473</v>
      </c>
      <c r="Q1548" t="str">
        <f>Orders!D1548</f>
        <v>PROD-028</v>
      </c>
    </row>
    <row r="1549" spans="1:17" x14ac:dyDescent="0.3">
      <c r="A1549" t="str">
        <f>Orders!A1549</f>
        <v>ORD-01548</v>
      </c>
      <c r="B1549">
        <f>Orders!B1549</f>
        <v>45653</v>
      </c>
      <c r="C1549">
        <f>Orders!I1549</f>
        <v>10586.8</v>
      </c>
      <c r="D1549" t="str">
        <f>Orders!E1549</f>
        <v>R012</v>
      </c>
      <c r="E1549" t="str">
        <f>IFERROR(VLOOKUP(Orders!D1549,Products!$A$2:$C$61,3,FALSE),"Unknown")</f>
        <v>Electronics</v>
      </c>
      <c r="F1549" t="str">
        <f>IFERROR(VLOOKUP(Orders!C1549,Customers!$A$2:$E$301,5,FALSE),"Unknown")</f>
        <v>Corporate</v>
      </c>
      <c r="G1549">
        <f>IFERROR(VLOOKUP(Orders!C1549,Customers!$A$2:$C$301,3,FALSE),"")</f>
        <v>46</v>
      </c>
      <c r="H1549" t="str">
        <f>VLOOKUP(D1549,Sales_Reps!$A$2:$C$31,3,FALSE)</f>
        <v>South</v>
      </c>
      <c r="I1549" s="44">
        <f t="shared" si="51"/>
        <v>45627</v>
      </c>
      <c r="L1549" t="str">
        <f>Orders!K1549</f>
        <v>Hyderabad</v>
      </c>
      <c r="M1549">
        <f>Orders!G1549</f>
        <v>2660</v>
      </c>
      <c r="N1549">
        <f>IFERROR(VLOOKUP(Orders!D1549,Products!$A$2:$D$61,4,FALSE),"")</f>
        <v>1259</v>
      </c>
      <c r="O1549">
        <f t="shared" si="52"/>
        <v>0.52669172932330832</v>
      </c>
      <c r="Q1549" t="str">
        <f>Orders!D1549</f>
        <v>PROD-008</v>
      </c>
    </row>
    <row r="1550" spans="1:17" x14ac:dyDescent="0.3">
      <c r="A1550" t="str">
        <f>Orders!A1550</f>
        <v>ORD-01549</v>
      </c>
      <c r="B1550">
        <f>Orders!B1550</f>
        <v>45401</v>
      </c>
      <c r="C1550">
        <f>Orders!I1550</f>
        <v>12258.4</v>
      </c>
      <c r="D1550" t="str">
        <f>Orders!E1550</f>
        <v>R026</v>
      </c>
      <c r="E1550" t="str">
        <f>IFERROR(VLOOKUP(Orders!D1550,Products!$A$2:$C$61,3,FALSE),"Unknown")</f>
        <v>Beauty</v>
      </c>
      <c r="F1550" t="str">
        <f>IFERROR(VLOOKUP(Orders!C1550,Customers!$A$2:$E$301,5,FALSE),"Unknown")</f>
        <v>SMB</v>
      </c>
      <c r="G1550">
        <f>IFERROR(VLOOKUP(Orders!C1550,Customers!$A$2:$C$301,3,FALSE),"")</f>
        <v>38</v>
      </c>
      <c r="H1550" t="str">
        <f>VLOOKUP(D1550,Sales_Reps!$A$2:$C$31,3,FALSE)</f>
        <v>West</v>
      </c>
      <c r="I1550" s="44">
        <f t="shared" si="51"/>
        <v>45383</v>
      </c>
      <c r="L1550" t="str">
        <f>Orders!K1550</f>
        <v>Delhi</v>
      </c>
      <c r="M1550">
        <f>Orders!G1550</f>
        <v>1540</v>
      </c>
      <c r="N1550">
        <f>IFERROR(VLOOKUP(Orders!D1550,Products!$A$2:$D$61,4,FALSE),"")</f>
        <v>647</v>
      </c>
      <c r="O1550">
        <f t="shared" si="52"/>
        <v>0.57987012987012987</v>
      </c>
      <c r="Q1550" t="str">
        <f>Orders!D1550</f>
        <v>PROD-041</v>
      </c>
    </row>
    <row r="1551" spans="1:17" x14ac:dyDescent="0.3">
      <c r="A1551" t="str">
        <f>Orders!A1551</f>
        <v>ORD-01550</v>
      </c>
      <c r="B1551">
        <f>Orders!B1551</f>
        <v>45621</v>
      </c>
      <c r="C1551">
        <f>Orders!I1551</f>
        <v>12307</v>
      </c>
      <c r="D1551" t="str">
        <f>Orders!E1551</f>
        <v>R004</v>
      </c>
      <c r="E1551" t="str">
        <f>IFERROR(VLOOKUP(Orders!D1551,Products!$A$2:$C$61,3,FALSE),"Unknown")</f>
        <v>Electronics</v>
      </c>
      <c r="F1551" t="str">
        <f>IFERROR(VLOOKUP(Orders!C1551,Customers!$A$2:$E$301,5,FALSE),"Unknown")</f>
        <v>Retail</v>
      </c>
      <c r="G1551">
        <f>IFERROR(VLOOKUP(Orders!C1551,Customers!$A$2:$C$301,3,FALSE),"")</f>
        <v>59</v>
      </c>
      <c r="H1551" t="str">
        <f>VLOOKUP(D1551,Sales_Reps!$A$2:$C$31,3,FALSE)</f>
        <v>North</v>
      </c>
      <c r="I1551" s="44">
        <f t="shared" si="51"/>
        <v>45597</v>
      </c>
      <c r="L1551" t="str">
        <f>Orders!K1551</f>
        <v>Pune</v>
      </c>
      <c r="M1551">
        <f>Orders!G1551</f>
        <v>3970</v>
      </c>
      <c r="N1551">
        <f>IFERROR(VLOOKUP(Orders!D1551,Products!$A$2:$D$61,4,FALSE),"")</f>
        <v>2865</v>
      </c>
      <c r="O1551">
        <f t="shared" si="52"/>
        <v>0.27833753148614609</v>
      </c>
      <c r="Q1551" t="str">
        <f>Orders!D1551</f>
        <v>PROD-006</v>
      </c>
    </row>
    <row r="1552" spans="1:17" x14ac:dyDescent="0.3">
      <c r="A1552" t="str">
        <f>Orders!A1552</f>
        <v>ORD-01551</v>
      </c>
      <c r="B1552">
        <f>Orders!B1552</f>
        <v>45368</v>
      </c>
      <c r="C1552">
        <f>Orders!I1552</f>
        <v>29090.880000000001</v>
      </c>
      <c r="D1552" t="str">
        <f>Orders!E1552</f>
        <v>R007</v>
      </c>
      <c r="E1552" t="str">
        <f>IFERROR(VLOOKUP(Orders!D1552,Products!$A$2:$C$61,3,FALSE),"Unknown")</f>
        <v>Sports</v>
      </c>
      <c r="F1552" t="str">
        <f>IFERROR(VLOOKUP(Orders!C1552,Customers!$A$2:$E$301,5,FALSE),"Unknown")</f>
        <v>SMB</v>
      </c>
      <c r="G1552">
        <f>IFERROR(VLOOKUP(Orders!C1552,Customers!$A$2:$C$301,3,FALSE),"")</f>
        <v>62</v>
      </c>
      <c r="H1552" t="str">
        <f>VLOOKUP(D1552,Sales_Reps!$A$2:$C$31,3,FALSE)</f>
        <v>North</v>
      </c>
      <c r="I1552" s="44">
        <f t="shared" si="51"/>
        <v>45352</v>
      </c>
      <c r="L1552" t="str">
        <f>Orders!K1552</f>
        <v>Chennai</v>
      </c>
      <c r="M1552">
        <f>Orders!G1552</f>
        <v>3780</v>
      </c>
      <c r="N1552">
        <f>IFERROR(VLOOKUP(Orders!D1552,Products!$A$2:$D$61,4,FALSE),"")</f>
        <v>1860</v>
      </c>
      <c r="O1552">
        <f t="shared" si="52"/>
        <v>0.50793650793650791</v>
      </c>
      <c r="Q1552" t="str">
        <f>Orders!D1552</f>
        <v>PROD-059</v>
      </c>
    </row>
    <row r="1553" spans="1:17" x14ac:dyDescent="0.3">
      <c r="A1553" t="str">
        <f>Orders!A1553</f>
        <v>ORD-01552</v>
      </c>
      <c r="B1553">
        <f>Orders!B1553</f>
        <v>45550</v>
      </c>
      <c r="C1553">
        <f>Orders!I1553</f>
        <v>8734.9599999999991</v>
      </c>
      <c r="D1553" t="str">
        <f>Orders!E1553</f>
        <v>R004</v>
      </c>
      <c r="E1553" t="str">
        <f>IFERROR(VLOOKUP(Orders!D1553,Products!$A$2:$C$61,3,FALSE),"Unknown")</f>
        <v>Grocery</v>
      </c>
      <c r="F1553" t="str">
        <f>IFERROR(VLOOKUP(Orders!C1553,Customers!$A$2:$E$301,5,FALSE),"Unknown")</f>
        <v>SMB</v>
      </c>
      <c r="G1553">
        <f>IFERROR(VLOOKUP(Orders!C1553,Customers!$A$2:$C$301,3,FALSE),"")</f>
        <v>28</v>
      </c>
      <c r="H1553" t="str">
        <f>VLOOKUP(D1553,Sales_Reps!$A$2:$C$31,3,FALSE)</f>
        <v>North</v>
      </c>
      <c r="I1553" s="44">
        <f t="shared" si="51"/>
        <v>45536</v>
      </c>
      <c r="L1553" t="str">
        <f>Orders!K1553</f>
        <v>Bengaluru</v>
      </c>
      <c r="M1553">
        <f>Orders!G1553</f>
        <v>2270</v>
      </c>
      <c r="N1553">
        <f>IFERROR(VLOOKUP(Orders!D1553,Products!$A$2:$D$61,4,FALSE),"")</f>
        <v>1412</v>
      </c>
      <c r="O1553">
        <f t="shared" si="52"/>
        <v>0.37797356828193834</v>
      </c>
      <c r="Q1553" t="str">
        <f>Orders!D1553</f>
        <v>PROD-022</v>
      </c>
    </row>
    <row r="1554" spans="1:17" x14ac:dyDescent="0.3">
      <c r="A1554" t="str">
        <f>Orders!A1554</f>
        <v>ORD-01553</v>
      </c>
      <c r="B1554">
        <f>Orders!B1554</f>
        <v>45304</v>
      </c>
      <c r="C1554">
        <f>Orders!I1554</f>
        <v>9821</v>
      </c>
      <c r="D1554" t="str">
        <f>Orders!E1554</f>
        <v>R009</v>
      </c>
      <c r="E1554" t="str">
        <f>IFERROR(VLOOKUP(Orders!D1554,Products!$A$2:$C$61,3,FALSE),"Unknown")</f>
        <v>Electronics</v>
      </c>
      <c r="F1554" t="str">
        <f>IFERROR(VLOOKUP(Orders!C1554,Customers!$A$2:$E$301,5,FALSE),"Unknown")</f>
        <v>SMB</v>
      </c>
      <c r="G1554">
        <f>IFERROR(VLOOKUP(Orders!C1554,Customers!$A$2:$C$301,3,FALSE),"")</f>
        <v>65</v>
      </c>
      <c r="H1554" t="str">
        <f>VLOOKUP(D1554,Sales_Reps!$A$2:$C$31,3,FALSE)</f>
        <v>South</v>
      </c>
      <c r="I1554" s="44">
        <f t="shared" si="51"/>
        <v>45292</v>
      </c>
      <c r="L1554" t="str">
        <f>Orders!K1554</f>
        <v>Hyderabad</v>
      </c>
      <c r="M1554">
        <f>Orders!G1554</f>
        <v>1220</v>
      </c>
      <c r="N1554">
        <f>IFERROR(VLOOKUP(Orders!D1554,Products!$A$2:$D$61,4,FALSE),"")</f>
        <v>517</v>
      </c>
      <c r="O1554">
        <f t="shared" si="52"/>
        <v>0.57622950819672136</v>
      </c>
      <c r="Q1554" t="str">
        <f>Orders!D1554</f>
        <v>PROD-009</v>
      </c>
    </row>
    <row r="1555" spans="1:17" x14ac:dyDescent="0.3">
      <c r="A1555" t="str">
        <f>Orders!A1555</f>
        <v>ORD-01554</v>
      </c>
      <c r="B1555">
        <f>Orders!B1555</f>
        <v>45321</v>
      </c>
      <c r="C1555">
        <f>Orders!I1555</f>
        <v>30887</v>
      </c>
      <c r="D1555" t="str">
        <f>Orders!E1555</f>
        <v>R015</v>
      </c>
      <c r="E1555" t="str">
        <f>IFERROR(VLOOKUP(Orders!D1555,Products!$A$2:$C$61,3,FALSE),"Unknown")</f>
        <v>Beauty</v>
      </c>
      <c r="F1555" t="str">
        <f>IFERROR(VLOOKUP(Orders!C1555,Customers!$A$2:$E$301,5,FALSE),"Unknown")</f>
        <v>Retail</v>
      </c>
      <c r="G1555">
        <f>IFERROR(VLOOKUP(Orders!C1555,Customers!$A$2:$C$301,3,FALSE),"")</f>
        <v>29</v>
      </c>
      <c r="H1555" t="str">
        <f>VLOOKUP(D1555,Sales_Reps!$A$2:$C$31,3,FALSE)</f>
        <v>South</v>
      </c>
      <c r="I1555" s="44">
        <f t="shared" si="51"/>
        <v>45292</v>
      </c>
      <c r="L1555" t="str">
        <f>Orders!K1555</f>
        <v>Hyderabad</v>
      </c>
      <c r="M1555">
        <f>Orders!G1555</f>
        <v>3350</v>
      </c>
      <c r="N1555">
        <f>IFERROR(VLOOKUP(Orders!D1555,Products!$A$2:$D$61,4,FALSE),"")</f>
        <v>1728</v>
      </c>
      <c r="O1555">
        <f t="shared" si="52"/>
        <v>0.48417910447761192</v>
      </c>
      <c r="Q1555" t="str">
        <f>Orders!D1555</f>
        <v>PROD-043</v>
      </c>
    </row>
    <row r="1556" spans="1:17" x14ac:dyDescent="0.3">
      <c r="A1556" t="str">
        <f>Orders!A1556</f>
        <v>ORD-01555</v>
      </c>
      <c r="B1556">
        <f>Orders!B1556</f>
        <v>45358</v>
      </c>
      <c r="C1556">
        <f>Orders!I1556</f>
        <v>20049.75</v>
      </c>
      <c r="D1556" t="str">
        <f>Orders!E1556</f>
        <v>R030</v>
      </c>
      <c r="E1556" t="str">
        <f>IFERROR(VLOOKUP(Orders!D1556,Products!$A$2:$C$61,3,FALSE),"Unknown")</f>
        <v>Beauty</v>
      </c>
      <c r="F1556" t="str">
        <f>IFERROR(VLOOKUP(Orders!C1556,Customers!$A$2:$E$301,5,FALSE),"Unknown")</f>
        <v>Unknown</v>
      </c>
      <c r="G1556" t="str">
        <f>IFERROR(VLOOKUP(Orders!C1556,Customers!$A$2:$C$301,3,FALSE),"")</f>
        <v/>
      </c>
      <c r="H1556" t="str">
        <f>VLOOKUP(D1556,Sales_Reps!$A$2:$C$31,3,FALSE)</f>
        <v>West</v>
      </c>
      <c r="I1556" s="44">
        <f t="shared" si="51"/>
        <v>45352</v>
      </c>
      <c r="L1556" t="str">
        <f>Orders!K1556</f>
        <v>Bengaluru</v>
      </c>
      <c r="M1556">
        <f>Orders!G1556</f>
        <v>3350</v>
      </c>
      <c r="N1556">
        <f>IFERROR(VLOOKUP(Orders!D1556,Products!$A$2:$D$61,4,FALSE),"")</f>
        <v>1728</v>
      </c>
      <c r="O1556">
        <f t="shared" si="52"/>
        <v>0.48417910447761192</v>
      </c>
      <c r="Q1556" t="str">
        <f>Orders!D1556</f>
        <v>PROD-043</v>
      </c>
    </row>
    <row r="1557" spans="1:17" x14ac:dyDescent="0.3">
      <c r="A1557" t="str">
        <f>Orders!A1557</f>
        <v>ORD-01556</v>
      </c>
      <c r="B1557">
        <f>Orders!B1557</f>
        <v>45440</v>
      </c>
      <c r="C1557">
        <f>Orders!I1557</f>
        <v>30304.799999999999</v>
      </c>
      <c r="D1557" t="str">
        <f>Orders!E1557</f>
        <v>R014</v>
      </c>
      <c r="E1557" t="str">
        <f>IFERROR(VLOOKUP(Orders!D1557,Products!$A$2:$C$61,3,FALSE),"Unknown")</f>
        <v>Home</v>
      </c>
      <c r="F1557" t="str">
        <f>IFERROR(VLOOKUP(Orders!C1557,Customers!$A$2:$E$301,5,FALSE),"Unknown")</f>
        <v>Retail</v>
      </c>
      <c r="G1557">
        <f>IFERROR(VLOOKUP(Orders!C1557,Customers!$A$2:$C$301,3,FALSE),"")</f>
        <v>51</v>
      </c>
      <c r="H1557" t="str">
        <f>VLOOKUP(D1557,Sales_Reps!$A$2:$C$31,3,FALSE)</f>
        <v>South</v>
      </c>
      <c r="I1557" s="44">
        <f t="shared" si="51"/>
        <v>45413</v>
      </c>
      <c r="L1557" t="str">
        <f>Orders!K1557</f>
        <v>Chennai</v>
      </c>
      <c r="M1557">
        <f>Orders!G1557</f>
        <v>5490</v>
      </c>
      <c r="N1557">
        <f>IFERROR(VLOOKUP(Orders!D1557,Products!$A$2:$D$61,4,FALSE),"")</f>
        <v>2549</v>
      </c>
      <c r="O1557">
        <f t="shared" si="52"/>
        <v>0.53570127504553733</v>
      </c>
      <c r="Q1557" t="str">
        <f>Orders!D1557</f>
        <v>PROD-038</v>
      </c>
    </row>
    <row r="1558" spans="1:17" x14ac:dyDescent="0.3">
      <c r="A1558" t="str">
        <f>Orders!A1558</f>
        <v>ORD-01557</v>
      </c>
      <c r="B1558">
        <f>Orders!B1558</f>
        <v>45618</v>
      </c>
      <c r="C1558">
        <f>Orders!I1558</f>
        <v>6872.58</v>
      </c>
      <c r="D1558" t="str">
        <f>Orders!E1558</f>
        <v>R018</v>
      </c>
      <c r="E1558" t="str">
        <f>IFERROR(VLOOKUP(Orders!D1558,Products!$A$2:$C$61,3,FALSE),"Unknown")</f>
        <v>Sports</v>
      </c>
      <c r="F1558" t="str">
        <f>IFERROR(VLOOKUP(Orders!C1558,Customers!$A$2:$E$301,5,FALSE),"Unknown")</f>
        <v>SMB</v>
      </c>
      <c r="G1558">
        <f>IFERROR(VLOOKUP(Orders!C1558,Customers!$A$2:$C$301,3,FALSE),"")</f>
        <v>39</v>
      </c>
      <c r="H1558" t="str">
        <f>VLOOKUP(D1558,Sales_Reps!$A$2:$C$31,3,FALSE)</f>
        <v>East</v>
      </c>
      <c r="I1558" s="44">
        <f t="shared" si="51"/>
        <v>45597</v>
      </c>
      <c r="L1558" t="str">
        <f>Orders!K1558</f>
        <v>Hyderabad</v>
      </c>
      <c r="M1558">
        <f>Orders!G1558</f>
        <v>2860</v>
      </c>
      <c r="N1558">
        <f>IFERROR(VLOOKUP(Orders!D1558,Products!$A$2:$D$61,4,FALSE),"")</f>
        <v>2028</v>
      </c>
      <c r="O1558">
        <f t="shared" si="52"/>
        <v>0.29090909090909089</v>
      </c>
      <c r="Q1558" t="str">
        <f>Orders!D1558</f>
        <v>PROD-055</v>
      </c>
    </row>
    <row r="1559" spans="1:17" x14ac:dyDescent="0.3">
      <c r="A1559" t="str">
        <f>Orders!A1559</f>
        <v>ORD-01558</v>
      </c>
      <c r="B1559">
        <f>Orders!B1559</f>
        <v>45295</v>
      </c>
      <c r="C1559">
        <f>Orders!I1559</f>
        <v>5599.44</v>
      </c>
      <c r="D1559" t="str">
        <f>Orders!E1559</f>
        <v>R024</v>
      </c>
      <c r="E1559" t="str">
        <f>IFERROR(VLOOKUP(Orders!D1559,Products!$A$2:$C$61,3,FALSE),"Unknown")</f>
        <v>Electronics</v>
      </c>
      <c r="F1559" t="str">
        <f>IFERROR(VLOOKUP(Orders!C1559,Customers!$A$2:$E$301,5,FALSE),"Unknown")</f>
        <v>Retail</v>
      </c>
      <c r="G1559">
        <f>IFERROR(VLOOKUP(Orders!C1559,Customers!$A$2:$C$301,3,FALSE),"")</f>
        <v>24</v>
      </c>
      <c r="H1559" t="str">
        <f>VLOOKUP(D1559,Sales_Reps!$A$2:$C$31,3,FALSE)</f>
        <v>West</v>
      </c>
      <c r="I1559" s="44">
        <f t="shared" si="51"/>
        <v>45292</v>
      </c>
      <c r="L1559" t="str">
        <f>Orders!K1559</f>
        <v>Chennai</v>
      </c>
      <c r="M1559">
        <f>Orders!G1559</f>
        <v>2640</v>
      </c>
      <c r="N1559">
        <f>IFERROR(VLOOKUP(Orders!D1559,Products!$A$2:$D$61,4,FALSE),"")</f>
        <v>1149</v>
      </c>
      <c r="O1559">
        <f t="shared" si="52"/>
        <v>0.56477272727272732</v>
      </c>
      <c r="Q1559" t="str">
        <f>Orders!D1559</f>
        <v>PROD-010</v>
      </c>
    </row>
    <row r="1560" spans="1:17" x14ac:dyDescent="0.3">
      <c r="A1560" t="str">
        <f>Orders!A1560</f>
        <v>ORD-01559</v>
      </c>
      <c r="B1560">
        <f>Orders!B1560</f>
        <v>45384</v>
      </c>
      <c r="C1560">
        <f>Orders!I1560</f>
        <v>23404.799999999999</v>
      </c>
      <c r="D1560" t="str">
        <f>Orders!E1560</f>
        <v>R029</v>
      </c>
      <c r="E1560" t="str">
        <f>IFERROR(VLOOKUP(Orders!D1560,Products!$A$2:$C$61,3,FALSE),"Unknown")</f>
        <v>Apparel</v>
      </c>
      <c r="F1560" t="str">
        <f>IFERROR(VLOOKUP(Orders!C1560,Customers!$A$2:$E$301,5,FALSE),"Unknown")</f>
        <v>Corporate</v>
      </c>
      <c r="G1560">
        <f>IFERROR(VLOOKUP(Orders!C1560,Customers!$A$2:$C$301,3,FALSE),"")</f>
        <v>34</v>
      </c>
      <c r="H1560" t="str">
        <f>VLOOKUP(D1560,Sales_Reps!$A$2:$C$31,3,FALSE)</f>
        <v>West</v>
      </c>
      <c r="I1560" s="44">
        <f t="shared" si="51"/>
        <v>45383</v>
      </c>
      <c r="L1560" t="str">
        <f>Orders!K1560</f>
        <v>Chennai</v>
      </c>
      <c r="M1560">
        <f>Orders!G1560</f>
        <v>3450</v>
      </c>
      <c r="N1560">
        <f>IFERROR(VLOOKUP(Orders!D1560,Products!$A$2:$D$61,4,FALSE),"")</f>
        <v>1748</v>
      </c>
      <c r="O1560">
        <f t="shared" si="52"/>
        <v>0.49333333333333335</v>
      </c>
      <c r="Q1560" t="str">
        <f>Orders!D1560</f>
        <v>PROD-011</v>
      </c>
    </row>
    <row r="1561" spans="1:17" x14ac:dyDescent="0.3">
      <c r="A1561" t="str">
        <f>Orders!A1561</f>
        <v>ORD-01560</v>
      </c>
      <c r="B1561">
        <f>Orders!B1561</f>
        <v>45349</v>
      </c>
      <c r="C1561">
        <f>Orders!I1561</f>
        <v>2064.6</v>
      </c>
      <c r="D1561" t="str">
        <f>Orders!E1561</f>
        <v>R025</v>
      </c>
      <c r="E1561" t="str">
        <f>IFERROR(VLOOKUP(Orders!D1561,Products!$A$2:$C$61,3,FALSE),"Unknown")</f>
        <v>Home</v>
      </c>
      <c r="F1561" t="str">
        <f>IFERROR(VLOOKUP(Orders!C1561,Customers!$A$2:$E$301,5,FALSE),"Unknown")</f>
        <v>SMB</v>
      </c>
      <c r="G1561">
        <f>IFERROR(VLOOKUP(Orders!C1561,Customers!$A$2:$C$301,3,FALSE),"")</f>
        <v>38</v>
      </c>
      <c r="H1561" t="str">
        <f>VLOOKUP(D1561,Sales_Reps!$A$2:$C$31,3,FALSE)</f>
        <v>West</v>
      </c>
      <c r="I1561" s="44">
        <f t="shared" si="51"/>
        <v>45323</v>
      </c>
      <c r="L1561" t="str">
        <f>Orders!K1561</f>
        <v>Delhi</v>
      </c>
      <c r="M1561">
        <f>Orders!G1561</f>
        <v>370</v>
      </c>
      <c r="N1561">
        <f>IFERROR(VLOOKUP(Orders!D1561,Products!$A$2:$D$61,4,FALSE),"")</f>
        <v>288</v>
      </c>
      <c r="O1561">
        <f t="shared" si="52"/>
        <v>0.22162162162162163</v>
      </c>
      <c r="Q1561" t="str">
        <f>Orders!D1561</f>
        <v>PROD-032</v>
      </c>
    </row>
    <row r="1562" spans="1:17" x14ac:dyDescent="0.3">
      <c r="A1562" t="str">
        <f>Orders!A1562</f>
        <v>ORD-01561</v>
      </c>
      <c r="B1562">
        <f>Orders!B1562</f>
        <v>45439</v>
      </c>
      <c r="C1562">
        <f>Orders!I1562</f>
        <v>38691.800000000003</v>
      </c>
      <c r="D1562" t="str">
        <f>Orders!E1562</f>
        <v>R029</v>
      </c>
      <c r="E1562" t="str">
        <f>IFERROR(VLOOKUP(Orders!D1562,Products!$A$2:$C$61,3,FALSE),"Unknown")</f>
        <v>Grocery</v>
      </c>
      <c r="F1562" t="str">
        <f>IFERROR(VLOOKUP(Orders!C1562,Customers!$A$2:$E$301,5,FALSE),"Unknown")</f>
        <v>SMB</v>
      </c>
      <c r="G1562">
        <f>IFERROR(VLOOKUP(Orders!C1562,Customers!$A$2:$C$301,3,FALSE),"")</f>
        <v>22</v>
      </c>
      <c r="H1562" t="str">
        <f>VLOOKUP(D1562,Sales_Reps!$A$2:$C$31,3,FALSE)</f>
        <v>West</v>
      </c>
      <c r="I1562" s="44">
        <f t="shared" si="51"/>
        <v>45413</v>
      </c>
      <c r="L1562" t="str">
        <f>Orders!K1562</f>
        <v>Mumbai</v>
      </c>
      <c r="M1562">
        <f>Orders!G1562</f>
        <v>4060</v>
      </c>
      <c r="N1562">
        <f>IFERROR(VLOOKUP(Orders!D1562,Products!$A$2:$D$61,4,FALSE),"")</f>
        <v>2911</v>
      </c>
      <c r="O1562">
        <f t="shared" si="52"/>
        <v>0.28300492610837441</v>
      </c>
      <c r="Q1562" t="str">
        <f>Orders!D1562</f>
        <v>PROD-025</v>
      </c>
    </row>
    <row r="1563" spans="1:17" x14ac:dyDescent="0.3">
      <c r="A1563" t="str">
        <f>Orders!A1563</f>
        <v>ORD-01562</v>
      </c>
      <c r="B1563">
        <f>Orders!B1563</f>
        <v>45426</v>
      </c>
      <c r="C1563">
        <f>Orders!I1563</f>
        <v>3165.66</v>
      </c>
      <c r="D1563" t="str">
        <f>Orders!E1563</f>
        <v>R024</v>
      </c>
      <c r="E1563" t="str">
        <f>IFERROR(VLOOKUP(Orders!D1563,Products!$A$2:$C$61,3,FALSE),"Unknown")</f>
        <v>Electronics</v>
      </c>
      <c r="F1563" t="str">
        <f>IFERROR(VLOOKUP(Orders!C1563,Customers!$A$2:$E$301,5,FALSE),"Unknown")</f>
        <v>Corporate</v>
      </c>
      <c r="G1563">
        <f>IFERROR(VLOOKUP(Orders!C1563,Customers!$A$2:$C$301,3,FALSE),"")</f>
        <v>55</v>
      </c>
      <c r="H1563" t="str">
        <f>VLOOKUP(D1563,Sales_Reps!$A$2:$C$31,3,FALSE)</f>
        <v>West</v>
      </c>
      <c r="I1563" s="44">
        <f t="shared" si="51"/>
        <v>45413</v>
      </c>
      <c r="L1563" t="str">
        <f>Orders!K1563</f>
        <v>Bengaluru</v>
      </c>
      <c r="M1563">
        <f>Orders!G1563</f>
        <v>3870</v>
      </c>
      <c r="N1563">
        <f>IFERROR(VLOOKUP(Orders!D1563,Products!$A$2:$D$61,4,FALSE),"")</f>
        <v>1559</v>
      </c>
      <c r="O1563">
        <f t="shared" si="52"/>
        <v>0.59715762273901807</v>
      </c>
      <c r="Q1563" t="str">
        <f>Orders!D1563</f>
        <v>PROD-004</v>
      </c>
    </row>
    <row r="1564" spans="1:17" x14ac:dyDescent="0.3">
      <c r="A1564" t="str">
        <f>Orders!A1564</f>
        <v>ORD-01563</v>
      </c>
      <c r="B1564">
        <f>Orders!B1564</f>
        <v>45385</v>
      </c>
      <c r="C1564">
        <f>Orders!I1564</f>
        <v>5122.13</v>
      </c>
      <c r="D1564" t="str">
        <f>Orders!E1564</f>
        <v>R006</v>
      </c>
      <c r="E1564" t="str">
        <f>IFERROR(VLOOKUP(Orders!D1564,Products!$A$2:$C$61,3,FALSE),"Unknown")</f>
        <v>Electronics</v>
      </c>
      <c r="F1564" t="str">
        <f>IFERROR(VLOOKUP(Orders!C1564,Customers!$A$2:$E$301,5,FALSE),"Unknown")</f>
        <v>Corporate</v>
      </c>
      <c r="G1564">
        <f>IFERROR(VLOOKUP(Orders!C1564,Customers!$A$2:$C$301,3,FALSE),"")</f>
        <v>42</v>
      </c>
      <c r="H1564" t="str">
        <f>VLOOKUP(D1564,Sales_Reps!$A$2:$C$31,3,FALSE)</f>
        <v>North</v>
      </c>
      <c r="I1564" s="44">
        <f t="shared" si="51"/>
        <v>45383</v>
      </c>
      <c r="L1564" t="str">
        <f>Orders!K1564</f>
        <v>Pune</v>
      </c>
      <c r="M1564">
        <f>Orders!G1564</f>
        <v>5330</v>
      </c>
      <c r="N1564">
        <f>IFERROR(VLOOKUP(Orders!D1564,Products!$A$2:$D$61,4,FALSE),"")</f>
        <v>2405</v>
      </c>
      <c r="O1564">
        <f t="shared" si="52"/>
        <v>0.54878048780487809</v>
      </c>
      <c r="Q1564" t="str">
        <f>Orders!D1564</f>
        <v>PROD-001</v>
      </c>
    </row>
    <row r="1565" spans="1:17" x14ac:dyDescent="0.3">
      <c r="A1565" t="str">
        <f>Orders!A1565</f>
        <v>ORD-01564</v>
      </c>
      <c r="B1565">
        <f>Orders!B1565</f>
        <v>45312</v>
      </c>
      <c r="C1565">
        <f>Orders!I1565</f>
        <v>2921.52</v>
      </c>
      <c r="D1565" t="str">
        <f>Orders!E1565</f>
        <v>R020</v>
      </c>
      <c r="E1565" t="str">
        <f>IFERROR(VLOOKUP(Orders!D1565,Products!$A$2:$C$61,3,FALSE),"Unknown")</f>
        <v>Home</v>
      </c>
      <c r="F1565" t="str">
        <f>IFERROR(VLOOKUP(Orders!C1565,Customers!$A$2:$E$301,5,FALSE),"Unknown")</f>
        <v>Retail</v>
      </c>
      <c r="G1565">
        <f>IFERROR(VLOOKUP(Orders!C1565,Customers!$A$2:$C$301,3,FALSE),"")</f>
        <v>27</v>
      </c>
      <c r="H1565" t="str">
        <f>VLOOKUP(D1565,Sales_Reps!$A$2:$C$31,3,FALSE)</f>
        <v>East</v>
      </c>
      <c r="I1565" s="44">
        <f t="shared" si="51"/>
        <v>45292</v>
      </c>
      <c r="L1565" t="str">
        <f>Orders!K1565</f>
        <v>Hyderabad</v>
      </c>
      <c r="M1565">
        <f>Orders!G1565</f>
        <v>370</v>
      </c>
      <c r="N1565">
        <f>IFERROR(VLOOKUP(Orders!D1565,Products!$A$2:$D$61,4,FALSE),"")</f>
        <v>288</v>
      </c>
      <c r="O1565">
        <f t="shared" si="52"/>
        <v>0.22162162162162163</v>
      </c>
      <c r="Q1565" t="str">
        <f>Orders!D1565</f>
        <v>PROD-032</v>
      </c>
    </row>
    <row r="1566" spans="1:17" x14ac:dyDescent="0.3">
      <c r="A1566" t="str">
        <f>Orders!A1566</f>
        <v>ORD-01565</v>
      </c>
      <c r="B1566">
        <f>Orders!B1566</f>
        <v>45622</v>
      </c>
      <c r="C1566">
        <f>Orders!I1566</f>
        <v>1950.9</v>
      </c>
      <c r="D1566" t="str">
        <f>Orders!E1566</f>
        <v>R020</v>
      </c>
      <c r="E1566" t="str">
        <f>IFERROR(VLOOKUP(Orders!D1566,Products!$A$2:$C$61,3,FALSE),"Unknown")</f>
        <v>Electronics</v>
      </c>
      <c r="F1566" t="str">
        <f>IFERROR(VLOOKUP(Orders!C1566,Customers!$A$2:$E$301,5,FALSE),"Unknown")</f>
        <v>Retail</v>
      </c>
      <c r="G1566">
        <f>IFERROR(VLOOKUP(Orders!C1566,Customers!$A$2:$C$301,3,FALSE),"")</f>
        <v>61</v>
      </c>
      <c r="H1566" t="str">
        <f>VLOOKUP(D1566,Sales_Reps!$A$2:$C$31,3,FALSE)</f>
        <v>East</v>
      </c>
      <c r="I1566" s="44">
        <f t="shared" si="51"/>
        <v>45597</v>
      </c>
      <c r="L1566" t="str">
        <f>Orders!K1566</f>
        <v>Mumbai</v>
      </c>
      <c r="M1566">
        <f>Orders!G1566</f>
        <v>300</v>
      </c>
      <c r="N1566">
        <f>IFERROR(VLOOKUP(Orders!D1566,Products!$A$2:$D$61,4,FALSE),"")</f>
        <v>128</v>
      </c>
      <c r="O1566">
        <f t="shared" si="52"/>
        <v>0.57333333333333336</v>
      </c>
      <c r="Q1566" t="str">
        <f>Orders!D1566</f>
        <v>PROD-005</v>
      </c>
    </row>
    <row r="1567" spans="1:17" x14ac:dyDescent="0.3">
      <c r="A1567" t="str">
        <f>Orders!A1567</f>
        <v>ORD-01566</v>
      </c>
      <c r="B1567">
        <f>Orders!B1567</f>
        <v>45508</v>
      </c>
      <c r="C1567">
        <f>Orders!I1567</f>
        <v>23798.400000000001</v>
      </c>
      <c r="D1567" t="str">
        <f>Orders!E1567</f>
        <v>R012</v>
      </c>
      <c r="E1567" t="str">
        <f>IFERROR(VLOOKUP(Orders!D1567,Products!$A$2:$C$61,3,FALSE),"Unknown")</f>
        <v>Beauty</v>
      </c>
      <c r="F1567" t="str">
        <f>IFERROR(VLOOKUP(Orders!C1567,Customers!$A$2:$E$301,5,FALSE),"Unknown")</f>
        <v>Retail</v>
      </c>
      <c r="G1567">
        <f>IFERROR(VLOOKUP(Orders!C1567,Customers!$A$2:$C$301,3,FALSE),"")</f>
        <v>53</v>
      </c>
      <c r="H1567" t="str">
        <f>VLOOKUP(D1567,Sales_Reps!$A$2:$C$31,3,FALSE)</f>
        <v>South</v>
      </c>
      <c r="I1567" s="44">
        <f t="shared" si="51"/>
        <v>45505</v>
      </c>
      <c r="L1567" t="str">
        <f>Orders!K1567</f>
        <v>Mumbai</v>
      </c>
      <c r="M1567">
        <f>Orders!G1567</f>
        <v>3350</v>
      </c>
      <c r="N1567">
        <f>IFERROR(VLOOKUP(Orders!D1567,Products!$A$2:$D$61,4,FALSE),"")</f>
        <v>1728</v>
      </c>
      <c r="O1567">
        <f t="shared" si="52"/>
        <v>0.48417910447761192</v>
      </c>
      <c r="Q1567" t="str">
        <f>Orders!D1567</f>
        <v>PROD-043</v>
      </c>
    </row>
    <row r="1568" spans="1:17" x14ac:dyDescent="0.3">
      <c r="A1568" t="str">
        <f>Orders!A1568</f>
        <v>ORD-01567</v>
      </c>
      <c r="B1568">
        <f>Orders!B1568</f>
        <v>45528</v>
      </c>
      <c r="C1568">
        <f>Orders!I1568</f>
        <v>41515.08</v>
      </c>
      <c r="D1568" t="str">
        <f>Orders!E1568</f>
        <v>R009</v>
      </c>
      <c r="E1568" t="str">
        <f>IFERROR(VLOOKUP(Orders!D1568,Products!$A$2:$C$61,3,FALSE),"Unknown")</f>
        <v>Sports</v>
      </c>
      <c r="F1568" t="str">
        <f>IFERROR(VLOOKUP(Orders!C1568,Customers!$A$2:$E$301,5,FALSE),"Unknown")</f>
        <v>SMB</v>
      </c>
      <c r="G1568">
        <f>IFERROR(VLOOKUP(Orders!C1568,Customers!$A$2:$C$301,3,FALSE),"")</f>
        <v>51</v>
      </c>
      <c r="H1568" t="str">
        <f>VLOOKUP(D1568,Sales_Reps!$A$2:$C$31,3,FALSE)</f>
        <v>South</v>
      </c>
      <c r="I1568" s="44">
        <f t="shared" si="51"/>
        <v>45505</v>
      </c>
      <c r="L1568" t="str">
        <f>Orders!K1568</f>
        <v>Chennai</v>
      </c>
      <c r="M1568">
        <f>Orders!G1568</f>
        <v>6940</v>
      </c>
      <c r="N1568">
        <f>IFERROR(VLOOKUP(Orders!D1568,Products!$A$2:$D$61,4,FALSE),"")</f>
        <v>2827</v>
      </c>
      <c r="O1568">
        <f t="shared" si="52"/>
        <v>0.5926512968299712</v>
      </c>
      <c r="Q1568" t="str">
        <f>Orders!D1568</f>
        <v>PROD-056</v>
      </c>
    </row>
    <row r="1569" spans="1:17" x14ac:dyDescent="0.3">
      <c r="A1569" t="str">
        <f>Orders!A1569</f>
        <v>ORD-01568</v>
      </c>
      <c r="B1569">
        <f>Orders!B1569</f>
        <v>45483</v>
      </c>
      <c r="C1569">
        <f>Orders!I1569</f>
        <v>8707.2000000000007</v>
      </c>
      <c r="D1569" t="str">
        <f>Orders!E1569</f>
        <v>R008</v>
      </c>
      <c r="E1569" t="str">
        <f>IFERROR(VLOOKUP(Orders!D1569,Products!$A$2:$C$61,3,FALSE),"Unknown")</f>
        <v>Beauty</v>
      </c>
      <c r="F1569" t="str">
        <f>IFERROR(VLOOKUP(Orders!C1569,Customers!$A$2:$E$301,5,FALSE),"Unknown")</f>
        <v>Retail</v>
      </c>
      <c r="G1569">
        <f>IFERROR(VLOOKUP(Orders!C1569,Customers!$A$2:$C$301,3,FALSE),"")</f>
        <v>32</v>
      </c>
      <c r="H1569" t="str">
        <f>VLOOKUP(D1569,Sales_Reps!$A$2:$C$31,3,FALSE)</f>
        <v>North</v>
      </c>
      <c r="I1569" s="44">
        <f t="shared" si="51"/>
        <v>45474</v>
      </c>
      <c r="L1569" t="str">
        <f>Orders!K1569</f>
        <v>Bengaluru</v>
      </c>
      <c r="M1569">
        <f>Orders!G1569</f>
        <v>960</v>
      </c>
      <c r="N1569">
        <f>IFERROR(VLOOKUP(Orders!D1569,Products!$A$2:$D$61,4,FALSE),"")</f>
        <v>675</v>
      </c>
      <c r="O1569">
        <f t="shared" si="52"/>
        <v>0.296875</v>
      </c>
      <c r="Q1569" t="str">
        <f>Orders!D1569</f>
        <v>PROD-049</v>
      </c>
    </row>
    <row r="1570" spans="1:17" x14ac:dyDescent="0.3">
      <c r="A1570" t="str">
        <f>Orders!A1570</f>
        <v>ORD-01569</v>
      </c>
      <c r="B1570">
        <f>Orders!B1570</f>
        <v>45625</v>
      </c>
      <c r="C1570">
        <f>Orders!I1570</f>
        <v>22852.799999999999</v>
      </c>
      <c r="D1570" t="str">
        <f>Orders!E1570</f>
        <v>R021</v>
      </c>
      <c r="E1570" t="str">
        <f>IFERROR(VLOOKUP(Orders!D1570,Products!$A$2:$C$61,3,FALSE),"Unknown")</f>
        <v>Grocery</v>
      </c>
      <c r="F1570" t="str">
        <f>IFERROR(VLOOKUP(Orders!C1570,Customers!$A$2:$E$301,5,FALSE),"Unknown")</f>
        <v>Retail</v>
      </c>
      <c r="G1570">
        <f>IFERROR(VLOOKUP(Orders!C1570,Customers!$A$2:$C$301,3,FALSE),"")</f>
        <v>38</v>
      </c>
      <c r="H1570" t="str">
        <f>VLOOKUP(D1570,Sales_Reps!$A$2:$C$31,3,FALSE)</f>
        <v>East</v>
      </c>
      <c r="I1570" s="44">
        <f t="shared" si="51"/>
        <v>45597</v>
      </c>
      <c r="L1570" t="str">
        <f>Orders!K1570</f>
        <v>Mumbai</v>
      </c>
      <c r="M1570">
        <f>Orders!G1570</f>
        <v>2760</v>
      </c>
      <c r="N1570">
        <f>IFERROR(VLOOKUP(Orders!D1570,Products!$A$2:$D$61,4,FALSE),"")</f>
        <v>1435</v>
      </c>
      <c r="O1570">
        <f t="shared" si="52"/>
        <v>0.48007246376811596</v>
      </c>
      <c r="Q1570" t="str">
        <f>Orders!D1570</f>
        <v>PROD-021</v>
      </c>
    </row>
    <row r="1571" spans="1:17" x14ac:dyDescent="0.3">
      <c r="A1571" t="str">
        <f>Orders!A1571</f>
        <v>ORD-01570</v>
      </c>
      <c r="B1571">
        <f>Orders!B1571</f>
        <v>45358</v>
      </c>
      <c r="C1571">
        <f>Orders!I1571</f>
        <v>6646.56</v>
      </c>
      <c r="D1571" t="str">
        <f>Orders!E1571</f>
        <v>R026</v>
      </c>
      <c r="E1571" t="str">
        <f>IFERROR(VLOOKUP(Orders!D1571,Products!$A$2:$C$61,3,FALSE),"Unknown")</f>
        <v>Grocery</v>
      </c>
      <c r="F1571" t="str">
        <f>IFERROR(VLOOKUP(Orders!C1571,Customers!$A$2:$E$301,5,FALSE),"Unknown")</f>
        <v>SMB</v>
      </c>
      <c r="G1571">
        <f>IFERROR(VLOOKUP(Orders!C1571,Customers!$A$2:$C$301,3,FALSE),"")</f>
        <v>64</v>
      </c>
      <c r="H1571" t="str">
        <f>VLOOKUP(D1571,Sales_Reps!$A$2:$C$31,3,FALSE)</f>
        <v>West</v>
      </c>
      <c r="I1571" s="44">
        <f t="shared" si="51"/>
        <v>45352</v>
      </c>
      <c r="L1571" t="str">
        <f>Orders!K1571</f>
        <v>Bengaluru</v>
      </c>
      <c r="M1571">
        <f>Orders!G1571</f>
        <v>2270</v>
      </c>
      <c r="N1571">
        <f>IFERROR(VLOOKUP(Orders!D1571,Products!$A$2:$D$61,4,FALSE),"")</f>
        <v>1203</v>
      </c>
      <c r="O1571">
        <f t="shared" si="52"/>
        <v>0.47004405286343615</v>
      </c>
      <c r="Q1571" t="str">
        <f>Orders!D1571</f>
        <v>PROD-024</v>
      </c>
    </row>
    <row r="1572" spans="1:17" x14ac:dyDescent="0.3">
      <c r="A1572" t="str">
        <f>Orders!A1572</f>
        <v>ORD-01571</v>
      </c>
      <c r="B1572">
        <f>Orders!B1572</f>
        <v>45342</v>
      </c>
      <c r="C1572">
        <f>Orders!I1572</f>
        <v>3796</v>
      </c>
      <c r="D1572" t="str">
        <f>Orders!E1572</f>
        <v>R021</v>
      </c>
      <c r="E1572" t="str">
        <f>IFERROR(VLOOKUP(Orders!D1572,Products!$A$2:$C$61,3,FALSE),"Unknown")</f>
        <v>Electronics</v>
      </c>
      <c r="F1572" t="str">
        <f>IFERROR(VLOOKUP(Orders!C1572,Customers!$A$2:$E$301,5,FALSE),"Unknown")</f>
        <v>Retail</v>
      </c>
      <c r="G1572">
        <f>IFERROR(VLOOKUP(Orders!C1572,Customers!$A$2:$C$301,3,FALSE),"")</f>
        <v>22</v>
      </c>
      <c r="H1572" t="str">
        <f>VLOOKUP(D1572,Sales_Reps!$A$2:$C$31,3,FALSE)</f>
        <v>East</v>
      </c>
      <c r="I1572" s="44">
        <f t="shared" si="51"/>
        <v>45323</v>
      </c>
      <c r="L1572" t="str">
        <f>Orders!K1572</f>
        <v>Hyderabad</v>
      </c>
      <c r="M1572">
        <f>Orders!G1572</f>
        <v>2600</v>
      </c>
      <c r="N1572">
        <f>IFERROR(VLOOKUP(Orders!D1572,Products!$A$2:$D$61,4,FALSE),"")</f>
        <v>1052</v>
      </c>
      <c r="O1572">
        <f t="shared" si="52"/>
        <v>0.5953846153846154</v>
      </c>
      <c r="Q1572" t="str">
        <f>Orders!D1572</f>
        <v>PROD-002</v>
      </c>
    </row>
    <row r="1573" spans="1:17" x14ac:dyDescent="0.3">
      <c r="A1573" t="str">
        <f>Orders!A1573</f>
        <v>ORD-01572</v>
      </c>
      <c r="B1573">
        <f>Orders!B1573</f>
        <v>45304</v>
      </c>
      <c r="C1573">
        <f>Orders!I1573</f>
        <v>12523.56</v>
      </c>
      <c r="D1573" t="str">
        <f>Orders!E1573</f>
        <v>R024</v>
      </c>
      <c r="E1573" t="str">
        <f>IFERROR(VLOOKUP(Orders!D1573,Products!$A$2:$C$61,3,FALSE),"Unknown")</f>
        <v>Electronics</v>
      </c>
      <c r="F1573" t="str">
        <f>IFERROR(VLOOKUP(Orders!C1573,Customers!$A$2:$E$301,5,FALSE),"Unknown")</f>
        <v>SMB</v>
      </c>
      <c r="G1573">
        <f>IFERROR(VLOOKUP(Orders!C1573,Customers!$A$2:$C$301,3,FALSE),"")</f>
        <v>36</v>
      </c>
      <c r="H1573" t="str">
        <f>VLOOKUP(D1573,Sales_Reps!$A$2:$C$31,3,FALSE)</f>
        <v>West</v>
      </c>
      <c r="I1573" s="44">
        <f t="shared" si="51"/>
        <v>45292</v>
      </c>
      <c r="L1573" t="str">
        <f>Orders!K1573</f>
        <v>Bengaluru</v>
      </c>
      <c r="M1573">
        <f>Orders!G1573</f>
        <v>3570</v>
      </c>
      <c r="N1573">
        <f>IFERROR(VLOOKUP(Orders!D1573,Products!$A$2:$D$61,4,FALSE),"")</f>
        <v>1665</v>
      </c>
      <c r="O1573">
        <f t="shared" si="52"/>
        <v>0.53361344537815125</v>
      </c>
      <c r="Q1573" t="str">
        <f>Orders!D1573</f>
        <v>PROD-003</v>
      </c>
    </row>
    <row r="1574" spans="1:17" x14ac:dyDescent="0.3">
      <c r="A1574" t="str">
        <f>Orders!A1574</f>
        <v>ORD-01573</v>
      </c>
      <c r="B1574">
        <f>Orders!B1574</f>
        <v>45316</v>
      </c>
      <c r="C1574">
        <f>Orders!I1574</f>
        <v>25069.8</v>
      </c>
      <c r="D1574" t="str">
        <f>Orders!E1574</f>
        <v>R016</v>
      </c>
      <c r="E1574" t="str">
        <f>IFERROR(VLOOKUP(Orders!D1574,Products!$A$2:$C$61,3,FALSE),"Unknown")</f>
        <v>Home</v>
      </c>
      <c r="F1574" t="str">
        <f>IFERROR(VLOOKUP(Orders!C1574,Customers!$A$2:$E$301,5,FALSE),"Unknown")</f>
        <v>Retail</v>
      </c>
      <c r="G1574">
        <f>IFERROR(VLOOKUP(Orders!C1574,Customers!$A$2:$C$301,3,FALSE),"")</f>
        <v>65</v>
      </c>
      <c r="H1574" t="str">
        <f>VLOOKUP(D1574,Sales_Reps!$A$2:$C$31,3,FALSE)</f>
        <v>South</v>
      </c>
      <c r="I1574" s="44">
        <f t="shared" si="51"/>
        <v>45292</v>
      </c>
      <c r="L1574" t="str">
        <f>Orders!K1574</f>
        <v>Mumbai</v>
      </c>
      <c r="M1574">
        <f>Orders!G1574</f>
        <v>5080</v>
      </c>
      <c r="N1574">
        <f>IFERROR(VLOOKUP(Orders!D1574,Products!$A$2:$D$61,4,FALSE),"")</f>
        <v>2459</v>
      </c>
      <c r="O1574">
        <f t="shared" si="52"/>
        <v>0.51594488188976373</v>
      </c>
      <c r="Q1574" t="str">
        <f>Orders!D1574</f>
        <v>PROD-034</v>
      </c>
    </row>
    <row r="1575" spans="1:17" x14ac:dyDescent="0.3">
      <c r="A1575" t="str">
        <f>Orders!A1575</f>
        <v>ORD-01574</v>
      </c>
      <c r="B1575">
        <f>Orders!B1575</f>
        <v>45340</v>
      </c>
      <c r="C1575">
        <f>Orders!I1575</f>
        <v>3590.4</v>
      </c>
      <c r="D1575" t="str">
        <f>Orders!E1575</f>
        <v>R016</v>
      </c>
      <c r="E1575" t="str">
        <f>IFERROR(VLOOKUP(Orders!D1575,Products!$A$2:$C$61,3,FALSE),"Unknown")</f>
        <v>Beauty</v>
      </c>
      <c r="F1575" t="str">
        <f>IFERROR(VLOOKUP(Orders!C1575,Customers!$A$2:$E$301,5,FALSE),"Unknown")</f>
        <v>Retail</v>
      </c>
      <c r="G1575">
        <f>IFERROR(VLOOKUP(Orders!C1575,Customers!$A$2:$C$301,3,FALSE),"")</f>
        <v>40</v>
      </c>
      <c r="H1575" t="str">
        <f>VLOOKUP(D1575,Sales_Reps!$A$2:$C$31,3,FALSE)</f>
        <v>South</v>
      </c>
      <c r="I1575" s="44">
        <f t="shared" si="51"/>
        <v>45323</v>
      </c>
      <c r="L1575" t="str">
        <f>Orders!K1575</f>
        <v>Mumbai</v>
      </c>
      <c r="M1575">
        <f>Orders!G1575</f>
        <v>960</v>
      </c>
      <c r="N1575">
        <f>IFERROR(VLOOKUP(Orders!D1575,Products!$A$2:$D$61,4,FALSE),"")</f>
        <v>675</v>
      </c>
      <c r="O1575">
        <f t="shared" si="52"/>
        <v>0.296875</v>
      </c>
      <c r="Q1575" t="str">
        <f>Orders!D1575</f>
        <v>PROD-049</v>
      </c>
    </row>
    <row r="1576" spans="1:17" x14ac:dyDescent="0.3">
      <c r="A1576" t="str">
        <f>Orders!A1576</f>
        <v>ORD-01575</v>
      </c>
      <c r="B1576">
        <f>Orders!B1576</f>
        <v>45604</v>
      </c>
      <c r="C1576">
        <f>Orders!I1576</f>
        <v>2579.36</v>
      </c>
      <c r="D1576" t="str">
        <f>Orders!E1576</f>
        <v>R010</v>
      </c>
      <c r="E1576" t="str">
        <f>IFERROR(VLOOKUP(Orders!D1576,Products!$A$2:$C$61,3,FALSE),"Unknown")</f>
        <v>Sports</v>
      </c>
      <c r="F1576" t="str">
        <f>IFERROR(VLOOKUP(Orders!C1576,Customers!$A$2:$E$301,5,FALSE),"Unknown")</f>
        <v>Corporate</v>
      </c>
      <c r="G1576">
        <f>IFERROR(VLOOKUP(Orders!C1576,Customers!$A$2:$C$301,3,FALSE),"")</f>
        <v>62</v>
      </c>
      <c r="H1576" t="str">
        <f>VLOOKUP(D1576,Sales_Reps!$A$2:$C$31,3,FALSE)</f>
        <v>South</v>
      </c>
      <c r="I1576" s="44">
        <f t="shared" si="51"/>
        <v>45597</v>
      </c>
      <c r="L1576" t="str">
        <f>Orders!K1576</f>
        <v>Mumbai</v>
      </c>
      <c r="M1576">
        <f>Orders!G1576</f>
        <v>470</v>
      </c>
      <c r="N1576">
        <f>IFERROR(VLOOKUP(Orders!D1576,Products!$A$2:$D$61,4,FALSE),"")</f>
        <v>302</v>
      </c>
      <c r="O1576">
        <f t="shared" si="52"/>
        <v>0.35744680851063831</v>
      </c>
      <c r="Q1576" t="str">
        <f>Orders!D1576</f>
        <v>PROD-053</v>
      </c>
    </row>
    <row r="1577" spans="1:17" x14ac:dyDescent="0.3">
      <c r="A1577" t="str">
        <f>Orders!A1577</f>
        <v>ORD-01576</v>
      </c>
      <c r="B1577">
        <f>Orders!B1577</f>
        <v>45625</v>
      </c>
      <c r="C1577">
        <f>Orders!I1577</f>
        <v>4265.12</v>
      </c>
      <c r="D1577" t="str">
        <f>Orders!E1577</f>
        <v>R027</v>
      </c>
      <c r="E1577" t="str">
        <f>IFERROR(VLOOKUP(Orders!D1577,Products!$A$2:$C$61,3,FALSE),"Unknown")</f>
        <v>Electronics</v>
      </c>
      <c r="F1577" t="str">
        <f>IFERROR(VLOOKUP(Orders!C1577,Customers!$A$2:$E$301,5,FALSE),"Unknown")</f>
        <v>Retail</v>
      </c>
      <c r="G1577">
        <f>IFERROR(VLOOKUP(Orders!C1577,Customers!$A$2:$C$301,3,FALSE),"")</f>
        <v>53</v>
      </c>
      <c r="H1577" t="str">
        <f>VLOOKUP(D1577,Sales_Reps!$A$2:$C$31,3,FALSE)</f>
        <v>West</v>
      </c>
      <c r="I1577" s="44">
        <f t="shared" si="51"/>
        <v>45597</v>
      </c>
      <c r="L1577" t="str">
        <f>Orders!K1577</f>
        <v>Delhi</v>
      </c>
      <c r="M1577">
        <f>Orders!G1577</f>
        <v>1220</v>
      </c>
      <c r="N1577">
        <f>IFERROR(VLOOKUP(Orders!D1577,Products!$A$2:$D$61,4,FALSE),"")</f>
        <v>517</v>
      </c>
      <c r="O1577">
        <f t="shared" si="52"/>
        <v>0.57622950819672136</v>
      </c>
      <c r="Q1577" t="str">
        <f>Orders!D1577</f>
        <v>PROD-009</v>
      </c>
    </row>
    <row r="1578" spans="1:17" x14ac:dyDescent="0.3">
      <c r="A1578" t="str">
        <f>Orders!A1578</f>
        <v>ORD-01577</v>
      </c>
      <c r="B1578">
        <f>Orders!B1578</f>
        <v>45293</v>
      </c>
      <c r="C1578">
        <f>Orders!I1578</f>
        <v>3583.48</v>
      </c>
      <c r="D1578" t="str">
        <f>Orders!E1578</f>
        <v>R008</v>
      </c>
      <c r="E1578" t="str">
        <f>IFERROR(VLOOKUP(Orders!D1578,Products!$A$2:$C$61,3,FALSE),"Unknown")</f>
        <v>Sports</v>
      </c>
      <c r="F1578" t="str">
        <f>IFERROR(VLOOKUP(Orders!C1578,Customers!$A$2:$E$301,5,FALSE),"Unknown")</f>
        <v>Retail</v>
      </c>
      <c r="G1578">
        <f>IFERROR(VLOOKUP(Orders!C1578,Customers!$A$2:$C$301,3,FALSE),"")</f>
        <v>44</v>
      </c>
      <c r="H1578" t="str">
        <f>VLOOKUP(D1578,Sales_Reps!$A$2:$C$31,3,FALSE)</f>
        <v>North</v>
      </c>
      <c r="I1578" s="44">
        <f t="shared" si="51"/>
        <v>45292</v>
      </c>
      <c r="L1578" t="str">
        <f>Orders!K1578</f>
        <v>Mumbai</v>
      </c>
      <c r="M1578">
        <f>Orders!G1578</f>
        <v>1010</v>
      </c>
      <c r="N1578">
        <f>IFERROR(VLOOKUP(Orders!D1578,Products!$A$2:$D$61,4,FALSE),"")</f>
        <v>516</v>
      </c>
      <c r="O1578">
        <f t="shared" si="52"/>
        <v>0.4891089108910891</v>
      </c>
      <c r="Q1578" t="str">
        <f>Orders!D1578</f>
        <v>PROD-054</v>
      </c>
    </row>
    <row r="1579" spans="1:17" x14ac:dyDescent="0.3">
      <c r="A1579" t="str">
        <f>Orders!A1579</f>
        <v>ORD-01578</v>
      </c>
      <c r="B1579">
        <f>Orders!B1579</f>
        <v>45454</v>
      </c>
      <c r="C1579">
        <f>Orders!I1579</f>
        <v>13585.92</v>
      </c>
      <c r="D1579" t="str">
        <f>Orders!E1579</f>
        <v>R005</v>
      </c>
      <c r="E1579" t="str">
        <f>IFERROR(VLOOKUP(Orders!D1579,Products!$A$2:$C$61,3,FALSE),"Unknown")</f>
        <v>Grocery</v>
      </c>
      <c r="F1579" t="str">
        <f>IFERROR(VLOOKUP(Orders!C1579,Customers!$A$2:$E$301,5,FALSE),"Unknown")</f>
        <v>SMB</v>
      </c>
      <c r="G1579">
        <f>IFERROR(VLOOKUP(Orders!C1579,Customers!$A$2:$C$301,3,FALSE),"")</f>
        <v>65</v>
      </c>
      <c r="H1579" t="str">
        <f>VLOOKUP(D1579,Sales_Reps!$A$2:$C$31,3,FALSE)</f>
        <v>North</v>
      </c>
      <c r="I1579" s="44">
        <f t="shared" si="51"/>
        <v>45444</v>
      </c>
      <c r="L1579" t="str">
        <f>Orders!K1579</f>
        <v>Hyderabad</v>
      </c>
      <c r="M1579">
        <f>Orders!G1579</f>
        <v>3660</v>
      </c>
      <c r="N1579">
        <f>IFERROR(VLOOKUP(Orders!D1579,Products!$A$2:$D$61,4,FALSE),"")</f>
        <v>2214</v>
      </c>
      <c r="O1579">
        <f t="shared" si="52"/>
        <v>0.39508196721311473</v>
      </c>
      <c r="Q1579" t="str">
        <f>Orders!D1579</f>
        <v>PROD-028</v>
      </c>
    </row>
    <row r="1580" spans="1:17" x14ac:dyDescent="0.3">
      <c r="A1580" t="str">
        <f>Orders!A1580</f>
        <v>ORD-01579</v>
      </c>
      <c r="B1580">
        <f>Orders!B1580</f>
        <v>45345</v>
      </c>
      <c r="C1580">
        <f>Orders!I1580</f>
        <v>20203.2</v>
      </c>
      <c r="D1580" t="str">
        <f>Orders!E1580</f>
        <v>R010</v>
      </c>
      <c r="E1580" t="str">
        <f>IFERROR(VLOOKUP(Orders!D1580,Products!$A$2:$C$61,3,FALSE),"Unknown")</f>
        <v>Home</v>
      </c>
      <c r="F1580" t="str">
        <f>IFERROR(VLOOKUP(Orders!C1580,Customers!$A$2:$E$301,5,FALSE),"Unknown")</f>
        <v>Retail</v>
      </c>
      <c r="G1580">
        <f>IFERROR(VLOOKUP(Orders!C1580,Customers!$A$2:$C$301,3,FALSE),"")</f>
        <v>22</v>
      </c>
      <c r="H1580" t="str">
        <f>VLOOKUP(D1580,Sales_Reps!$A$2:$C$31,3,FALSE)</f>
        <v>South</v>
      </c>
      <c r="I1580" s="44">
        <f t="shared" si="51"/>
        <v>45323</v>
      </c>
      <c r="L1580" t="str">
        <f>Orders!K1580</f>
        <v>Chennai</v>
      </c>
      <c r="M1580">
        <f>Orders!G1580</f>
        <v>5490</v>
      </c>
      <c r="N1580">
        <f>IFERROR(VLOOKUP(Orders!D1580,Products!$A$2:$D$61,4,FALSE),"")</f>
        <v>2549</v>
      </c>
      <c r="O1580">
        <f t="shared" si="52"/>
        <v>0.53570127504553733</v>
      </c>
      <c r="Q1580" t="str">
        <f>Orders!D1580</f>
        <v>PROD-038</v>
      </c>
    </row>
    <row r="1581" spans="1:17" x14ac:dyDescent="0.3">
      <c r="A1581" t="str">
        <f>Orders!A1581</f>
        <v>ORD-01580</v>
      </c>
      <c r="B1581">
        <f>Orders!B1581</f>
        <v>45645</v>
      </c>
      <c r="C1581">
        <f>Orders!I1581</f>
        <v>11290.98</v>
      </c>
      <c r="D1581" t="str">
        <f>Orders!E1581</f>
        <v>R003</v>
      </c>
      <c r="E1581" t="str">
        <f>IFERROR(VLOOKUP(Orders!D1581,Products!$A$2:$C$61,3,FALSE),"Unknown")</f>
        <v>Grocery</v>
      </c>
      <c r="F1581" t="str">
        <f>IFERROR(VLOOKUP(Orders!C1581,Customers!$A$2:$E$301,5,FALSE),"Unknown")</f>
        <v>Corporate</v>
      </c>
      <c r="G1581">
        <f>IFERROR(VLOOKUP(Orders!C1581,Customers!$A$2:$C$301,3,FALSE),"")</f>
        <v>48</v>
      </c>
      <c r="H1581" t="str">
        <f>VLOOKUP(D1581,Sales_Reps!$A$2:$C$31,3,FALSE)</f>
        <v>North</v>
      </c>
      <c r="I1581" s="44">
        <f t="shared" si="51"/>
        <v>45627</v>
      </c>
      <c r="L1581" t="str">
        <f>Orders!K1581</f>
        <v>Pune</v>
      </c>
      <c r="M1581">
        <f>Orders!G1581</f>
        <v>2270</v>
      </c>
      <c r="N1581">
        <f>IFERROR(VLOOKUP(Orders!D1581,Products!$A$2:$D$61,4,FALSE),"")</f>
        <v>1412</v>
      </c>
      <c r="O1581">
        <f t="shared" si="52"/>
        <v>0.37797356828193834</v>
      </c>
      <c r="Q1581" t="str">
        <f>Orders!D1581</f>
        <v>PROD-022</v>
      </c>
    </row>
    <row r="1582" spans="1:17" x14ac:dyDescent="0.3">
      <c r="A1582" t="str">
        <f>Orders!A1582</f>
        <v>ORD-01581</v>
      </c>
      <c r="B1582">
        <f>Orders!B1582</f>
        <v>45588</v>
      </c>
      <c r="C1582">
        <f>Orders!I1582</f>
        <v>15998.96</v>
      </c>
      <c r="D1582" t="str">
        <f>Orders!E1582</f>
        <v>R015</v>
      </c>
      <c r="E1582" t="str">
        <f>IFERROR(VLOOKUP(Orders!D1582,Products!$A$2:$C$61,3,FALSE),"Unknown")</f>
        <v>Grocery</v>
      </c>
      <c r="F1582" t="str">
        <f>IFERROR(VLOOKUP(Orders!C1582,Customers!$A$2:$E$301,5,FALSE),"Unknown")</f>
        <v>Retail</v>
      </c>
      <c r="G1582">
        <f>IFERROR(VLOOKUP(Orders!C1582,Customers!$A$2:$C$301,3,FALSE),"")</f>
        <v>25</v>
      </c>
      <c r="H1582" t="str">
        <f>VLOOKUP(D1582,Sales_Reps!$A$2:$C$31,3,FALSE)</f>
        <v>South</v>
      </c>
      <c r="I1582" s="44">
        <f t="shared" si="51"/>
        <v>45566</v>
      </c>
      <c r="L1582" t="str">
        <f>Orders!K1582</f>
        <v>Pune</v>
      </c>
      <c r="M1582">
        <f>Orders!G1582</f>
        <v>2270</v>
      </c>
      <c r="N1582">
        <f>IFERROR(VLOOKUP(Orders!D1582,Products!$A$2:$D$61,4,FALSE),"")</f>
        <v>1412</v>
      </c>
      <c r="O1582">
        <f t="shared" si="52"/>
        <v>0.37797356828193834</v>
      </c>
      <c r="Q1582" t="str">
        <f>Orders!D1582</f>
        <v>PROD-022</v>
      </c>
    </row>
    <row r="1583" spans="1:17" x14ac:dyDescent="0.3">
      <c r="A1583" t="str">
        <f>Orders!A1583</f>
        <v>ORD-01582</v>
      </c>
      <c r="B1583">
        <f>Orders!B1583</f>
        <v>45592</v>
      </c>
      <c r="C1583">
        <f>Orders!I1583</f>
        <v>14804.4</v>
      </c>
      <c r="D1583" t="str">
        <f>Orders!E1583</f>
        <v>R018</v>
      </c>
      <c r="E1583" t="str">
        <f>IFERROR(VLOOKUP(Orders!D1583,Products!$A$2:$C$61,3,FALSE),"Unknown")</f>
        <v>Electronics</v>
      </c>
      <c r="F1583" t="str">
        <f>IFERROR(VLOOKUP(Orders!C1583,Customers!$A$2:$E$301,5,FALSE),"Unknown")</f>
        <v>SMB</v>
      </c>
      <c r="G1583">
        <f>IFERROR(VLOOKUP(Orders!C1583,Customers!$A$2:$C$301,3,FALSE),"")</f>
        <v>60</v>
      </c>
      <c r="H1583" t="str">
        <f>VLOOKUP(D1583,Sales_Reps!$A$2:$C$31,3,FALSE)</f>
        <v>East</v>
      </c>
      <c r="I1583" s="44">
        <f t="shared" si="51"/>
        <v>45566</v>
      </c>
      <c r="L1583" t="str">
        <f>Orders!K1583</f>
        <v>Pune</v>
      </c>
      <c r="M1583">
        <f>Orders!G1583</f>
        <v>2600</v>
      </c>
      <c r="N1583">
        <f>IFERROR(VLOOKUP(Orders!D1583,Products!$A$2:$D$61,4,FALSE),"")</f>
        <v>1052</v>
      </c>
      <c r="O1583">
        <f t="shared" si="52"/>
        <v>0.5953846153846154</v>
      </c>
      <c r="Q1583" t="str">
        <f>Orders!D1583</f>
        <v>PROD-002</v>
      </c>
    </row>
    <row r="1584" spans="1:17" x14ac:dyDescent="0.3">
      <c r="A1584" t="str">
        <f>Orders!A1584</f>
        <v>ORD-01583</v>
      </c>
      <c r="B1584">
        <f>Orders!B1584</f>
        <v>45403</v>
      </c>
      <c r="C1584">
        <f>Orders!I1584</f>
        <v>34203.06</v>
      </c>
      <c r="D1584" t="str">
        <f>Orders!E1584</f>
        <v>R027</v>
      </c>
      <c r="E1584" t="str">
        <f>IFERROR(VLOOKUP(Orders!D1584,Products!$A$2:$C$61,3,FALSE),"Unknown")</f>
        <v>Electronics</v>
      </c>
      <c r="F1584" t="str">
        <f>IFERROR(VLOOKUP(Orders!C1584,Customers!$A$2:$E$301,5,FALSE),"Unknown")</f>
        <v>Retail</v>
      </c>
      <c r="G1584">
        <f>IFERROR(VLOOKUP(Orders!C1584,Customers!$A$2:$C$301,3,FALSE),"")</f>
        <v>34</v>
      </c>
      <c r="H1584" t="str">
        <f>VLOOKUP(D1584,Sales_Reps!$A$2:$C$31,3,FALSE)</f>
        <v>West</v>
      </c>
      <c r="I1584" s="44">
        <f t="shared" si="51"/>
        <v>45383</v>
      </c>
      <c r="L1584" t="str">
        <f>Orders!K1584</f>
        <v>Mumbai</v>
      </c>
      <c r="M1584">
        <f>Orders!G1584</f>
        <v>3870</v>
      </c>
      <c r="N1584">
        <f>IFERROR(VLOOKUP(Orders!D1584,Products!$A$2:$D$61,4,FALSE),"")</f>
        <v>1559</v>
      </c>
      <c r="O1584">
        <f t="shared" si="52"/>
        <v>0.59715762273901807</v>
      </c>
      <c r="Q1584" t="str">
        <f>Orders!D1584</f>
        <v>PROD-004</v>
      </c>
    </row>
    <row r="1585" spans="1:17" x14ac:dyDescent="0.3">
      <c r="A1585" t="str">
        <f>Orders!A1585</f>
        <v>ORD-01584</v>
      </c>
      <c r="B1585">
        <f>Orders!B1585</f>
        <v>45459</v>
      </c>
      <c r="C1585">
        <f>Orders!I1585</f>
        <v>10933.38</v>
      </c>
      <c r="D1585" t="str">
        <f>Orders!E1585</f>
        <v>R006</v>
      </c>
      <c r="E1585" t="str">
        <f>IFERROR(VLOOKUP(Orders!D1585,Products!$A$2:$C$61,3,FALSE),"Unknown")</f>
        <v>Electronics</v>
      </c>
      <c r="F1585" t="str">
        <f>IFERROR(VLOOKUP(Orders!C1585,Customers!$A$2:$E$301,5,FALSE),"Unknown")</f>
        <v>SMB</v>
      </c>
      <c r="G1585">
        <f>IFERROR(VLOOKUP(Orders!C1585,Customers!$A$2:$C$301,3,FALSE),"")</f>
        <v>53</v>
      </c>
      <c r="H1585" t="str">
        <f>VLOOKUP(D1585,Sales_Reps!$A$2:$C$31,3,FALSE)</f>
        <v>North</v>
      </c>
      <c r="I1585" s="44">
        <f t="shared" si="51"/>
        <v>45444</v>
      </c>
      <c r="L1585" t="str">
        <f>Orders!K1585</f>
        <v>Pune</v>
      </c>
      <c r="M1585">
        <f>Orders!G1585</f>
        <v>3970</v>
      </c>
      <c r="N1585">
        <f>IFERROR(VLOOKUP(Orders!D1585,Products!$A$2:$D$61,4,FALSE),"")</f>
        <v>2865</v>
      </c>
      <c r="O1585">
        <f t="shared" si="52"/>
        <v>0.27833753148614609</v>
      </c>
      <c r="Q1585" t="str">
        <f>Orders!D1585</f>
        <v>PROD-006</v>
      </c>
    </row>
    <row r="1586" spans="1:17" x14ac:dyDescent="0.3">
      <c r="A1586" t="str">
        <f>Orders!A1586</f>
        <v>ORD-01585</v>
      </c>
      <c r="B1586">
        <f>Orders!B1586</f>
        <v>45438</v>
      </c>
      <c r="C1586">
        <f>Orders!I1586</f>
        <v>6765.12</v>
      </c>
      <c r="D1586" t="str">
        <f>Orders!E1586</f>
        <v>R028</v>
      </c>
      <c r="E1586" t="str">
        <f>IFERROR(VLOOKUP(Orders!D1586,Products!$A$2:$C$61,3,FALSE),"Unknown")</f>
        <v>Beauty</v>
      </c>
      <c r="F1586" t="str">
        <f>IFERROR(VLOOKUP(Orders!C1586,Customers!$A$2:$E$301,5,FALSE),"Unknown")</f>
        <v>Retail</v>
      </c>
      <c r="G1586">
        <f>IFERROR(VLOOKUP(Orders!C1586,Customers!$A$2:$C$301,3,FALSE),"")</f>
        <v>28</v>
      </c>
      <c r="H1586" t="str">
        <f>VLOOKUP(D1586,Sales_Reps!$A$2:$C$31,3,FALSE)</f>
        <v>West</v>
      </c>
      <c r="I1586" s="44">
        <f t="shared" si="51"/>
        <v>45413</v>
      </c>
      <c r="L1586" t="str">
        <f>Orders!K1586</f>
        <v>Chennai</v>
      </c>
      <c r="M1586">
        <f>Orders!G1586</f>
        <v>960</v>
      </c>
      <c r="N1586">
        <f>IFERROR(VLOOKUP(Orders!D1586,Products!$A$2:$D$61,4,FALSE),"")</f>
        <v>675</v>
      </c>
      <c r="O1586">
        <f t="shared" si="52"/>
        <v>0.296875</v>
      </c>
      <c r="Q1586" t="str">
        <f>Orders!D1586</f>
        <v>PROD-049</v>
      </c>
    </row>
    <row r="1587" spans="1:17" x14ac:dyDescent="0.3">
      <c r="A1587" t="str">
        <f>Orders!A1587</f>
        <v>ORD-01586</v>
      </c>
      <c r="B1587">
        <f>Orders!B1587</f>
        <v>45632</v>
      </c>
      <c r="C1587">
        <f>Orders!I1587</f>
        <v>12935.31</v>
      </c>
      <c r="D1587" t="str">
        <f>Orders!E1587</f>
        <v>R025</v>
      </c>
      <c r="E1587" t="str">
        <f>IFERROR(VLOOKUP(Orders!D1587,Products!$A$2:$C$61,3,FALSE),"Unknown")</f>
        <v>Sports</v>
      </c>
      <c r="F1587" t="str">
        <f>IFERROR(VLOOKUP(Orders!C1587,Customers!$A$2:$E$301,5,FALSE),"Unknown")</f>
        <v>Retail</v>
      </c>
      <c r="G1587">
        <f>IFERROR(VLOOKUP(Orders!C1587,Customers!$A$2:$C$301,3,FALSE),"")</f>
        <v>63</v>
      </c>
      <c r="H1587" t="str">
        <f>VLOOKUP(D1587,Sales_Reps!$A$2:$C$31,3,FALSE)</f>
        <v>West</v>
      </c>
      <c r="I1587" s="44">
        <f t="shared" si="51"/>
        <v>45627</v>
      </c>
      <c r="L1587" t="str">
        <f>Orders!K1587</f>
        <v>Delhi</v>
      </c>
      <c r="M1587">
        <f>Orders!G1587</f>
        <v>5410</v>
      </c>
      <c r="N1587">
        <f>IFERROR(VLOOKUP(Orders!D1587,Products!$A$2:$D$61,4,FALSE),"")</f>
        <v>2265</v>
      </c>
      <c r="O1587">
        <f t="shared" si="52"/>
        <v>0.58133086876155271</v>
      </c>
      <c r="Q1587" t="str">
        <f>Orders!D1587</f>
        <v>PROD-052</v>
      </c>
    </row>
    <row r="1588" spans="1:17" x14ac:dyDescent="0.3">
      <c r="A1588" t="str">
        <f>Orders!A1588</f>
        <v>ORD-01587</v>
      </c>
      <c r="B1588">
        <f>Orders!B1588</f>
        <v>45579</v>
      </c>
      <c r="C1588">
        <f>Orders!I1588</f>
        <v>9149.4</v>
      </c>
      <c r="D1588" t="str">
        <f>Orders!E1588</f>
        <v>R005</v>
      </c>
      <c r="E1588" t="str">
        <f>IFERROR(VLOOKUP(Orders!D1588,Products!$A$2:$C$61,3,FALSE),"Unknown")</f>
        <v>Apparel</v>
      </c>
      <c r="F1588" t="str">
        <f>IFERROR(VLOOKUP(Orders!C1588,Customers!$A$2:$E$301,5,FALSE),"Unknown")</f>
        <v>Corporate</v>
      </c>
      <c r="G1588">
        <f>IFERROR(VLOOKUP(Orders!C1588,Customers!$A$2:$C$301,3,FALSE),"")</f>
        <v>44</v>
      </c>
      <c r="H1588" t="str">
        <f>VLOOKUP(D1588,Sales_Reps!$A$2:$C$31,3,FALSE)</f>
        <v>North</v>
      </c>
      <c r="I1588" s="44">
        <f t="shared" si="51"/>
        <v>45566</v>
      </c>
      <c r="L1588" t="str">
        <f>Orders!K1588</f>
        <v>Chennai</v>
      </c>
      <c r="M1588">
        <f>Orders!G1588</f>
        <v>3450</v>
      </c>
      <c r="N1588">
        <f>IFERROR(VLOOKUP(Orders!D1588,Products!$A$2:$D$61,4,FALSE),"")</f>
        <v>1748</v>
      </c>
      <c r="O1588">
        <f t="shared" si="52"/>
        <v>0.49333333333333335</v>
      </c>
      <c r="Q1588" t="str">
        <f>Orders!D1588</f>
        <v>PROD-011</v>
      </c>
    </row>
    <row r="1589" spans="1:17" x14ac:dyDescent="0.3">
      <c r="A1589" t="str">
        <f>Orders!A1589</f>
        <v>ORD-01588</v>
      </c>
      <c r="B1589">
        <f>Orders!B1589</f>
        <v>45392</v>
      </c>
      <c r="C1589">
        <f>Orders!I1589</f>
        <v>4783.68</v>
      </c>
      <c r="D1589" t="str">
        <f>Orders!E1589</f>
        <v>R008</v>
      </c>
      <c r="E1589" t="str">
        <f>IFERROR(VLOOKUP(Orders!D1589,Products!$A$2:$C$61,3,FALSE),"Unknown")</f>
        <v>Beauty</v>
      </c>
      <c r="F1589" t="str">
        <f>IFERROR(VLOOKUP(Orders!C1589,Customers!$A$2:$E$301,5,FALSE),"Unknown")</f>
        <v>Retail</v>
      </c>
      <c r="G1589">
        <f>IFERROR(VLOOKUP(Orders!C1589,Customers!$A$2:$C$301,3,FALSE),"")</f>
        <v>53</v>
      </c>
      <c r="H1589" t="str">
        <f>VLOOKUP(D1589,Sales_Reps!$A$2:$C$31,3,FALSE)</f>
        <v>North</v>
      </c>
      <c r="I1589" s="44">
        <f t="shared" si="51"/>
        <v>45383</v>
      </c>
      <c r="L1589" t="str">
        <f>Orders!K1589</f>
        <v>Delhi</v>
      </c>
      <c r="M1589">
        <f>Orders!G1589</f>
        <v>3020</v>
      </c>
      <c r="N1589">
        <f>IFERROR(VLOOKUP(Orders!D1589,Products!$A$2:$D$61,4,FALSE),"")</f>
        <v>1626</v>
      </c>
      <c r="O1589">
        <f t="shared" si="52"/>
        <v>0.46158940397350995</v>
      </c>
      <c r="Q1589" t="str">
        <f>Orders!D1589</f>
        <v>PROD-045</v>
      </c>
    </row>
    <row r="1590" spans="1:17" x14ac:dyDescent="0.3">
      <c r="A1590" t="str">
        <f>Orders!A1590</f>
        <v>ORD-01589</v>
      </c>
      <c r="B1590">
        <f>Orders!B1590</f>
        <v>45563</v>
      </c>
      <c r="C1590">
        <f>Orders!I1590</f>
        <v>509.01</v>
      </c>
      <c r="D1590" t="str">
        <f>Orders!E1590</f>
        <v>R002</v>
      </c>
      <c r="E1590" t="str">
        <f>IFERROR(VLOOKUP(Orders!D1590,Products!$A$2:$C$61,3,FALSE),"Unknown")</f>
        <v>Sports</v>
      </c>
      <c r="F1590" t="str">
        <f>IFERROR(VLOOKUP(Orders!C1590,Customers!$A$2:$E$301,5,FALSE),"Unknown")</f>
        <v>SMB</v>
      </c>
      <c r="G1590">
        <f>IFERROR(VLOOKUP(Orders!C1590,Customers!$A$2:$C$301,3,FALSE),"")</f>
        <v>54</v>
      </c>
      <c r="H1590" t="str">
        <f>VLOOKUP(D1590,Sales_Reps!$A$2:$C$31,3,FALSE)</f>
        <v>North</v>
      </c>
      <c r="I1590" s="44">
        <f t="shared" si="51"/>
        <v>45536</v>
      </c>
      <c r="L1590" t="str">
        <f>Orders!K1590</f>
        <v>Mumbai</v>
      </c>
      <c r="M1590">
        <f>Orders!G1590</f>
        <v>190</v>
      </c>
      <c r="N1590">
        <f>IFERROR(VLOOKUP(Orders!D1590,Products!$A$2:$D$61,4,FALSE),"")</f>
        <v>147</v>
      </c>
      <c r="O1590">
        <f t="shared" si="52"/>
        <v>0.22631578947368422</v>
      </c>
      <c r="Q1590" t="str">
        <f>Orders!D1590</f>
        <v>PROD-060</v>
      </c>
    </row>
    <row r="1591" spans="1:17" x14ac:dyDescent="0.3">
      <c r="A1591" t="str">
        <f>Orders!A1591</f>
        <v>ORD-01590</v>
      </c>
      <c r="B1591">
        <f>Orders!B1591</f>
        <v>45294</v>
      </c>
      <c r="C1591">
        <f>Orders!I1591</f>
        <v>13890.52</v>
      </c>
      <c r="D1591" t="str">
        <f>Orders!E1591</f>
        <v>R012</v>
      </c>
      <c r="E1591" t="str">
        <f>IFERROR(VLOOKUP(Orders!D1591,Products!$A$2:$C$61,3,FALSE),"Unknown")</f>
        <v>Home</v>
      </c>
      <c r="F1591" t="str">
        <f>IFERROR(VLOOKUP(Orders!C1591,Customers!$A$2:$E$301,5,FALSE),"Unknown")</f>
        <v>SMB</v>
      </c>
      <c r="G1591">
        <f>IFERROR(VLOOKUP(Orders!C1591,Customers!$A$2:$C$301,3,FALSE),"")</f>
        <v>44</v>
      </c>
      <c r="H1591" t="str">
        <f>VLOOKUP(D1591,Sales_Reps!$A$2:$C$31,3,FALSE)</f>
        <v>South</v>
      </c>
      <c r="I1591" s="44">
        <f t="shared" si="51"/>
        <v>45292</v>
      </c>
      <c r="L1591" t="str">
        <f>Orders!K1591</f>
        <v>Pune</v>
      </c>
      <c r="M1591">
        <f>Orders!G1591</f>
        <v>3730</v>
      </c>
      <c r="N1591">
        <f>IFERROR(VLOOKUP(Orders!D1591,Products!$A$2:$D$61,4,FALSE),"")</f>
        <v>2135</v>
      </c>
      <c r="O1591">
        <f t="shared" si="52"/>
        <v>0.42761394101876676</v>
      </c>
      <c r="Q1591" t="str">
        <f>Orders!D1591</f>
        <v>PROD-031</v>
      </c>
    </row>
    <row r="1592" spans="1:17" x14ac:dyDescent="0.3">
      <c r="A1592" t="str">
        <f>Orders!A1592</f>
        <v>ORD-01591</v>
      </c>
      <c r="B1592">
        <f>Orders!B1592</f>
        <v>45503</v>
      </c>
      <c r="C1592">
        <f>Orders!I1592</f>
        <v>24156.9</v>
      </c>
      <c r="D1592" t="str">
        <f>Orders!E1592</f>
        <v>R025</v>
      </c>
      <c r="E1592" t="str">
        <f>IFERROR(VLOOKUP(Orders!D1592,Products!$A$2:$C$61,3,FALSE),"Unknown")</f>
        <v>Sports</v>
      </c>
      <c r="F1592" t="str">
        <f>IFERROR(VLOOKUP(Orders!C1592,Customers!$A$2:$E$301,5,FALSE),"Unknown")</f>
        <v>SMB</v>
      </c>
      <c r="G1592">
        <f>IFERROR(VLOOKUP(Orders!C1592,Customers!$A$2:$C$301,3,FALSE),"")</f>
        <v>47</v>
      </c>
      <c r="H1592" t="str">
        <f>VLOOKUP(D1592,Sales_Reps!$A$2:$C$31,3,FALSE)</f>
        <v>West</v>
      </c>
      <c r="I1592" s="44">
        <f t="shared" si="51"/>
        <v>45474</v>
      </c>
      <c r="L1592" t="str">
        <f>Orders!K1592</f>
        <v>Mumbai</v>
      </c>
      <c r="M1592">
        <f>Orders!G1592</f>
        <v>3450</v>
      </c>
      <c r="N1592">
        <f>IFERROR(VLOOKUP(Orders!D1592,Products!$A$2:$D$61,4,FALSE),"")</f>
        <v>2467</v>
      </c>
      <c r="O1592">
        <f t="shared" si="52"/>
        <v>0.28492753623188405</v>
      </c>
      <c r="Q1592" t="str">
        <f>Orders!D1592</f>
        <v>PROD-051</v>
      </c>
    </row>
    <row r="1593" spans="1:17" x14ac:dyDescent="0.3">
      <c r="A1593" t="str">
        <f>Orders!A1593</f>
        <v>ORD-01592</v>
      </c>
      <c r="B1593">
        <f>Orders!B1593</f>
        <v>45336</v>
      </c>
      <c r="C1593">
        <f>Orders!I1593</f>
        <v>11100.12</v>
      </c>
      <c r="D1593" t="str">
        <f>Orders!E1593</f>
        <v>R002</v>
      </c>
      <c r="E1593" t="str">
        <f>IFERROR(VLOOKUP(Orders!D1593,Products!$A$2:$C$61,3,FALSE),"Unknown")</f>
        <v>Electronics</v>
      </c>
      <c r="F1593" t="str">
        <f>IFERROR(VLOOKUP(Orders!C1593,Customers!$A$2:$E$301,5,FALSE),"Unknown")</f>
        <v>Corporate</v>
      </c>
      <c r="G1593">
        <f>IFERROR(VLOOKUP(Orders!C1593,Customers!$A$2:$C$301,3,FALSE),"")</f>
        <v>36</v>
      </c>
      <c r="H1593" t="str">
        <f>VLOOKUP(D1593,Sales_Reps!$A$2:$C$31,3,FALSE)</f>
        <v>North</v>
      </c>
      <c r="I1593" s="44">
        <f t="shared" si="51"/>
        <v>45323</v>
      </c>
      <c r="L1593" t="str">
        <f>Orders!K1593</f>
        <v>Bengaluru</v>
      </c>
      <c r="M1593">
        <f>Orders!G1593</f>
        <v>3970</v>
      </c>
      <c r="N1593">
        <f>IFERROR(VLOOKUP(Orders!D1593,Products!$A$2:$D$61,4,FALSE),"")</f>
        <v>2865</v>
      </c>
      <c r="O1593">
        <f t="shared" si="52"/>
        <v>0.27833753148614609</v>
      </c>
      <c r="Q1593" t="str">
        <f>Orders!D1593</f>
        <v>PROD-006</v>
      </c>
    </row>
    <row r="1594" spans="1:17" x14ac:dyDescent="0.3">
      <c r="A1594" t="str">
        <f>Orders!A1594</f>
        <v>ORD-01593</v>
      </c>
      <c r="B1594">
        <f>Orders!B1594</f>
        <v>45462</v>
      </c>
      <c r="C1594">
        <f>Orders!I1594</f>
        <v>2495.0100000000002</v>
      </c>
      <c r="D1594" t="str">
        <f>Orders!E1594</f>
        <v>R022</v>
      </c>
      <c r="E1594" t="str">
        <f>IFERROR(VLOOKUP(Orders!D1594,Products!$A$2:$C$61,3,FALSE),"Unknown")</f>
        <v>Home</v>
      </c>
      <c r="F1594" t="str">
        <f>IFERROR(VLOOKUP(Orders!C1594,Customers!$A$2:$E$301,5,FALSE),"Unknown")</f>
        <v>Retail</v>
      </c>
      <c r="G1594">
        <f>IFERROR(VLOOKUP(Orders!C1594,Customers!$A$2:$C$301,3,FALSE),"")</f>
        <v>52</v>
      </c>
      <c r="H1594" t="str">
        <f>VLOOKUP(D1594,Sales_Reps!$A$2:$C$31,3,FALSE)</f>
        <v>East</v>
      </c>
      <c r="I1594" s="44">
        <f t="shared" si="51"/>
        <v>45444</v>
      </c>
      <c r="L1594" t="str">
        <f>Orders!K1594</f>
        <v>Mumbai</v>
      </c>
      <c r="M1594">
        <f>Orders!G1594</f>
        <v>1090</v>
      </c>
      <c r="N1594">
        <f>IFERROR(VLOOKUP(Orders!D1594,Products!$A$2:$D$61,4,FALSE),"")</f>
        <v>464</v>
      </c>
      <c r="O1594">
        <f t="shared" si="52"/>
        <v>0.57431192660550456</v>
      </c>
      <c r="Q1594" t="str">
        <f>Orders!D1594</f>
        <v>PROD-035</v>
      </c>
    </row>
    <row r="1595" spans="1:17" x14ac:dyDescent="0.3">
      <c r="A1595" t="str">
        <f>Orders!A1595</f>
        <v>ORD-01594</v>
      </c>
      <c r="B1595">
        <f>Orders!B1595</f>
        <v>45300</v>
      </c>
      <c r="C1595">
        <f>Orders!I1595</f>
        <v>4945.08</v>
      </c>
      <c r="D1595" t="str">
        <f>Orders!E1595</f>
        <v>R023</v>
      </c>
      <c r="E1595" t="str">
        <f>IFERROR(VLOOKUP(Orders!D1595,Products!$A$2:$C$61,3,FALSE),"Unknown")</f>
        <v>Home</v>
      </c>
      <c r="F1595" t="str">
        <f>IFERROR(VLOOKUP(Orders!C1595,Customers!$A$2:$E$301,5,FALSE),"Unknown")</f>
        <v>SMB</v>
      </c>
      <c r="G1595">
        <f>IFERROR(VLOOKUP(Orders!C1595,Customers!$A$2:$C$301,3,FALSE),"")</f>
        <v>49</v>
      </c>
      <c r="H1595" t="str">
        <f>VLOOKUP(D1595,Sales_Reps!$A$2:$C$31,3,FALSE)</f>
        <v>East</v>
      </c>
      <c r="I1595" s="44">
        <f t="shared" si="51"/>
        <v>45292</v>
      </c>
      <c r="L1595" t="str">
        <f>Orders!K1595</f>
        <v>Pune</v>
      </c>
      <c r="M1595">
        <f>Orders!G1595</f>
        <v>2030</v>
      </c>
      <c r="N1595">
        <f>IFERROR(VLOOKUP(Orders!D1595,Products!$A$2:$D$61,4,FALSE),"")</f>
        <v>1143</v>
      </c>
      <c r="O1595">
        <f t="shared" si="52"/>
        <v>0.43694581280788175</v>
      </c>
      <c r="Q1595" t="str">
        <f>Orders!D1595</f>
        <v>PROD-033</v>
      </c>
    </row>
    <row r="1596" spans="1:17" x14ac:dyDescent="0.3">
      <c r="A1596" t="str">
        <f>Orders!A1596</f>
        <v>ORD-01595</v>
      </c>
      <c r="B1596">
        <f>Orders!B1596</f>
        <v>45367</v>
      </c>
      <c r="C1596">
        <f>Orders!I1596</f>
        <v>6975.98</v>
      </c>
      <c r="D1596" t="str">
        <f>Orders!E1596</f>
        <v>R008</v>
      </c>
      <c r="E1596" t="str">
        <f>IFERROR(VLOOKUP(Orders!D1596,Products!$A$2:$C$61,3,FALSE),"Unknown")</f>
        <v>Grocery</v>
      </c>
      <c r="F1596" t="str">
        <f>IFERROR(VLOOKUP(Orders!C1596,Customers!$A$2:$E$301,5,FALSE),"Unknown")</f>
        <v>Corporate</v>
      </c>
      <c r="G1596">
        <f>IFERROR(VLOOKUP(Orders!C1596,Customers!$A$2:$C$301,3,FALSE),"")</f>
        <v>22</v>
      </c>
      <c r="H1596" t="str">
        <f>VLOOKUP(D1596,Sales_Reps!$A$2:$C$31,3,FALSE)</f>
        <v>North</v>
      </c>
      <c r="I1596" s="44">
        <f t="shared" si="51"/>
        <v>45352</v>
      </c>
      <c r="L1596" t="str">
        <f>Orders!K1596</f>
        <v>CHENNAI</v>
      </c>
      <c r="M1596">
        <f>Orders!G1596</f>
        <v>4070</v>
      </c>
      <c r="N1596">
        <f>IFERROR(VLOOKUP(Orders!D1596,Products!$A$2:$D$61,4,FALSE),"")</f>
        <v>2027</v>
      </c>
      <c r="O1596">
        <f t="shared" si="52"/>
        <v>0.50196560196560192</v>
      </c>
      <c r="Q1596" t="str">
        <f>Orders!D1596</f>
        <v>PROD-026</v>
      </c>
    </row>
    <row r="1597" spans="1:17" x14ac:dyDescent="0.3">
      <c r="A1597" t="str">
        <f>Orders!A1597</f>
        <v>ORD-01596</v>
      </c>
      <c r="B1597">
        <f>Orders!B1597</f>
        <v>45410</v>
      </c>
      <c r="C1597">
        <f>Orders!I1597</f>
        <v>9393.9</v>
      </c>
      <c r="D1597" t="str">
        <f>Orders!E1597</f>
        <v>R028</v>
      </c>
      <c r="E1597" t="str">
        <f>IFERROR(VLOOKUP(Orders!D1597,Products!$A$2:$C$61,3,FALSE),"Unknown")</f>
        <v>Apparel</v>
      </c>
      <c r="F1597" t="str">
        <f>IFERROR(VLOOKUP(Orders!C1597,Customers!$A$2:$E$301,5,FALSE),"Unknown")</f>
        <v>Corporate</v>
      </c>
      <c r="G1597">
        <f>IFERROR(VLOOKUP(Orders!C1597,Customers!$A$2:$C$301,3,FALSE),"")</f>
        <v>49</v>
      </c>
      <c r="H1597" t="str">
        <f>VLOOKUP(D1597,Sales_Reps!$A$2:$C$31,3,FALSE)</f>
        <v>West</v>
      </c>
      <c r="I1597" s="44">
        <f t="shared" si="51"/>
        <v>45383</v>
      </c>
      <c r="L1597" t="str">
        <f>Orders!K1597</f>
        <v>Chennai</v>
      </c>
      <c r="M1597">
        <f>Orders!G1597</f>
        <v>3620</v>
      </c>
      <c r="N1597">
        <f>IFERROR(VLOOKUP(Orders!D1597,Products!$A$2:$D$61,4,FALSE),"")</f>
        <v>2509</v>
      </c>
      <c r="O1597">
        <f t="shared" si="52"/>
        <v>0.3069060773480663</v>
      </c>
      <c r="Q1597" t="str">
        <f>Orders!D1597</f>
        <v>PROD-014</v>
      </c>
    </row>
    <row r="1598" spans="1:17" x14ac:dyDescent="0.3">
      <c r="A1598" t="str">
        <f>Orders!A1598</f>
        <v>ORD-01597</v>
      </c>
      <c r="B1598">
        <f>Orders!B1598</f>
        <v>45623</v>
      </c>
      <c r="C1598">
        <f>Orders!I1598</f>
        <v>3906.68</v>
      </c>
      <c r="D1598" t="str">
        <f>Orders!E1598</f>
        <v>R001</v>
      </c>
      <c r="E1598" t="str">
        <f>IFERROR(VLOOKUP(Orders!D1598,Products!$A$2:$C$61,3,FALSE),"Unknown")</f>
        <v>Sports</v>
      </c>
      <c r="F1598" t="str">
        <f>IFERROR(VLOOKUP(Orders!C1598,Customers!$A$2:$E$301,5,FALSE),"Unknown")</f>
        <v>Retail</v>
      </c>
      <c r="G1598">
        <f>IFERROR(VLOOKUP(Orders!C1598,Customers!$A$2:$C$301,3,FALSE),"")</f>
        <v>31</v>
      </c>
      <c r="H1598" t="str">
        <f>VLOOKUP(D1598,Sales_Reps!$A$2:$C$31,3,FALSE)</f>
        <v>North</v>
      </c>
      <c r="I1598" s="44">
        <f t="shared" si="51"/>
        <v>45597</v>
      </c>
      <c r="L1598" t="str">
        <f>Orders!K1598</f>
        <v>Pune</v>
      </c>
      <c r="M1598">
        <f>Orders!G1598</f>
        <v>1010</v>
      </c>
      <c r="N1598">
        <f>IFERROR(VLOOKUP(Orders!D1598,Products!$A$2:$D$61,4,FALSE),"")</f>
        <v>516</v>
      </c>
      <c r="O1598">
        <f t="shared" si="52"/>
        <v>0.4891089108910891</v>
      </c>
      <c r="Q1598" t="str">
        <f>Orders!D1598</f>
        <v>PROD-054</v>
      </c>
    </row>
    <row r="1599" spans="1:17" x14ac:dyDescent="0.3">
      <c r="A1599" t="str">
        <f>Orders!A1599</f>
        <v>ORD-01598</v>
      </c>
      <c r="B1599">
        <f>Orders!B1599</f>
        <v>45491</v>
      </c>
      <c r="C1599">
        <f>Orders!I1599</f>
        <v>6783.21</v>
      </c>
      <c r="D1599" t="str">
        <f>Orders!E1599</f>
        <v>R005</v>
      </c>
      <c r="E1599" t="str">
        <f>IFERROR(VLOOKUP(Orders!D1599,Products!$A$2:$C$61,3,FALSE),"Unknown")</f>
        <v>Grocery</v>
      </c>
      <c r="F1599" t="str">
        <f>IFERROR(VLOOKUP(Orders!C1599,Customers!$A$2:$E$301,5,FALSE),"Unknown")</f>
        <v>SMB</v>
      </c>
      <c r="G1599">
        <f>IFERROR(VLOOKUP(Orders!C1599,Customers!$A$2:$C$301,3,FALSE),"")</f>
        <v>38</v>
      </c>
      <c r="H1599" t="str">
        <f>VLOOKUP(D1599,Sales_Reps!$A$2:$C$31,3,FALSE)</f>
        <v>North</v>
      </c>
      <c r="I1599" s="44">
        <f t="shared" si="51"/>
        <v>45474</v>
      </c>
      <c r="L1599" t="str">
        <f>Orders!K1599</f>
        <v>Delhi</v>
      </c>
      <c r="M1599">
        <f>Orders!G1599</f>
        <v>970</v>
      </c>
      <c r="N1599">
        <f>IFERROR(VLOOKUP(Orders!D1599,Products!$A$2:$D$61,4,FALSE),"")</f>
        <v>434</v>
      </c>
      <c r="O1599">
        <f t="shared" si="52"/>
        <v>0.5525773195876289</v>
      </c>
      <c r="Q1599" t="str">
        <f>Orders!D1599</f>
        <v>PROD-030</v>
      </c>
    </row>
    <row r="1600" spans="1:17" x14ac:dyDescent="0.3">
      <c r="A1600" t="str">
        <f>Orders!A1600</f>
        <v>ORD-01599</v>
      </c>
      <c r="B1600">
        <f>Orders!B1600</f>
        <v>45571</v>
      </c>
      <c r="C1600">
        <f>Orders!I1600</f>
        <v>1919.95</v>
      </c>
      <c r="D1600" t="str">
        <f>Orders!E1600</f>
        <v>R027</v>
      </c>
      <c r="E1600" t="str">
        <f>IFERROR(VLOOKUP(Orders!D1600,Products!$A$2:$C$61,3,FALSE),"Unknown")</f>
        <v>Sports</v>
      </c>
      <c r="F1600" t="str">
        <f>IFERROR(VLOOKUP(Orders!C1600,Customers!$A$2:$E$301,5,FALSE),"Unknown")</f>
        <v>Retail</v>
      </c>
      <c r="G1600">
        <f>IFERROR(VLOOKUP(Orders!C1600,Customers!$A$2:$C$301,3,FALSE),"")</f>
        <v>47</v>
      </c>
      <c r="H1600" t="str">
        <f>VLOOKUP(D1600,Sales_Reps!$A$2:$C$31,3,FALSE)</f>
        <v>West</v>
      </c>
      <c r="I1600" s="44">
        <f t="shared" si="51"/>
        <v>45566</v>
      </c>
      <c r="L1600" t="str">
        <f>Orders!K1600</f>
        <v>Bengaluru</v>
      </c>
      <c r="M1600">
        <f>Orders!G1600</f>
        <v>470</v>
      </c>
      <c r="N1600">
        <f>IFERROR(VLOOKUP(Orders!D1600,Products!$A$2:$D$61,4,FALSE),"")</f>
        <v>302</v>
      </c>
      <c r="O1600">
        <f t="shared" si="52"/>
        <v>0.35744680851063831</v>
      </c>
      <c r="Q1600" t="str">
        <f>Orders!D1600</f>
        <v>PROD-053</v>
      </c>
    </row>
    <row r="1601" spans="1:17" x14ac:dyDescent="0.3">
      <c r="A1601" t="str">
        <f>Orders!A1601</f>
        <v>ORD-01600</v>
      </c>
      <c r="B1601">
        <f>Orders!B1601</f>
        <v>45393</v>
      </c>
      <c r="C1601">
        <f>Orders!I1601</f>
        <v>26192.400000000001</v>
      </c>
      <c r="D1601" t="str">
        <f>Orders!E1601</f>
        <v>R010</v>
      </c>
      <c r="E1601" t="str">
        <f>IFERROR(VLOOKUP(Orders!D1601,Products!$A$2:$C$61,3,FALSE),"Unknown")</f>
        <v>Apparel</v>
      </c>
      <c r="F1601" t="str">
        <f>IFERROR(VLOOKUP(Orders!C1601,Customers!$A$2:$E$301,5,FALSE),"Unknown")</f>
        <v>Retail</v>
      </c>
      <c r="G1601">
        <f>IFERROR(VLOOKUP(Orders!C1601,Customers!$A$2:$C$301,3,FALSE),"")</f>
        <v>37</v>
      </c>
      <c r="H1601" t="str">
        <f>VLOOKUP(D1601,Sales_Reps!$A$2:$C$31,3,FALSE)</f>
        <v>South</v>
      </c>
      <c r="I1601" s="44">
        <f t="shared" si="51"/>
        <v>45383</v>
      </c>
      <c r="L1601" t="str">
        <f>Orders!K1601</f>
        <v>Mumbai</v>
      </c>
      <c r="M1601">
        <f>Orders!G1601</f>
        <v>3450</v>
      </c>
      <c r="N1601">
        <f>IFERROR(VLOOKUP(Orders!D1601,Products!$A$2:$D$61,4,FALSE),"")</f>
        <v>1748</v>
      </c>
      <c r="O1601">
        <f t="shared" si="52"/>
        <v>0.49333333333333335</v>
      </c>
      <c r="Q1601" t="str">
        <f>Orders!D1601</f>
        <v>PROD-011</v>
      </c>
    </row>
    <row r="1602" spans="1:17" x14ac:dyDescent="0.3">
      <c r="A1602" t="str">
        <f>Orders!A1602</f>
        <v>ORD-01601</v>
      </c>
      <c r="B1602">
        <f>Orders!B1602</f>
        <v>45465</v>
      </c>
      <c r="C1602">
        <f>Orders!I1602</f>
        <v>2484.2399999999998</v>
      </c>
      <c r="D1602" t="str">
        <f>Orders!E1602</f>
        <v>R022</v>
      </c>
      <c r="E1602" t="str">
        <f>IFERROR(VLOOKUP(Orders!D1602,Products!$A$2:$C$61,3,FALSE),"Unknown")</f>
        <v>Electronics</v>
      </c>
      <c r="F1602" t="str">
        <f>IFERROR(VLOOKUP(Orders!C1602,Customers!$A$2:$E$301,5,FALSE),"Unknown")</f>
        <v>Corporate</v>
      </c>
      <c r="G1602">
        <f>IFERROR(VLOOKUP(Orders!C1602,Customers!$A$2:$C$301,3,FALSE),"")</f>
        <v>40</v>
      </c>
      <c r="H1602" t="str">
        <f>VLOOKUP(D1602,Sales_Reps!$A$2:$C$31,3,FALSE)</f>
        <v>East</v>
      </c>
      <c r="I1602" s="44">
        <f t="shared" si="51"/>
        <v>45444</v>
      </c>
      <c r="L1602" t="str">
        <f>Orders!K1602</f>
        <v>Pune</v>
      </c>
      <c r="M1602">
        <f>Orders!G1602</f>
        <v>2640</v>
      </c>
      <c r="N1602">
        <f>IFERROR(VLOOKUP(Orders!D1602,Products!$A$2:$D$61,4,FALSE),"")</f>
        <v>1149</v>
      </c>
      <c r="O1602">
        <f t="shared" si="52"/>
        <v>0.56477272727272732</v>
      </c>
      <c r="Q1602" t="str">
        <f>Orders!D1602</f>
        <v>PROD-010</v>
      </c>
    </row>
    <row r="1603" spans="1:17" x14ac:dyDescent="0.3">
      <c r="A1603" t="str">
        <f>Orders!A1603</f>
        <v>ORD-01602</v>
      </c>
      <c r="B1603">
        <f>Orders!B1603</f>
        <v>45354</v>
      </c>
      <c r="C1603">
        <f>Orders!I1603</f>
        <v>28024.5</v>
      </c>
      <c r="D1603" t="str">
        <f>Orders!E1603</f>
        <v>R020</v>
      </c>
      <c r="E1603" t="str">
        <f>IFERROR(VLOOKUP(Orders!D1603,Products!$A$2:$C$61,3,FALSE),"Unknown")</f>
        <v>Electronics</v>
      </c>
      <c r="F1603" t="str">
        <f>IFERROR(VLOOKUP(Orders!C1603,Customers!$A$2:$E$301,5,FALSE),"Unknown")</f>
        <v>Retail</v>
      </c>
      <c r="G1603">
        <f>IFERROR(VLOOKUP(Orders!C1603,Customers!$A$2:$C$301,3,FALSE),"")</f>
        <v>26</v>
      </c>
      <c r="H1603" t="str">
        <f>VLOOKUP(D1603,Sales_Reps!$A$2:$C$31,3,FALSE)</f>
        <v>East</v>
      </c>
      <c r="I1603" s="44">
        <f t="shared" ref="I1603:I1666" si="53">DATE(YEAR(B1603),MONTH(B1603),1)</f>
        <v>45352</v>
      </c>
      <c r="L1603" t="str">
        <f>Orders!K1603</f>
        <v>Chennai</v>
      </c>
      <c r="M1603">
        <f>Orders!G1603</f>
        <v>3570</v>
      </c>
      <c r="N1603">
        <f>IFERROR(VLOOKUP(Orders!D1603,Products!$A$2:$D$61,4,FALSE),"")</f>
        <v>1665</v>
      </c>
      <c r="O1603">
        <f t="shared" ref="O1603:O1666" si="54">IF(OR(N1603="",M1603&lt;=0),"",(M1603-N1603)/M1603)</f>
        <v>0.53361344537815125</v>
      </c>
      <c r="Q1603" t="str">
        <f>Orders!D1603</f>
        <v>PROD-003</v>
      </c>
    </row>
    <row r="1604" spans="1:17" x14ac:dyDescent="0.3">
      <c r="A1604" t="str">
        <f>Orders!A1604</f>
        <v>ORD-01603</v>
      </c>
      <c r="B1604">
        <f>Orders!B1604</f>
        <v>45581</v>
      </c>
      <c r="C1604">
        <f>Orders!I1604</f>
        <v>12669.8</v>
      </c>
      <c r="D1604" t="str">
        <f>Orders!E1604</f>
        <v>R016</v>
      </c>
      <c r="E1604" t="str">
        <f>IFERROR(VLOOKUP(Orders!D1604,Products!$A$2:$C$61,3,FALSE),"Unknown")</f>
        <v>Electronics</v>
      </c>
      <c r="F1604" t="str">
        <f>IFERROR(VLOOKUP(Orders!C1604,Customers!$A$2:$E$301,5,FALSE),"Unknown")</f>
        <v>Retail</v>
      </c>
      <c r="G1604">
        <f>IFERROR(VLOOKUP(Orders!C1604,Customers!$A$2:$C$301,3,FALSE),"")</f>
        <v>22</v>
      </c>
      <c r="H1604" t="str">
        <f>VLOOKUP(D1604,Sales_Reps!$A$2:$C$31,3,FALSE)</f>
        <v>South</v>
      </c>
      <c r="I1604" s="44">
        <f t="shared" si="53"/>
        <v>45566</v>
      </c>
      <c r="L1604" t="str">
        <f>Orders!K1604</f>
        <v>Hyderabad</v>
      </c>
      <c r="M1604">
        <f>Orders!G1604</f>
        <v>1430</v>
      </c>
      <c r="N1604">
        <f>IFERROR(VLOOKUP(Orders!D1604,Products!$A$2:$D$61,4,FALSE),"")</f>
        <v>861</v>
      </c>
      <c r="O1604">
        <f t="shared" si="54"/>
        <v>0.39790209790209791</v>
      </c>
      <c r="Q1604" t="str">
        <f>Orders!D1604</f>
        <v>PROD-007</v>
      </c>
    </row>
    <row r="1605" spans="1:17" x14ac:dyDescent="0.3">
      <c r="A1605" t="str">
        <f>Orders!A1605</f>
        <v>ORD-01604</v>
      </c>
      <c r="B1605">
        <f>Orders!B1605</f>
        <v>45643</v>
      </c>
      <c r="C1605">
        <f>Orders!I1605</f>
        <v>5181.12</v>
      </c>
      <c r="D1605" t="str">
        <f>Orders!E1605</f>
        <v>R013</v>
      </c>
      <c r="E1605" t="str">
        <f>IFERROR(VLOOKUP(Orders!D1605,Products!$A$2:$C$61,3,FALSE),"Unknown")</f>
        <v>Sports</v>
      </c>
      <c r="F1605" t="str">
        <f>IFERROR(VLOOKUP(Orders!C1605,Customers!$A$2:$E$301,5,FALSE),"Unknown")</f>
        <v>Retail</v>
      </c>
      <c r="G1605">
        <f>IFERROR(VLOOKUP(Orders!C1605,Customers!$A$2:$C$301,3,FALSE),"")</f>
        <v>32</v>
      </c>
      <c r="H1605" t="str">
        <f>VLOOKUP(D1605,Sales_Reps!$A$2:$C$31,3,FALSE)</f>
        <v>South</v>
      </c>
      <c r="I1605" s="44">
        <f t="shared" si="53"/>
        <v>45627</v>
      </c>
      <c r="L1605" t="str">
        <f>Orders!K1605</f>
        <v>Chennai</v>
      </c>
      <c r="M1605">
        <f>Orders!G1605</f>
        <v>960</v>
      </c>
      <c r="N1605">
        <f>IFERROR(VLOOKUP(Orders!D1605,Products!$A$2:$D$61,4,FALSE),"")</f>
        <v>705</v>
      </c>
      <c r="O1605">
        <f t="shared" si="54"/>
        <v>0.265625</v>
      </c>
      <c r="Q1605" t="str">
        <f>Orders!D1605</f>
        <v>PROD-057</v>
      </c>
    </row>
    <row r="1606" spans="1:17" x14ac:dyDescent="0.3">
      <c r="A1606" t="str">
        <f>Orders!A1606</f>
        <v>ORD-01605</v>
      </c>
      <c r="B1606">
        <f>Orders!B1606</f>
        <v>45606</v>
      </c>
      <c r="C1606">
        <f>Orders!I1606</f>
        <v>25506</v>
      </c>
      <c r="D1606" t="str">
        <f>Orders!E1606</f>
        <v>R010</v>
      </c>
      <c r="E1606" t="str">
        <f>IFERROR(VLOOKUP(Orders!D1606,Products!$A$2:$C$61,3,FALSE),"Unknown")</f>
        <v>Home</v>
      </c>
      <c r="F1606" t="str">
        <f>IFERROR(VLOOKUP(Orders!C1606,Customers!$A$2:$E$301,5,FALSE),"Unknown")</f>
        <v>Retail</v>
      </c>
      <c r="G1606">
        <f>IFERROR(VLOOKUP(Orders!C1606,Customers!$A$2:$C$301,3,FALSE),"")</f>
        <v>27</v>
      </c>
      <c r="H1606" t="str">
        <f>VLOOKUP(D1606,Sales_Reps!$A$2:$C$31,3,FALSE)</f>
        <v>South</v>
      </c>
      <c r="I1606" s="44">
        <f t="shared" si="53"/>
        <v>45597</v>
      </c>
      <c r="L1606" t="str">
        <f>Orders!K1606</f>
        <v>Bengaluru</v>
      </c>
      <c r="M1606">
        <f>Orders!G1606</f>
        <v>3250</v>
      </c>
      <c r="N1606">
        <f>IFERROR(VLOOKUP(Orders!D1606,Products!$A$2:$D$61,4,FALSE),"")</f>
        <v>1556</v>
      </c>
      <c r="O1606">
        <f t="shared" si="54"/>
        <v>0.52123076923076928</v>
      </c>
      <c r="Q1606" t="str">
        <f>Orders!D1606</f>
        <v>PROD-036</v>
      </c>
    </row>
    <row r="1607" spans="1:17" x14ac:dyDescent="0.3">
      <c r="A1607" t="str">
        <f>Orders!A1607</f>
        <v>ORD-01606</v>
      </c>
      <c r="B1607">
        <f>Orders!B1607</f>
        <v>45356</v>
      </c>
      <c r="C1607">
        <f>Orders!I1607</f>
        <v>25461</v>
      </c>
      <c r="D1607" t="str">
        <f>Orders!E1607</f>
        <v>R018</v>
      </c>
      <c r="E1607" t="str">
        <f>IFERROR(VLOOKUP(Orders!D1607,Products!$A$2:$C$61,3,FALSE),"Unknown")</f>
        <v>Sports</v>
      </c>
      <c r="F1607" t="str">
        <f>IFERROR(VLOOKUP(Orders!C1607,Customers!$A$2:$E$301,5,FALSE),"Unknown")</f>
        <v>Corporate</v>
      </c>
      <c r="G1607">
        <f>IFERROR(VLOOKUP(Orders!C1607,Customers!$A$2:$C$301,3,FALSE),"")</f>
        <v>22</v>
      </c>
      <c r="H1607" t="str">
        <f>VLOOKUP(D1607,Sales_Reps!$A$2:$C$31,3,FALSE)</f>
        <v>East</v>
      </c>
      <c r="I1607" s="44">
        <f t="shared" si="53"/>
        <v>45352</v>
      </c>
      <c r="L1607" t="str">
        <f>Orders!K1607</f>
        <v>Hyderabad</v>
      </c>
      <c r="M1607">
        <f>Orders!G1607</f>
        <v>3450</v>
      </c>
      <c r="N1607">
        <f>IFERROR(VLOOKUP(Orders!D1607,Products!$A$2:$D$61,4,FALSE),"")</f>
        <v>2467</v>
      </c>
      <c r="O1607">
        <f t="shared" si="54"/>
        <v>0.28492753623188405</v>
      </c>
      <c r="Q1607" t="str">
        <f>Orders!D1607</f>
        <v>PROD-051</v>
      </c>
    </row>
    <row r="1608" spans="1:17" x14ac:dyDescent="0.3">
      <c r="A1608" t="str">
        <f>Orders!A1608</f>
        <v>ORD-01607</v>
      </c>
      <c r="B1608">
        <f>Orders!B1608</f>
        <v>45343</v>
      </c>
      <c r="C1608">
        <f>Orders!I1608</f>
        <v>10044.75</v>
      </c>
      <c r="D1608" t="str">
        <f>Orders!E1608</f>
        <v>R016</v>
      </c>
      <c r="E1608" t="str">
        <f>IFERROR(VLOOKUP(Orders!D1608,Products!$A$2:$C$61,3,FALSE),"Unknown")</f>
        <v>Grocery</v>
      </c>
      <c r="F1608" t="str">
        <f>IFERROR(VLOOKUP(Orders!C1608,Customers!$A$2:$E$301,5,FALSE),"Unknown")</f>
        <v>SMB</v>
      </c>
      <c r="G1608">
        <f>IFERROR(VLOOKUP(Orders!C1608,Customers!$A$2:$C$301,3,FALSE),"")</f>
        <v>40</v>
      </c>
      <c r="H1608" t="str">
        <f>VLOOKUP(D1608,Sales_Reps!$A$2:$C$31,3,FALSE)</f>
        <v>South</v>
      </c>
      <c r="I1608" s="44">
        <f t="shared" si="53"/>
        <v>45323</v>
      </c>
      <c r="L1608" t="str">
        <f>Orders!K1608</f>
        <v>Hyderabad</v>
      </c>
      <c r="M1608">
        <f>Orders!G1608</f>
        <v>2270</v>
      </c>
      <c r="N1608">
        <f>IFERROR(VLOOKUP(Orders!D1608,Products!$A$2:$D$61,4,FALSE),"")</f>
        <v>1203</v>
      </c>
      <c r="O1608">
        <f t="shared" si="54"/>
        <v>0.47004405286343615</v>
      </c>
      <c r="Q1608" t="str">
        <f>Orders!D1608</f>
        <v>PROD-024</v>
      </c>
    </row>
    <row r="1609" spans="1:17" x14ac:dyDescent="0.3">
      <c r="A1609" t="str">
        <f>Orders!A1609</f>
        <v>ORD-01608</v>
      </c>
      <c r="B1609">
        <f>Orders!B1609</f>
        <v>45449</v>
      </c>
      <c r="C1609">
        <f>Orders!I1609</f>
        <v>15836.88</v>
      </c>
      <c r="D1609" t="str">
        <f>Orders!E1609</f>
        <v>R019</v>
      </c>
      <c r="E1609" t="str">
        <f>IFERROR(VLOOKUP(Orders!D1609,Products!$A$2:$C$61,3,FALSE),"Unknown")</f>
        <v>Beauty</v>
      </c>
      <c r="F1609" t="str">
        <f>IFERROR(VLOOKUP(Orders!C1609,Customers!$A$2:$E$301,5,FALSE),"Unknown")</f>
        <v>Retail</v>
      </c>
      <c r="G1609">
        <f>IFERROR(VLOOKUP(Orders!C1609,Customers!$A$2:$C$301,3,FALSE),"")</f>
        <v>46</v>
      </c>
      <c r="H1609" t="str">
        <f>VLOOKUP(D1609,Sales_Reps!$A$2:$C$31,3,FALSE)</f>
        <v>East</v>
      </c>
      <c r="I1609" s="44">
        <f t="shared" si="53"/>
        <v>45444</v>
      </c>
      <c r="L1609" t="str">
        <f>Orders!K1609</f>
        <v>Bengaluru</v>
      </c>
      <c r="M1609">
        <f>Orders!G1609</f>
        <v>3020</v>
      </c>
      <c r="N1609">
        <f>IFERROR(VLOOKUP(Orders!D1609,Products!$A$2:$D$61,4,FALSE),"")</f>
        <v>1626</v>
      </c>
      <c r="O1609">
        <f t="shared" si="54"/>
        <v>0.46158940397350995</v>
      </c>
      <c r="Q1609" t="str">
        <f>Orders!D1609</f>
        <v>PROD-045</v>
      </c>
    </row>
    <row r="1610" spans="1:17" x14ac:dyDescent="0.3">
      <c r="A1610" t="str">
        <f>Orders!A1610</f>
        <v>ORD-01609</v>
      </c>
      <c r="B1610">
        <f>Orders!B1610</f>
        <v>45317</v>
      </c>
      <c r="C1610">
        <f>Orders!I1610</f>
        <v>18057.599999999999</v>
      </c>
      <c r="D1610" t="str">
        <f>Orders!E1610</f>
        <v>R008</v>
      </c>
      <c r="E1610" t="str">
        <f>IFERROR(VLOOKUP(Orders!D1610,Products!$A$2:$C$61,3,FALSE),"Unknown")</f>
        <v>Electronics</v>
      </c>
      <c r="F1610" t="str">
        <f>IFERROR(VLOOKUP(Orders!C1610,Customers!$A$2:$E$301,5,FALSE),"Unknown")</f>
        <v>Retail</v>
      </c>
      <c r="G1610">
        <f>IFERROR(VLOOKUP(Orders!C1610,Customers!$A$2:$C$301,3,FALSE),"")</f>
        <v>55</v>
      </c>
      <c r="H1610" t="str">
        <f>VLOOKUP(D1610,Sales_Reps!$A$2:$C$31,3,FALSE)</f>
        <v>North</v>
      </c>
      <c r="I1610" s="44">
        <f t="shared" si="53"/>
        <v>45292</v>
      </c>
      <c r="L1610" t="str">
        <f>Orders!K1610</f>
        <v>Bengaluru</v>
      </c>
      <c r="M1610">
        <f>Orders!G1610</f>
        <v>2640</v>
      </c>
      <c r="N1610">
        <f>IFERROR(VLOOKUP(Orders!D1610,Products!$A$2:$D$61,4,FALSE),"")</f>
        <v>1149</v>
      </c>
      <c r="O1610">
        <f t="shared" si="54"/>
        <v>0.56477272727272732</v>
      </c>
      <c r="Q1610" t="str">
        <f>Orders!D1610</f>
        <v>PROD-010</v>
      </c>
    </row>
    <row r="1611" spans="1:17" x14ac:dyDescent="0.3">
      <c r="A1611" t="str">
        <f>Orders!A1611</f>
        <v>ORD-01610</v>
      </c>
      <c r="B1611">
        <f>Orders!B1611</f>
        <v>45561</v>
      </c>
      <c r="C1611">
        <f>Orders!I1611</f>
        <v>3314.2</v>
      </c>
      <c r="D1611" t="str">
        <f>Orders!E1611</f>
        <v>R027</v>
      </c>
      <c r="E1611" t="str">
        <f>IFERROR(VLOOKUP(Orders!D1611,Products!$A$2:$C$61,3,FALSE),"Unknown")</f>
        <v>Grocery</v>
      </c>
      <c r="F1611" t="str">
        <f>IFERROR(VLOOKUP(Orders!C1611,Customers!$A$2:$E$301,5,FALSE),"Unknown")</f>
        <v>Retail</v>
      </c>
      <c r="G1611">
        <f>IFERROR(VLOOKUP(Orders!C1611,Customers!$A$2:$C$301,3,FALSE),"")</f>
        <v>42</v>
      </c>
      <c r="H1611" t="str">
        <f>VLOOKUP(D1611,Sales_Reps!$A$2:$C$31,3,FALSE)</f>
        <v>West</v>
      </c>
      <c r="I1611" s="44">
        <f t="shared" si="53"/>
        <v>45536</v>
      </c>
      <c r="L1611" t="str">
        <f>Orders!K1611</f>
        <v>Bengaluru</v>
      </c>
      <c r="M1611">
        <f>Orders!G1611</f>
        <v>2270</v>
      </c>
      <c r="N1611">
        <f>IFERROR(VLOOKUP(Orders!D1611,Products!$A$2:$D$61,4,FALSE),"")</f>
        <v>1203</v>
      </c>
      <c r="O1611">
        <f t="shared" si="54"/>
        <v>0.47004405286343615</v>
      </c>
      <c r="Q1611" t="str">
        <f>Orders!D1611</f>
        <v>PROD-024</v>
      </c>
    </row>
    <row r="1612" spans="1:17" x14ac:dyDescent="0.3">
      <c r="A1612" t="str">
        <f>Orders!A1612</f>
        <v>ORD-01611</v>
      </c>
      <c r="B1612">
        <f>Orders!B1612</f>
        <v>45636</v>
      </c>
      <c r="C1612">
        <f>Orders!I1612</f>
        <v>18105.599999999999</v>
      </c>
      <c r="D1612" t="str">
        <f>Orders!E1612</f>
        <v>R027</v>
      </c>
      <c r="E1612" t="str">
        <f>IFERROR(VLOOKUP(Orders!D1612,Products!$A$2:$C$61,3,FALSE),"Unknown")</f>
        <v>Grocery</v>
      </c>
      <c r="F1612" t="str">
        <f>IFERROR(VLOOKUP(Orders!C1612,Customers!$A$2:$E$301,5,FALSE),"Unknown")</f>
        <v>Retail</v>
      </c>
      <c r="G1612">
        <f>IFERROR(VLOOKUP(Orders!C1612,Customers!$A$2:$C$301,3,FALSE),"")</f>
        <v>36</v>
      </c>
      <c r="H1612" t="str">
        <f>VLOOKUP(D1612,Sales_Reps!$A$2:$C$31,3,FALSE)</f>
        <v>West</v>
      </c>
      <c r="I1612" s="44">
        <f t="shared" si="53"/>
        <v>45627</v>
      </c>
      <c r="L1612" t="str">
        <f>Orders!K1612</f>
        <v>Chennai</v>
      </c>
      <c r="M1612">
        <f>Orders!G1612</f>
        <v>2760</v>
      </c>
      <c r="N1612">
        <f>IFERROR(VLOOKUP(Orders!D1612,Products!$A$2:$D$61,4,FALSE),"")</f>
        <v>1435</v>
      </c>
      <c r="O1612">
        <f t="shared" si="54"/>
        <v>0.48007246376811596</v>
      </c>
      <c r="Q1612" t="str">
        <f>Orders!D1612</f>
        <v>PROD-021</v>
      </c>
    </row>
    <row r="1613" spans="1:17" x14ac:dyDescent="0.3">
      <c r="A1613" t="str">
        <f>Orders!A1613</f>
        <v>ORD-01612</v>
      </c>
      <c r="B1613">
        <f>Orders!B1613</f>
        <v>45398</v>
      </c>
      <c r="C1613">
        <f>Orders!I1613</f>
        <v>26903.84</v>
      </c>
      <c r="D1613" t="str">
        <f>Orders!E1613</f>
        <v>R023</v>
      </c>
      <c r="E1613" t="str">
        <f>IFERROR(VLOOKUP(Orders!D1613,Products!$A$2:$C$61,3,FALSE),"Unknown")</f>
        <v>Apparel</v>
      </c>
      <c r="F1613" t="str">
        <f>IFERROR(VLOOKUP(Orders!C1613,Customers!$A$2:$E$301,5,FALSE),"Unknown")</f>
        <v>Retail</v>
      </c>
      <c r="G1613">
        <f>IFERROR(VLOOKUP(Orders!C1613,Customers!$A$2:$C$301,3,FALSE),"")</f>
        <v>31</v>
      </c>
      <c r="H1613" t="str">
        <f>VLOOKUP(D1613,Sales_Reps!$A$2:$C$31,3,FALSE)</f>
        <v>East</v>
      </c>
      <c r="I1613" s="44">
        <f t="shared" si="53"/>
        <v>45383</v>
      </c>
      <c r="L1613" t="str">
        <f>Orders!K1613</f>
        <v>Hyderabad</v>
      </c>
      <c r="M1613">
        <f>Orders!G1613</f>
        <v>3620</v>
      </c>
      <c r="N1613">
        <f>IFERROR(VLOOKUP(Orders!D1613,Products!$A$2:$D$61,4,FALSE),"")</f>
        <v>2509</v>
      </c>
      <c r="O1613">
        <f t="shared" si="54"/>
        <v>0.3069060773480663</v>
      </c>
      <c r="Q1613" t="str">
        <f>Orders!D1613</f>
        <v>PROD-014</v>
      </c>
    </row>
    <row r="1614" spans="1:17" x14ac:dyDescent="0.3">
      <c r="A1614" t="str">
        <f>Orders!A1614</f>
        <v>ORD-01613</v>
      </c>
      <c r="B1614">
        <f>Orders!B1614</f>
        <v>45477</v>
      </c>
      <c r="C1614">
        <f>Orders!I1614</f>
        <v>15315.52</v>
      </c>
      <c r="D1614" t="str">
        <f>Orders!E1614</f>
        <v>R021</v>
      </c>
      <c r="E1614" t="str">
        <f>IFERROR(VLOOKUP(Orders!D1614,Products!$A$2:$C$61,3,FALSE),"Unknown")</f>
        <v>Beauty</v>
      </c>
      <c r="F1614" t="str">
        <f>IFERROR(VLOOKUP(Orders!C1614,Customers!$A$2:$E$301,5,FALSE),"Unknown")</f>
        <v>Retail</v>
      </c>
      <c r="G1614">
        <f>IFERROR(VLOOKUP(Orders!C1614,Customers!$A$2:$C$301,3,FALSE),"")</f>
        <v>54</v>
      </c>
      <c r="H1614" t="str">
        <f>VLOOKUP(D1614,Sales_Reps!$A$2:$C$31,3,FALSE)</f>
        <v>East</v>
      </c>
      <c r="I1614" s="44">
        <f t="shared" si="53"/>
        <v>45474</v>
      </c>
      <c r="L1614" t="str">
        <f>Orders!K1614</f>
        <v>Pune</v>
      </c>
      <c r="M1614">
        <f>Orders!G1614</f>
        <v>2290</v>
      </c>
      <c r="N1614">
        <f>IFERROR(VLOOKUP(Orders!D1614,Products!$A$2:$D$61,4,FALSE),"")</f>
        <v>1219</v>
      </c>
      <c r="O1614">
        <f t="shared" si="54"/>
        <v>0.46768558951965067</v>
      </c>
      <c r="Q1614" t="str">
        <f>Orders!D1614</f>
        <v>PROD-042</v>
      </c>
    </row>
    <row r="1615" spans="1:17" x14ac:dyDescent="0.3">
      <c r="A1615" t="str">
        <f>Orders!A1615</f>
        <v>ORD-01614</v>
      </c>
      <c r="B1615">
        <f>Orders!B1615</f>
        <v>45462</v>
      </c>
      <c r="C1615">
        <f>Orders!I1615</f>
        <v>4860.8999999999996</v>
      </c>
      <c r="D1615" t="str">
        <f>Orders!E1615</f>
        <v>R019</v>
      </c>
      <c r="E1615" t="str">
        <f>IFERROR(VLOOKUP(Orders!D1615,Products!$A$2:$C$61,3,FALSE),"Unknown")</f>
        <v>Beauty</v>
      </c>
      <c r="F1615" t="str">
        <f>IFERROR(VLOOKUP(Orders!C1615,Customers!$A$2:$E$301,5,FALSE),"Unknown")</f>
        <v>Corporate</v>
      </c>
      <c r="G1615">
        <f>IFERROR(VLOOKUP(Orders!C1615,Customers!$A$2:$C$301,3,FALSE),"")</f>
        <v>41</v>
      </c>
      <c r="H1615" t="str">
        <f>VLOOKUP(D1615,Sales_Reps!$A$2:$C$31,3,FALSE)</f>
        <v>East</v>
      </c>
      <c r="I1615" s="44">
        <f t="shared" si="53"/>
        <v>45444</v>
      </c>
      <c r="L1615" t="str">
        <f>Orders!K1615</f>
        <v>Bengaluru</v>
      </c>
      <c r="M1615">
        <f>Orders!G1615</f>
        <v>1650</v>
      </c>
      <c r="N1615">
        <f>IFERROR(VLOOKUP(Orders!D1615,Products!$A$2:$D$61,4,FALSE),"")</f>
        <v>1222</v>
      </c>
      <c r="O1615">
        <f t="shared" si="54"/>
        <v>0.2593939393939394</v>
      </c>
      <c r="Q1615" t="str">
        <f>Orders!D1615</f>
        <v>PROD-044</v>
      </c>
    </row>
    <row r="1616" spans="1:17" x14ac:dyDescent="0.3">
      <c r="A1616" t="str">
        <f>Orders!A1616</f>
        <v>ORD-01615</v>
      </c>
      <c r="B1616">
        <f>Orders!B1616</f>
        <v>45642</v>
      </c>
      <c r="C1616">
        <f>Orders!I1616</f>
        <v>12440.22</v>
      </c>
      <c r="D1616" t="str">
        <f>Orders!E1616</f>
        <v>R018</v>
      </c>
      <c r="E1616" t="str">
        <f>IFERROR(VLOOKUP(Orders!D1616,Products!$A$2:$C$61,3,FALSE),"Unknown")</f>
        <v>Electronics</v>
      </c>
      <c r="F1616" t="str">
        <f>IFERROR(VLOOKUP(Orders!C1616,Customers!$A$2:$E$301,5,FALSE),"Unknown")</f>
        <v>Corporate</v>
      </c>
      <c r="G1616">
        <f>IFERROR(VLOOKUP(Orders!C1616,Customers!$A$2:$C$301,3,FALSE),"")</f>
        <v>35</v>
      </c>
      <c r="H1616" t="str">
        <f>VLOOKUP(D1616,Sales_Reps!$A$2:$C$31,3,FALSE)</f>
        <v>East</v>
      </c>
      <c r="I1616" s="44">
        <f t="shared" si="53"/>
        <v>45627</v>
      </c>
      <c r="L1616" t="str">
        <f>Orders!K1616</f>
        <v>Mumbai</v>
      </c>
      <c r="M1616">
        <f>Orders!G1616</f>
        <v>5330</v>
      </c>
      <c r="N1616">
        <f>IFERROR(VLOOKUP(Orders!D1616,Products!$A$2:$D$61,4,FALSE),"")</f>
        <v>2405</v>
      </c>
      <c r="O1616">
        <f t="shared" si="54"/>
        <v>0.54878048780487809</v>
      </c>
      <c r="Q1616" t="str">
        <f>Orders!D1616</f>
        <v>PROD-001</v>
      </c>
    </row>
    <row r="1617" spans="1:17" x14ac:dyDescent="0.3">
      <c r="A1617" t="str">
        <f>Orders!A1617</f>
        <v>ORD-01616</v>
      </c>
      <c r="B1617">
        <f>Orders!B1617</f>
        <v>45534</v>
      </c>
      <c r="C1617">
        <f>Orders!I1617</f>
        <v>6206.76</v>
      </c>
      <c r="D1617" t="str">
        <f>Orders!E1617</f>
        <v>R022</v>
      </c>
      <c r="E1617" t="str">
        <f>IFERROR(VLOOKUP(Orders!D1617,Products!$A$2:$C$61,3,FALSE),"Unknown")</f>
        <v>Home</v>
      </c>
      <c r="F1617" t="str">
        <f>IFERROR(VLOOKUP(Orders!C1617,Customers!$A$2:$E$301,5,FALSE),"Unknown")</f>
        <v>Retail</v>
      </c>
      <c r="G1617">
        <f>IFERROR(VLOOKUP(Orders!C1617,Customers!$A$2:$C$301,3,FALSE),"")</f>
        <v>35</v>
      </c>
      <c r="H1617" t="str">
        <f>VLOOKUP(D1617,Sales_Reps!$A$2:$C$31,3,FALSE)</f>
        <v>East</v>
      </c>
      <c r="I1617" s="44">
        <f t="shared" si="53"/>
        <v>45505</v>
      </c>
      <c r="L1617" t="str">
        <f>Orders!K1617</f>
        <v>Mumbai</v>
      </c>
      <c r="M1617">
        <f>Orders!G1617</f>
        <v>1080</v>
      </c>
      <c r="N1617">
        <f>IFERROR(VLOOKUP(Orders!D1617,Products!$A$2:$D$61,4,FALSE),"")</f>
        <v>519</v>
      </c>
      <c r="O1617">
        <f t="shared" si="54"/>
        <v>0.51944444444444449</v>
      </c>
      <c r="Q1617" t="str">
        <f>Orders!D1617</f>
        <v>PROD-040</v>
      </c>
    </row>
    <row r="1618" spans="1:17" x14ac:dyDescent="0.3">
      <c r="A1618" t="str">
        <f>Orders!A1618</f>
        <v>ORD-01617</v>
      </c>
      <c r="B1618">
        <f>Orders!B1618</f>
        <v>45460</v>
      </c>
      <c r="C1618">
        <f>Orders!I1618</f>
        <v>11504.6</v>
      </c>
      <c r="D1618" t="str">
        <f>Orders!E1618</f>
        <v>R022</v>
      </c>
      <c r="E1618" t="str">
        <f>IFERROR(VLOOKUP(Orders!D1618,Products!$A$2:$C$61,3,FALSE),"Unknown")</f>
        <v>Electronics</v>
      </c>
      <c r="F1618" t="str">
        <f>IFERROR(VLOOKUP(Orders!C1618,Customers!$A$2:$E$301,5,FALSE),"Unknown")</f>
        <v>Corporate</v>
      </c>
      <c r="G1618">
        <f>IFERROR(VLOOKUP(Orders!C1618,Customers!$A$2:$C$301,3,FALSE),"")</f>
        <v>46</v>
      </c>
      <c r="H1618" t="str">
        <f>VLOOKUP(D1618,Sales_Reps!$A$2:$C$31,3,FALSE)</f>
        <v>East</v>
      </c>
      <c r="I1618" s="44">
        <f t="shared" si="53"/>
        <v>45444</v>
      </c>
      <c r="L1618" t="str">
        <f>Orders!K1618</f>
        <v>Delhi</v>
      </c>
      <c r="M1618">
        <f>Orders!G1618</f>
        <v>1220</v>
      </c>
      <c r="N1618">
        <f>IFERROR(VLOOKUP(Orders!D1618,Products!$A$2:$D$61,4,FALSE),"")</f>
        <v>517</v>
      </c>
      <c r="O1618">
        <f t="shared" si="54"/>
        <v>0.57622950819672136</v>
      </c>
      <c r="Q1618" t="str">
        <f>Orders!D1618</f>
        <v>PROD-009</v>
      </c>
    </row>
    <row r="1619" spans="1:17" x14ac:dyDescent="0.3">
      <c r="A1619" t="str">
        <f>Orders!A1619</f>
        <v>ORD-01618</v>
      </c>
      <c r="B1619">
        <f>Orders!B1619</f>
        <v>45648</v>
      </c>
      <c r="C1619">
        <f>Orders!I1619</f>
        <v>6105</v>
      </c>
      <c r="D1619" t="str">
        <f>Orders!E1619</f>
        <v>R030</v>
      </c>
      <c r="E1619" t="str">
        <f>IFERROR(VLOOKUP(Orders!D1619,Products!$A$2:$C$61,3,FALSE),"Unknown")</f>
        <v>Home</v>
      </c>
      <c r="F1619" t="str">
        <f>IFERROR(VLOOKUP(Orders!C1619,Customers!$A$2:$E$301,5,FALSE),"Unknown")</f>
        <v>Corporate</v>
      </c>
      <c r="G1619">
        <f>IFERROR(VLOOKUP(Orders!C1619,Customers!$A$2:$C$301,3,FALSE),"")</f>
        <v>46</v>
      </c>
      <c r="H1619" t="str">
        <f>VLOOKUP(D1619,Sales_Reps!$A$2:$C$31,3,FALSE)</f>
        <v>West</v>
      </c>
      <c r="I1619" s="44">
        <f t="shared" si="53"/>
        <v>45627</v>
      </c>
      <c r="L1619" t="str">
        <f>Orders!K1619</f>
        <v>Hyderabad</v>
      </c>
      <c r="M1619">
        <f>Orders!G1619</f>
        <v>660</v>
      </c>
      <c r="N1619">
        <f>IFERROR(VLOOKUP(Orders!D1619,Products!$A$2:$D$61,4,FALSE),"")</f>
        <v>329</v>
      </c>
      <c r="O1619">
        <f t="shared" si="54"/>
        <v>0.50151515151515147</v>
      </c>
      <c r="Q1619" t="str">
        <f>Orders!D1619</f>
        <v>PROD-037</v>
      </c>
    </row>
    <row r="1620" spans="1:17" x14ac:dyDescent="0.3">
      <c r="A1620" t="str">
        <f>Orders!A1620</f>
        <v>ORD-01619</v>
      </c>
      <c r="B1620">
        <f>Orders!B1620</f>
        <v>45557</v>
      </c>
      <c r="C1620">
        <f>Orders!I1620</f>
        <v>4607.28</v>
      </c>
      <c r="D1620" t="str">
        <f>Orders!E1620</f>
        <v>R020</v>
      </c>
      <c r="E1620" t="str">
        <f>IFERROR(VLOOKUP(Orders!D1620,Products!$A$2:$C$61,3,FALSE),"Unknown")</f>
        <v>Home</v>
      </c>
      <c r="F1620" t="str">
        <f>IFERROR(VLOOKUP(Orders!C1620,Customers!$A$2:$E$301,5,FALSE),"Unknown")</f>
        <v>Retail</v>
      </c>
      <c r="G1620">
        <f>IFERROR(VLOOKUP(Orders!C1620,Customers!$A$2:$C$301,3,FALSE),"")</f>
        <v>65</v>
      </c>
      <c r="H1620" t="str">
        <f>VLOOKUP(D1620,Sales_Reps!$A$2:$C$31,3,FALSE)</f>
        <v>East</v>
      </c>
      <c r="I1620" s="44">
        <f t="shared" si="53"/>
        <v>45536</v>
      </c>
      <c r="L1620" t="str">
        <f>Orders!K1620</f>
        <v>Pune</v>
      </c>
      <c r="M1620">
        <f>Orders!G1620</f>
        <v>1080</v>
      </c>
      <c r="N1620">
        <f>IFERROR(VLOOKUP(Orders!D1620,Products!$A$2:$D$61,4,FALSE),"")</f>
        <v>519</v>
      </c>
      <c r="O1620">
        <f t="shared" si="54"/>
        <v>0.51944444444444449</v>
      </c>
      <c r="Q1620" t="str">
        <f>Orders!D1620</f>
        <v>PROD-040</v>
      </c>
    </row>
    <row r="1621" spans="1:17" x14ac:dyDescent="0.3">
      <c r="A1621" t="str">
        <f>Orders!A1621</f>
        <v>ORD-01620</v>
      </c>
      <c r="B1621">
        <f>Orders!B1621</f>
        <v>45584</v>
      </c>
      <c r="C1621">
        <f>Orders!I1621</f>
        <v>15667.54</v>
      </c>
      <c r="D1621" t="str">
        <f>Orders!E1621</f>
        <v>R020</v>
      </c>
      <c r="E1621" t="str">
        <f>IFERROR(VLOOKUP(Orders!D1621,Products!$A$2:$C$61,3,FALSE),"Unknown")</f>
        <v>Grocery</v>
      </c>
      <c r="F1621" t="str">
        <f>IFERROR(VLOOKUP(Orders!C1621,Customers!$A$2:$E$301,5,FALSE),"Unknown")</f>
        <v>Corporate</v>
      </c>
      <c r="G1621">
        <f>IFERROR(VLOOKUP(Orders!C1621,Customers!$A$2:$C$301,3,FALSE),"")</f>
        <v>30</v>
      </c>
      <c r="H1621" t="str">
        <f>VLOOKUP(D1621,Sales_Reps!$A$2:$C$31,3,FALSE)</f>
        <v>East</v>
      </c>
      <c r="I1621" s="44">
        <f t="shared" si="53"/>
        <v>45566</v>
      </c>
      <c r="L1621" t="str">
        <f>Orders!K1621</f>
        <v>Chennai</v>
      </c>
      <c r="M1621">
        <f>Orders!G1621</f>
        <v>2270</v>
      </c>
      <c r="N1621">
        <f>IFERROR(VLOOKUP(Orders!D1621,Products!$A$2:$D$61,4,FALSE),"")</f>
        <v>1412</v>
      </c>
      <c r="O1621">
        <f t="shared" si="54"/>
        <v>0.37797356828193834</v>
      </c>
      <c r="Q1621" t="str">
        <f>Orders!D1621</f>
        <v>PROD-022</v>
      </c>
    </row>
    <row r="1622" spans="1:17" x14ac:dyDescent="0.3">
      <c r="A1622" t="str">
        <f>Orders!A1622</f>
        <v>ORD-01621</v>
      </c>
      <c r="B1622">
        <f>Orders!B1622</f>
        <v>45475</v>
      </c>
      <c r="C1622">
        <f>Orders!I1622</f>
        <v>1003.44</v>
      </c>
      <c r="D1622" t="str">
        <f>Orders!E1622</f>
        <v>R028</v>
      </c>
      <c r="E1622" t="str">
        <f>IFERROR(VLOOKUP(Orders!D1622,Products!$A$2:$C$61,3,FALSE),"Unknown")</f>
        <v>Home</v>
      </c>
      <c r="F1622" t="str">
        <f>IFERROR(VLOOKUP(Orders!C1622,Customers!$A$2:$E$301,5,FALSE),"Unknown")</f>
        <v>SMB</v>
      </c>
      <c r="G1622">
        <f>IFERROR(VLOOKUP(Orders!C1622,Customers!$A$2:$C$301,3,FALSE),"")</f>
        <v>29</v>
      </c>
      <c r="H1622" t="str">
        <f>VLOOKUP(D1622,Sales_Reps!$A$2:$C$31,3,FALSE)</f>
        <v>West</v>
      </c>
      <c r="I1622" s="44">
        <f t="shared" si="53"/>
        <v>45474</v>
      </c>
      <c r="L1622" t="str">
        <f>Orders!K1622</f>
        <v>Delhi</v>
      </c>
      <c r="M1622">
        <f>Orders!G1622</f>
        <v>370</v>
      </c>
      <c r="N1622">
        <f>IFERROR(VLOOKUP(Orders!D1622,Products!$A$2:$D$61,4,FALSE),"")</f>
        <v>288</v>
      </c>
      <c r="O1622">
        <f t="shared" si="54"/>
        <v>0.22162162162162163</v>
      </c>
      <c r="Q1622" t="str">
        <f>Orders!D1622</f>
        <v>PROD-032</v>
      </c>
    </row>
    <row r="1623" spans="1:17" x14ac:dyDescent="0.3">
      <c r="A1623" t="str">
        <f>Orders!A1623</f>
        <v>ORD-01622</v>
      </c>
      <c r="B1623">
        <f>Orders!B1623</f>
        <v>45365</v>
      </c>
      <c r="C1623">
        <f>Orders!I1623</f>
        <v>6137.19</v>
      </c>
      <c r="D1623" t="str">
        <f>Orders!E1623</f>
        <v>R009</v>
      </c>
      <c r="E1623" t="str">
        <f>IFERROR(VLOOKUP(Orders!D1623,Products!$A$2:$C$61,3,FALSE),"Unknown")</f>
        <v>Grocery</v>
      </c>
      <c r="F1623" t="str">
        <f>IFERROR(VLOOKUP(Orders!C1623,Customers!$A$2:$E$301,5,FALSE),"Unknown")</f>
        <v>Retail</v>
      </c>
      <c r="G1623">
        <f>IFERROR(VLOOKUP(Orders!C1623,Customers!$A$2:$C$301,3,FALSE),"")</f>
        <v>57</v>
      </c>
      <c r="H1623" t="str">
        <f>VLOOKUP(D1623,Sales_Reps!$A$2:$C$31,3,FALSE)</f>
        <v>South</v>
      </c>
      <c r="I1623" s="44">
        <f t="shared" si="53"/>
        <v>45352</v>
      </c>
      <c r="L1623" t="str">
        <f>Orders!K1623</f>
        <v>Mumbai</v>
      </c>
      <c r="M1623">
        <f>Orders!G1623</f>
        <v>970</v>
      </c>
      <c r="N1623">
        <f>IFERROR(VLOOKUP(Orders!D1623,Products!$A$2:$D$61,4,FALSE),"")</f>
        <v>434</v>
      </c>
      <c r="O1623">
        <f t="shared" si="54"/>
        <v>0.5525773195876289</v>
      </c>
      <c r="Q1623" t="str">
        <f>Orders!D1623</f>
        <v>PROD-030</v>
      </c>
    </row>
    <row r="1624" spans="1:17" x14ac:dyDescent="0.3">
      <c r="A1624" t="str">
        <f>Orders!A1624</f>
        <v>ORD-00613</v>
      </c>
      <c r="B1624">
        <f>Orders!B1624</f>
        <v>45405</v>
      </c>
      <c r="C1624">
        <f>Orders!I1624</f>
        <v>555.52</v>
      </c>
      <c r="D1624" t="str">
        <f>Orders!E1624</f>
        <v>R003</v>
      </c>
      <c r="E1624" t="str">
        <f>IFERROR(VLOOKUP(Orders!D1624,Products!$A$2:$C$61,3,FALSE),"Unknown")</f>
        <v>Apparel</v>
      </c>
      <c r="F1624" t="str">
        <f>IFERROR(VLOOKUP(Orders!C1624,Customers!$A$2:$E$301,5,FALSE),"Unknown")</f>
        <v>Retail</v>
      </c>
      <c r="G1624">
        <f>IFERROR(VLOOKUP(Orders!C1624,Customers!$A$2:$C$301,3,FALSE),"")</f>
        <v>54</v>
      </c>
      <c r="H1624" t="str">
        <f>VLOOKUP(D1624,Sales_Reps!$A$2:$C$31,3,FALSE)</f>
        <v>North</v>
      </c>
      <c r="I1624" s="44">
        <f t="shared" si="53"/>
        <v>45383</v>
      </c>
      <c r="L1624" t="str">
        <f>Orders!K1624</f>
        <v>Pune</v>
      </c>
      <c r="M1624">
        <f>Orders!G1624</f>
        <v>620</v>
      </c>
      <c r="N1624">
        <f>IFERROR(VLOOKUP(Orders!D1624,Products!$A$2:$D$61,4,FALSE),"")</f>
        <v>396</v>
      </c>
      <c r="O1624">
        <f t="shared" si="54"/>
        <v>0.36129032258064514</v>
      </c>
      <c r="Q1624" t="str">
        <f>Orders!D1624</f>
        <v>PROD-016</v>
      </c>
    </row>
    <row r="1625" spans="1:17" x14ac:dyDescent="0.3">
      <c r="A1625" t="str">
        <f>Orders!A1625</f>
        <v>ORD-01624</v>
      </c>
      <c r="B1625">
        <f>Orders!B1625</f>
        <v>45533</v>
      </c>
      <c r="C1625">
        <f>Orders!I1625</f>
        <v>16836</v>
      </c>
      <c r="D1625" t="str">
        <f>Orders!E1625</f>
        <v>R029</v>
      </c>
      <c r="E1625" t="str">
        <f>IFERROR(VLOOKUP(Orders!D1625,Products!$A$2:$C$61,3,FALSE),"Unknown")</f>
        <v>Grocery</v>
      </c>
      <c r="F1625" t="str">
        <f>IFERROR(VLOOKUP(Orders!C1625,Customers!$A$2:$E$301,5,FALSE),"Unknown")</f>
        <v>Corporate</v>
      </c>
      <c r="G1625">
        <f>IFERROR(VLOOKUP(Orders!C1625,Customers!$A$2:$C$301,3,FALSE),"")</f>
        <v>62</v>
      </c>
      <c r="H1625" t="str">
        <f>VLOOKUP(D1625,Sales_Reps!$A$2:$C$31,3,FALSE)</f>
        <v>West</v>
      </c>
      <c r="I1625" s="44">
        <f t="shared" si="53"/>
        <v>45505</v>
      </c>
      <c r="L1625" t="str">
        <f>Orders!K1625</f>
        <v>Mumbai</v>
      </c>
      <c r="M1625">
        <f>Orders!G1625</f>
        <v>3660</v>
      </c>
      <c r="N1625">
        <f>IFERROR(VLOOKUP(Orders!D1625,Products!$A$2:$D$61,4,FALSE),"")</f>
        <v>2214</v>
      </c>
      <c r="O1625">
        <f t="shared" si="54"/>
        <v>0.39508196721311473</v>
      </c>
      <c r="Q1625" t="str">
        <f>Orders!D1625</f>
        <v>PROD-028</v>
      </c>
    </row>
    <row r="1626" spans="1:17" x14ac:dyDescent="0.3">
      <c r="A1626" t="str">
        <f>Orders!A1626</f>
        <v>ORD-01625</v>
      </c>
      <c r="B1626">
        <f>Orders!B1626</f>
        <v>45628</v>
      </c>
      <c r="C1626">
        <f>Orders!I1626</f>
        <v>13350.61</v>
      </c>
      <c r="D1626" t="str">
        <f>Orders!E1626</f>
        <v>R024</v>
      </c>
      <c r="E1626" t="str">
        <f>IFERROR(VLOOKUP(Orders!D1626,Products!$A$2:$C$61,3,FALSE),"Unknown")</f>
        <v>Grocery</v>
      </c>
      <c r="F1626" t="str">
        <f>IFERROR(VLOOKUP(Orders!C1626,Customers!$A$2:$E$301,5,FALSE),"Unknown")</f>
        <v>Corporate</v>
      </c>
      <c r="G1626">
        <f>IFERROR(VLOOKUP(Orders!C1626,Customers!$A$2:$C$301,3,FALSE),"")</f>
        <v>46</v>
      </c>
      <c r="H1626" t="str">
        <f>VLOOKUP(D1626,Sales_Reps!$A$2:$C$31,3,FALSE)</f>
        <v>West</v>
      </c>
      <c r="I1626" s="44">
        <f t="shared" si="53"/>
        <v>45627</v>
      </c>
      <c r="L1626" t="str">
        <f>Orders!K1626</f>
        <v>Delhi</v>
      </c>
      <c r="M1626">
        <f>Orders!G1626</f>
        <v>2210</v>
      </c>
      <c r="N1626">
        <f>IFERROR(VLOOKUP(Orders!D1626,Products!$A$2:$D$61,4,FALSE),"")</f>
        <v>1010</v>
      </c>
      <c r="O1626">
        <f t="shared" si="54"/>
        <v>0.54298642533936647</v>
      </c>
      <c r="Q1626" t="str">
        <f>Orders!D1626</f>
        <v>PROD-029</v>
      </c>
    </row>
    <row r="1627" spans="1:17" x14ac:dyDescent="0.3">
      <c r="A1627" t="str">
        <f>Orders!A1627</f>
        <v>ORD-01626</v>
      </c>
      <c r="B1627">
        <f>Orders!B1627</f>
        <v>45631</v>
      </c>
      <c r="C1627">
        <f>Orders!I1627</f>
        <v>3345.3</v>
      </c>
      <c r="D1627" t="str">
        <f>Orders!E1627</f>
        <v>R028</v>
      </c>
      <c r="E1627" t="str">
        <f>IFERROR(VLOOKUP(Orders!D1627,Products!$A$2:$C$61,3,FALSE),"Unknown")</f>
        <v>Sports</v>
      </c>
      <c r="F1627" t="str">
        <f>IFERROR(VLOOKUP(Orders!C1627,Customers!$A$2:$E$301,5,FALSE),"Unknown")</f>
        <v>Retail</v>
      </c>
      <c r="G1627">
        <f>IFERROR(VLOOKUP(Orders!C1627,Customers!$A$2:$C$301,3,FALSE),"")</f>
        <v>53</v>
      </c>
      <c r="H1627" t="str">
        <f>VLOOKUP(D1627,Sales_Reps!$A$2:$C$31,3,FALSE)</f>
        <v>West</v>
      </c>
      <c r="I1627" s="44">
        <f t="shared" si="53"/>
        <v>45627</v>
      </c>
      <c r="L1627" t="str">
        <f>Orders!K1627</f>
        <v>Delhi</v>
      </c>
      <c r="M1627">
        <f>Orders!G1627</f>
        <v>3780</v>
      </c>
      <c r="N1627">
        <f>IFERROR(VLOOKUP(Orders!D1627,Products!$A$2:$D$61,4,FALSE),"")</f>
        <v>1860</v>
      </c>
      <c r="O1627">
        <f t="shared" si="54"/>
        <v>0.50793650793650791</v>
      </c>
      <c r="Q1627" t="str">
        <f>Orders!D1627</f>
        <v>PROD-059</v>
      </c>
    </row>
    <row r="1628" spans="1:17" x14ac:dyDescent="0.3">
      <c r="A1628" t="str">
        <f>Orders!A1628</f>
        <v>ORD-01627</v>
      </c>
      <c r="B1628">
        <f>Orders!B1628</f>
        <v>45601</v>
      </c>
      <c r="C1628">
        <f>Orders!I1628</f>
        <v>18356</v>
      </c>
      <c r="D1628" t="str">
        <f>Orders!E1628</f>
        <v>R005</v>
      </c>
      <c r="E1628" t="str">
        <f>IFERROR(VLOOKUP(Orders!D1628,Products!$A$2:$C$61,3,FALSE),"Unknown")</f>
        <v>Electronics</v>
      </c>
      <c r="F1628" t="str">
        <f>IFERROR(VLOOKUP(Orders!C1628,Customers!$A$2:$E$301,5,FALSE),"Unknown")</f>
        <v>Retail</v>
      </c>
      <c r="G1628">
        <f>IFERROR(VLOOKUP(Orders!C1628,Customers!$A$2:$C$301,3,FALSE),"")</f>
        <v>35</v>
      </c>
      <c r="H1628" t="str">
        <f>VLOOKUP(D1628,Sales_Reps!$A$2:$C$31,3,FALSE)</f>
        <v>North</v>
      </c>
      <c r="I1628" s="44">
        <f t="shared" si="53"/>
        <v>45597</v>
      </c>
      <c r="L1628" t="str">
        <f>Orders!K1628</f>
        <v>Delhi</v>
      </c>
      <c r="M1628">
        <f>Orders!G1628</f>
        <v>2600</v>
      </c>
      <c r="N1628">
        <f>IFERROR(VLOOKUP(Orders!D1628,Products!$A$2:$D$61,4,FALSE),"")</f>
        <v>1052</v>
      </c>
      <c r="O1628">
        <f t="shared" si="54"/>
        <v>0.5953846153846154</v>
      </c>
      <c r="Q1628" t="str">
        <f>Orders!D1628</f>
        <v>PROD-002</v>
      </c>
    </row>
    <row r="1629" spans="1:17" x14ac:dyDescent="0.3">
      <c r="A1629" t="str">
        <f>Orders!A1629</f>
        <v>ORD-01628</v>
      </c>
      <c r="B1629">
        <f>Orders!B1629</f>
        <v>45365</v>
      </c>
      <c r="C1629">
        <f>Orders!I1629</f>
        <v>9707.0400000000009</v>
      </c>
      <c r="D1629" t="str">
        <f>Orders!E1629</f>
        <v>R017</v>
      </c>
      <c r="E1629" t="str">
        <f>IFERROR(VLOOKUP(Orders!D1629,Products!$A$2:$C$61,3,FALSE),"Unknown")</f>
        <v>Grocery</v>
      </c>
      <c r="F1629" t="str">
        <f>IFERROR(VLOOKUP(Orders!C1629,Customers!$A$2:$E$301,5,FALSE),"Unknown")</f>
        <v>Corporate</v>
      </c>
      <c r="G1629">
        <f>IFERROR(VLOOKUP(Orders!C1629,Customers!$A$2:$C$301,3,FALSE),"")</f>
        <v>60</v>
      </c>
      <c r="H1629" t="str">
        <f>VLOOKUP(D1629,Sales_Reps!$A$2:$C$31,3,FALSE)</f>
        <v>East</v>
      </c>
      <c r="I1629" s="44">
        <f t="shared" si="53"/>
        <v>45352</v>
      </c>
      <c r="L1629" t="str">
        <f>Orders!K1629</f>
        <v>Mumbai</v>
      </c>
      <c r="M1629">
        <f>Orders!G1629</f>
        <v>3780</v>
      </c>
      <c r="N1629">
        <f>IFERROR(VLOOKUP(Orders!D1629,Products!$A$2:$D$61,4,FALSE),"")</f>
        <v>2436</v>
      </c>
      <c r="O1629">
        <f t="shared" si="54"/>
        <v>0.35555555555555557</v>
      </c>
      <c r="Q1629" t="str">
        <f>Orders!D1629</f>
        <v>PROD-027</v>
      </c>
    </row>
    <row r="1630" spans="1:17" x14ac:dyDescent="0.3">
      <c r="A1630" t="str">
        <f>Orders!A1630</f>
        <v>ORD-01629</v>
      </c>
      <c r="B1630">
        <f>Orders!B1630</f>
        <v>45421</v>
      </c>
      <c r="C1630">
        <f>Orders!I1630</f>
        <v>19324.8</v>
      </c>
      <c r="D1630" t="str">
        <f>Orders!E1630</f>
        <v>R003</v>
      </c>
      <c r="E1630" t="str">
        <f>IFERROR(VLOOKUP(Orders!D1630,Products!$A$2:$C$61,3,FALSE),"Unknown")</f>
        <v>Electronics</v>
      </c>
      <c r="F1630" t="str">
        <f>IFERROR(VLOOKUP(Orders!C1630,Customers!$A$2:$E$301,5,FALSE),"Unknown")</f>
        <v>SMB</v>
      </c>
      <c r="G1630">
        <f>IFERROR(VLOOKUP(Orders!C1630,Customers!$A$2:$C$301,3,FALSE),"")</f>
        <v>34</v>
      </c>
      <c r="H1630" t="str">
        <f>VLOOKUP(D1630,Sales_Reps!$A$2:$C$31,3,FALSE)</f>
        <v>North</v>
      </c>
      <c r="I1630" s="44">
        <f t="shared" si="53"/>
        <v>45413</v>
      </c>
      <c r="L1630" t="str">
        <f>Orders!K1630</f>
        <v>Bengaluru</v>
      </c>
      <c r="M1630">
        <f>Orders!G1630</f>
        <v>2640</v>
      </c>
      <c r="N1630">
        <f>IFERROR(VLOOKUP(Orders!D1630,Products!$A$2:$D$61,4,FALSE),"")</f>
        <v>1149</v>
      </c>
      <c r="O1630">
        <f t="shared" si="54"/>
        <v>0.56477272727272732</v>
      </c>
      <c r="Q1630" t="str">
        <f>Orders!D1630</f>
        <v>PROD-010</v>
      </c>
    </row>
    <row r="1631" spans="1:17" x14ac:dyDescent="0.3">
      <c r="A1631" t="str">
        <f>Orders!A1631</f>
        <v>ORD-01630</v>
      </c>
      <c r="B1631">
        <f>Orders!B1631</f>
        <v>45347</v>
      </c>
      <c r="C1631">
        <f>Orders!I1631</f>
        <v>2972.43</v>
      </c>
      <c r="D1631" t="str">
        <f>Orders!E1631</f>
        <v>R013</v>
      </c>
      <c r="E1631" t="str">
        <f>IFERROR(VLOOKUP(Orders!D1631,Products!$A$2:$C$61,3,FALSE),"Unknown")</f>
        <v>Home</v>
      </c>
      <c r="F1631" t="str">
        <f>IFERROR(VLOOKUP(Orders!C1631,Customers!$A$2:$E$301,5,FALSE),"Unknown")</f>
        <v>Retail</v>
      </c>
      <c r="G1631">
        <f>IFERROR(VLOOKUP(Orders!C1631,Customers!$A$2:$C$301,3,FALSE),"")</f>
        <v>35</v>
      </c>
      <c r="H1631" t="str">
        <f>VLOOKUP(D1631,Sales_Reps!$A$2:$C$31,3,FALSE)</f>
        <v>South</v>
      </c>
      <c r="I1631" s="44">
        <f t="shared" si="53"/>
        <v>45323</v>
      </c>
      <c r="L1631" t="str">
        <f>Orders!K1631</f>
        <v>Bengaluru</v>
      </c>
      <c r="M1631">
        <f>Orders!G1631</f>
        <v>1090</v>
      </c>
      <c r="N1631">
        <f>IFERROR(VLOOKUP(Orders!D1631,Products!$A$2:$D$61,4,FALSE),"")</f>
        <v>464</v>
      </c>
      <c r="O1631">
        <f t="shared" si="54"/>
        <v>0.57431192660550456</v>
      </c>
      <c r="Q1631" t="str">
        <f>Orders!D1631</f>
        <v>PROD-035</v>
      </c>
    </row>
    <row r="1632" spans="1:17" x14ac:dyDescent="0.3">
      <c r="A1632" t="str">
        <f>Orders!A1632</f>
        <v>ORD-01631</v>
      </c>
      <c r="B1632">
        <f>Orders!B1632</f>
        <v>45574</v>
      </c>
      <c r="C1632">
        <f>Orders!I1632</f>
        <v>7969.5</v>
      </c>
      <c r="D1632" t="str">
        <f>Orders!E1632</f>
        <v>R024</v>
      </c>
      <c r="E1632" t="str">
        <f>IFERROR(VLOOKUP(Orders!D1632,Products!$A$2:$C$61,3,FALSE),"Unknown")</f>
        <v>Apparel</v>
      </c>
      <c r="F1632" t="str">
        <f>IFERROR(VLOOKUP(Orders!C1632,Customers!$A$2:$E$301,5,FALSE),"Unknown")</f>
        <v>SMB</v>
      </c>
      <c r="G1632">
        <f>IFERROR(VLOOKUP(Orders!C1632,Customers!$A$2:$C$301,3,FALSE),"")</f>
        <v>46</v>
      </c>
      <c r="H1632" t="str">
        <f>VLOOKUP(D1632,Sales_Reps!$A$2:$C$31,3,FALSE)</f>
        <v>West</v>
      </c>
      <c r="I1632" s="44">
        <f t="shared" si="53"/>
        <v>45566</v>
      </c>
      <c r="L1632" t="str">
        <f>Orders!K1632</f>
        <v>Chennai</v>
      </c>
      <c r="M1632">
        <f>Orders!G1632</f>
        <v>3450</v>
      </c>
      <c r="N1632">
        <f>IFERROR(VLOOKUP(Orders!D1632,Products!$A$2:$D$61,4,FALSE),"")</f>
        <v>1748</v>
      </c>
      <c r="O1632">
        <f t="shared" si="54"/>
        <v>0.49333333333333335</v>
      </c>
      <c r="Q1632" t="str">
        <f>Orders!D1632</f>
        <v>PROD-011</v>
      </c>
    </row>
    <row r="1633" spans="1:17" x14ac:dyDescent="0.3">
      <c r="A1633" t="str">
        <f>Orders!A1633</f>
        <v>ORD-01632</v>
      </c>
      <c r="B1633">
        <f>Orders!B1633</f>
        <v>45365</v>
      </c>
      <c r="C1633">
        <f>Orders!I1633</f>
        <v>949.44</v>
      </c>
      <c r="D1633" t="str">
        <f>Orders!E1633</f>
        <v>R015</v>
      </c>
      <c r="E1633" t="str">
        <f>IFERROR(VLOOKUP(Orders!D1633,Products!$A$2:$C$61,3,FALSE),"Unknown")</f>
        <v>Beauty</v>
      </c>
      <c r="F1633" t="str">
        <f>IFERROR(VLOOKUP(Orders!C1633,Customers!$A$2:$E$301,5,FALSE),"Unknown")</f>
        <v>Retail</v>
      </c>
      <c r="G1633">
        <f>IFERROR(VLOOKUP(Orders!C1633,Customers!$A$2:$C$301,3,FALSE),"")</f>
        <v>42</v>
      </c>
      <c r="H1633" t="str">
        <f>VLOOKUP(D1633,Sales_Reps!$A$2:$C$31,3,FALSE)</f>
        <v>South</v>
      </c>
      <c r="I1633" s="44">
        <f t="shared" si="53"/>
        <v>45352</v>
      </c>
      <c r="L1633" t="str">
        <f>Orders!K1633</f>
        <v>Pune</v>
      </c>
      <c r="M1633">
        <f>Orders!G1633</f>
        <v>960</v>
      </c>
      <c r="N1633">
        <f>IFERROR(VLOOKUP(Orders!D1633,Products!$A$2:$D$61,4,FALSE),"")</f>
        <v>675</v>
      </c>
      <c r="O1633">
        <f t="shared" si="54"/>
        <v>0.296875</v>
      </c>
      <c r="Q1633" t="str">
        <f>Orders!D1633</f>
        <v>PROD-049</v>
      </c>
    </row>
    <row r="1634" spans="1:17" x14ac:dyDescent="0.3">
      <c r="A1634" t="str">
        <f>Orders!A1634</f>
        <v>ORD-01633</v>
      </c>
      <c r="B1634">
        <f>Orders!B1634</f>
        <v>45577</v>
      </c>
      <c r="C1634">
        <f>Orders!I1634</f>
        <v>29975.4</v>
      </c>
      <c r="D1634" t="str">
        <f>Orders!E1634</f>
        <v>R030</v>
      </c>
      <c r="E1634" t="str">
        <f>IFERROR(VLOOKUP(Orders!D1634,Products!$A$2:$C$61,3,FALSE),"Unknown")</f>
        <v>Grocery</v>
      </c>
      <c r="F1634" t="str">
        <f>IFERROR(VLOOKUP(Orders!C1634,Customers!$A$2:$E$301,5,FALSE),"Unknown")</f>
        <v>SMB</v>
      </c>
      <c r="G1634">
        <f>IFERROR(VLOOKUP(Orders!C1634,Customers!$A$2:$C$301,3,FALSE),"")</f>
        <v>49</v>
      </c>
      <c r="H1634" t="str">
        <f>VLOOKUP(D1634,Sales_Reps!$A$2:$C$31,3,FALSE)</f>
        <v>West</v>
      </c>
      <c r="I1634" s="44">
        <f t="shared" si="53"/>
        <v>45566</v>
      </c>
      <c r="L1634" t="str">
        <f>Orders!K1634</f>
        <v>Pune</v>
      </c>
      <c r="M1634">
        <f>Orders!G1634</f>
        <v>3660</v>
      </c>
      <c r="N1634">
        <f>IFERROR(VLOOKUP(Orders!D1634,Products!$A$2:$D$61,4,FALSE),"")</f>
        <v>2214</v>
      </c>
      <c r="O1634">
        <f t="shared" si="54"/>
        <v>0.39508196721311473</v>
      </c>
      <c r="Q1634" t="str">
        <f>Orders!D1634</f>
        <v>PROD-028</v>
      </c>
    </row>
    <row r="1635" spans="1:17" x14ac:dyDescent="0.3">
      <c r="A1635" t="str">
        <f>Orders!A1635</f>
        <v>ORD-01634</v>
      </c>
      <c r="B1635">
        <f>Orders!B1635</f>
        <v>45420</v>
      </c>
      <c r="C1635">
        <f>Orders!I1635</f>
        <v>9421.98</v>
      </c>
      <c r="D1635" t="str">
        <f>Orders!E1635</f>
        <v>R008</v>
      </c>
      <c r="E1635" t="str">
        <f>IFERROR(VLOOKUP(Orders!D1635,Products!$A$2:$C$61,3,FALSE),"Unknown")</f>
        <v>Home</v>
      </c>
      <c r="F1635" t="str">
        <f>IFERROR(VLOOKUP(Orders!C1635,Customers!$A$2:$E$301,5,FALSE),"Unknown")</f>
        <v>Retail</v>
      </c>
      <c r="G1635">
        <f>IFERROR(VLOOKUP(Orders!C1635,Customers!$A$2:$C$301,3,FALSE),"")</f>
        <v>43</v>
      </c>
      <c r="H1635" t="str">
        <f>VLOOKUP(D1635,Sales_Reps!$A$2:$C$31,3,FALSE)</f>
        <v>North</v>
      </c>
      <c r="I1635" s="44">
        <f t="shared" si="53"/>
        <v>45413</v>
      </c>
      <c r="L1635" t="str">
        <f>Orders!K1635</f>
        <v>Delhi</v>
      </c>
      <c r="M1635">
        <f>Orders!G1635</f>
        <v>3730</v>
      </c>
      <c r="N1635">
        <f>IFERROR(VLOOKUP(Orders!D1635,Products!$A$2:$D$61,4,FALSE),"")</f>
        <v>2135</v>
      </c>
      <c r="O1635">
        <f t="shared" si="54"/>
        <v>0.42761394101876676</v>
      </c>
      <c r="Q1635" t="str">
        <f>Orders!D1635</f>
        <v>PROD-031</v>
      </c>
    </row>
    <row r="1636" spans="1:17" x14ac:dyDescent="0.3">
      <c r="A1636" t="str">
        <f>Orders!A1636</f>
        <v>ORD-01635</v>
      </c>
      <c r="B1636">
        <f>Orders!B1636</f>
        <v>45347</v>
      </c>
      <c r="C1636">
        <f>Orders!I1636</f>
        <v>22905.96</v>
      </c>
      <c r="D1636" t="str">
        <f>Orders!E1636</f>
        <v>R004</v>
      </c>
      <c r="E1636" t="str">
        <f>IFERROR(VLOOKUP(Orders!D1636,Products!$A$2:$C$61,3,FALSE),"Unknown")</f>
        <v>Grocery</v>
      </c>
      <c r="F1636" t="str">
        <f>IFERROR(VLOOKUP(Orders!C1636,Customers!$A$2:$E$301,5,FALSE),"Unknown")</f>
        <v>Corporate</v>
      </c>
      <c r="G1636">
        <f>IFERROR(VLOOKUP(Orders!C1636,Customers!$A$2:$C$301,3,FALSE),"")</f>
        <v>60</v>
      </c>
      <c r="H1636" t="str">
        <f>VLOOKUP(D1636,Sales_Reps!$A$2:$C$31,3,FALSE)</f>
        <v>North</v>
      </c>
      <c r="I1636" s="44">
        <f t="shared" si="53"/>
        <v>45323</v>
      </c>
      <c r="L1636" t="str">
        <f>Orders!K1636</f>
        <v>Mumbai</v>
      </c>
      <c r="M1636">
        <f>Orders!G1636</f>
        <v>4070</v>
      </c>
      <c r="N1636">
        <f>IFERROR(VLOOKUP(Orders!D1636,Products!$A$2:$D$61,4,FALSE),"")</f>
        <v>2027</v>
      </c>
      <c r="O1636">
        <f t="shared" si="54"/>
        <v>0.50196560196560192</v>
      </c>
      <c r="Q1636" t="str">
        <f>Orders!D1636</f>
        <v>PROD-026</v>
      </c>
    </row>
    <row r="1637" spans="1:17" x14ac:dyDescent="0.3">
      <c r="A1637" t="str">
        <f>Orders!A1637</f>
        <v>ORD-01636</v>
      </c>
      <c r="B1637">
        <f>Orders!B1637</f>
        <v>45329</v>
      </c>
      <c r="C1637">
        <f>Orders!I1637</f>
        <v>2271.64</v>
      </c>
      <c r="D1637" t="str">
        <f>Orders!E1637</f>
        <v>R022</v>
      </c>
      <c r="E1637" t="str">
        <f>IFERROR(VLOOKUP(Orders!D1637,Products!$A$2:$C$61,3,FALSE),"Unknown")</f>
        <v>Electronics</v>
      </c>
      <c r="F1637" t="str">
        <f>IFERROR(VLOOKUP(Orders!C1637,Customers!$A$2:$E$301,5,FALSE),"Unknown")</f>
        <v>SMB</v>
      </c>
      <c r="G1637">
        <f>IFERROR(VLOOKUP(Orders!C1637,Customers!$A$2:$C$301,3,FALSE),"")</f>
        <v>65</v>
      </c>
      <c r="H1637" t="str">
        <f>VLOOKUP(D1637,Sales_Reps!$A$2:$C$31,3,FALSE)</f>
        <v>East</v>
      </c>
      <c r="I1637" s="44">
        <f t="shared" si="53"/>
        <v>45323</v>
      </c>
      <c r="L1637" t="str">
        <f>Orders!K1637</f>
        <v>Mumbai</v>
      </c>
      <c r="M1637">
        <f>Orders!G1637</f>
        <v>2660</v>
      </c>
      <c r="N1637">
        <f>IFERROR(VLOOKUP(Orders!D1637,Products!$A$2:$D$61,4,FALSE),"")</f>
        <v>1259</v>
      </c>
      <c r="O1637">
        <f t="shared" si="54"/>
        <v>0.52669172932330832</v>
      </c>
      <c r="Q1637" t="str">
        <f>Orders!D1637</f>
        <v>PROD-008</v>
      </c>
    </row>
    <row r="1638" spans="1:17" x14ac:dyDescent="0.3">
      <c r="A1638" t="str">
        <f>Orders!A1638</f>
        <v>ORD-01637</v>
      </c>
      <c r="B1638">
        <f>Orders!B1638</f>
        <v>45378</v>
      </c>
      <c r="C1638">
        <f>Orders!I1638</f>
        <v>5280.03</v>
      </c>
      <c r="D1638" t="str">
        <f>Orders!E1638</f>
        <v>R003</v>
      </c>
      <c r="E1638" t="str">
        <f>IFERROR(VLOOKUP(Orders!D1638,Products!$A$2:$C$61,3,FALSE),"Unknown")</f>
        <v>Home</v>
      </c>
      <c r="F1638" t="str">
        <f>IFERROR(VLOOKUP(Orders!C1638,Customers!$A$2:$E$301,5,FALSE),"Unknown")</f>
        <v>Retail</v>
      </c>
      <c r="G1638">
        <f>IFERROR(VLOOKUP(Orders!C1638,Customers!$A$2:$C$301,3,FALSE),"")</f>
        <v>63</v>
      </c>
      <c r="H1638" t="str">
        <f>VLOOKUP(D1638,Sales_Reps!$A$2:$C$31,3,FALSE)</f>
        <v>North</v>
      </c>
      <c r="I1638" s="44">
        <f t="shared" si="53"/>
        <v>45352</v>
      </c>
      <c r="L1638" t="str">
        <f>Orders!K1638</f>
        <v>Pune</v>
      </c>
      <c r="M1638">
        <f>Orders!G1638</f>
        <v>2030</v>
      </c>
      <c r="N1638">
        <f>IFERROR(VLOOKUP(Orders!D1638,Products!$A$2:$D$61,4,FALSE),"")</f>
        <v>1143</v>
      </c>
      <c r="O1638">
        <f t="shared" si="54"/>
        <v>0.43694581280788175</v>
      </c>
      <c r="Q1638" t="str">
        <f>Orders!D1638</f>
        <v>PROD-033</v>
      </c>
    </row>
    <row r="1639" spans="1:17" x14ac:dyDescent="0.3">
      <c r="A1639" t="str">
        <f>Orders!A1639</f>
        <v>ORD-01638</v>
      </c>
      <c r="B1639">
        <f>Orders!B1639</f>
        <v>45393</v>
      </c>
      <c r="C1639">
        <f>Orders!I1639</f>
        <v>14317.92</v>
      </c>
      <c r="D1639" t="str">
        <f>Orders!E1639</f>
        <v>R001</v>
      </c>
      <c r="E1639" t="str">
        <f>IFERROR(VLOOKUP(Orders!D1639,Products!$A$2:$C$61,3,FALSE),"Unknown")</f>
        <v>Grocery</v>
      </c>
      <c r="F1639" t="str">
        <f>IFERROR(VLOOKUP(Orders!C1639,Customers!$A$2:$E$301,5,FALSE),"Unknown")</f>
        <v>Retail</v>
      </c>
      <c r="G1639">
        <f>IFERROR(VLOOKUP(Orders!C1639,Customers!$A$2:$C$301,3,FALSE),"")</f>
        <v>28</v>
      </c>
      <c r="H1639" t="str">
        <f>VLOOKUP(D1639,Sales_Reps!$A$2:$C$31,3,FALSE)</f>
        <v>North</v>
      </c>
      <c r="I1639" s="44">
        <f t="shared" si="53"/>
        <v>45383</v>
      </c>
      <c r="L1639" t="str">
        <f>Orders!K1639</f>
        <v>Chennai</v>
      </c>
      <c r="M1639">
        <f>Orders!G1639</f>
        <v>3660</v>
      </c>
      <c r="N1639">
        <f>IFERROR(VLOOKUP(Orders!D1639,Products!$A$2:$D$61,4,FALSE),"")</f>
        <v>2214</v>
      </c>
      <c r="O1639">
        <f t="shared" si="54"/>
        <v>0.39508196721311473</v>
      </c>
      <c r="Q1639" t="str">
        <f>Orders!D1639</f>
        <v>PROD-028</v>
      </c>
    </row>
    <row r="1640" spans="1:17" x14ac:dyDescent="0.3">
      <c r="A1640" t="str">
        <f>Orders!A1640</f>
        <v>ORD-01639</v>
      </c>
      <c r="B1640">
        <f>Orders!B1640</f>
        <v>45364</v>
      </c>
      <c r="C1640">
        <f>Orders!I1640</f>
        <v>4936.96</v>
      </c>
      <c r="D1640" t="str">
        <f>Orders!E1640</f>
        <v>R006</v>
      </c>
      <c r="E1640" t="str">
        <f>IFERROR(VLOOKUP(Orders!D1640,Products!$A$2:$C$61,3,FALSE),"Unknown")</f>
        <v>Electronics</v>
      </c>
      <c r="F1640" t="str">
        <f>IFERROR(VLOOKUP(Orders!C1640,Customers!$A$2:$E$301,5,FALSE),"Unknown")</f>
        <v>Retail</v>
      </c>
      <c r="G1640">
        <f>IFERROR(VLOOKUP(Orders!C1640,Customers!$A$2:$C$301,3,FALSE),"")</f>
        <v>42</v>
      </c>
      <c r="H1640" t="str">
        <f>VLOOKUP(D1640,Sales_Reps!$A$2:$C$31,3,FALSE)</f>
        <v>North</v>
      </c>
      <c r="I1640" s="44">
        <f t="shared" si="53"/>
        <v>45352</v>
      </c>
      <c r="L1640" t="str">
        <f>Orders!K1640</f>
        <v>Bengaluru</v>
      </c>
      <c r="M1640">
        <f>Orders!G1640</f>
        <v>2660</v>
      </c>
      <c r="N1640">
        <f>IFERROR(VLOOKUP(Orders!D1640,Products!$A$2:$D$61,4,FALSE),"")</f>
        <v>1259</v>
      </c>
      <c r="O1640">
        <f t="shared" si="54"/>
        <v>0.52669172932330832</v>
      </c>
      <c r="Q1640" t="str">
        <f>Orders!D1640</f>
        <v>PROD-008</v>
      </c>
    </row>
    <row r="1641" spans="1:17" x14ac:dyDescent="0.3">
      <c r="A1641" t="str">
        <f>Orders!A1641</f>
        <v>ORD-01640</v>
      </c>
      <c r="B1641">
        <f>Orders!B1641</f>
        <v>45624</v>
      </c>
      <c r="C1641">
        <f>Orders!I1641</f>
        <v>7437.12</v>
      </c>
      <c r="D1641" t="str">
        <f>Orders!E1641</f>
        <v>R013</v>
      </c>
      <c r="E1641" t="str">
        <f>IFERROR(VLOOKUP(Orders!D1641,Products!$A$2:$C$61,3,FALSE),"Unknown")</f>
        <v>Beauty</v>
      </c>
      <c r="F1641" t="str">
        <f>IFERROR(VLOOKUP(Orders!C1641,Customers!$A$2:$E$301,5,FALSE),"Unknown")</f>
        <v>SMB</v>
      </c>
      <c r="G1641">
        <f>IFERROR(VLOOKUP(Orders!C1641,Customers!$A$2:$C$301,3,FALSE),"")</f>
        <v>48</v>
      </c>
      <c r="H1641" t="str">
        <f>VLOOKUP(D1641,Sales_Reps!$A$2:$C$31,3,FALSE)</f>
        <v>South</v>
      </c>
      <c r="I1641" s="44">
        <f t="shared" si="53"/>
        <v>45597</v>
      </c>
      <c r="L1641" t="str">
        <f>Orders!K1641</f>
        <v>Hyderabad</v>
      </c>
      <c r="M1641">
        <f>Orders!G1641</f>
        <v>4880</v>
      </c>
      <c r="N1641">
        <f>IFERROR(VLOOKUP(Orders!D1641,Products!$A$2:$D$61,4,FALSE),"")</f>
        <v>2768</v>
      </c>
      <c r="O1641">
        <f t="shared" si="54"/>
        <v>0.43278688524590164</v>
      </c>
      <c r="Q1641" t="str">
        <f>Orders!D1641</f>
        <v>PROD-046</v>
      </c>
    </row>
    <row r="1642" spans="1:17" x14ac:dyDescent="0.3">
      <c r="A1642" t="str">
        <f>Orders!A1642</f>
        <v>ORD-01641</v>
      </c>
      <c r="B1642">
        <f>Orders!B1642</f>
        <v>45411</v>
      </c>
      <c r="C1642">
        <f>Orders!I1642</f>
        <v>3391.35</v>
      </c>
      <c r="D1642" t="str">
        <f>Orders!E1642</f>
        <v>R011</v>
      </c>
      <c r="E1642" t="str">
        <f>IFERROR(VLOOKUP(Orders!D1642,Products!$A$2:$C$61,3,FALSE),"Unknown")</f>
        <v>Apparel</v>
      </c>
      <c r="F1642" t="str">
        <f>IFERROR(VLOOKUP(Orders!C1642,Customers!$A$2:$E$301,5,FALSE),"Unknown")</f>
        <v>Retail</v>
      </c>
      <c r="G1642">
        <f>IFERROR(VLOOKUP(Orders!C1642,Customers!$A$2:$C$301,3,FALSE),"")</f>
        <v>36</v>
      </c>
      <c r="H1642" t="str">
        <f>VLOOKUP(D1642,Sales_Reps!$A$2:$C$31,3,FALSE)</f>
        <v>South</v>
      </c>
      <c r="I1642" s="44">
        <f t="shared" si="53"/>
        <v>45383</v>
      </c>
      <c r="L1642" t="str">
        <f>Orders!K1642</f>
        <v>Pune</v>
      </c>
      <c r="M1642">
        <f>Orders!G1642</f>
        <v>3450</v>
      </c>
      <c r="N1642">
        <f>IFERROR(VLOOKUP(Orders!D1642,Products!$A$2:$D$61,4,FALSE),"")</f>
        <v>1748</v>
      </c>
      <c r="O1642">
        <f t="shared" si="54"/>
        <v>0.49333333333333335</v>
      </c>
      <c r="Q1642" t="str">
        <f>Orders!D1642</f>
        <v>PROD-011</v>
      </c>
    </row>
    <row r="1643" spans="1:17" x14ac:dyDescent="0.3">
      <c r="A1643" t="str">
        <f>Orders!A1643</f>
        <v>ORD-01642</v>
      </c>
      <c r="B1643">
        <f>Orders!B1643</f>
        <v>45550</v>
      </c>
      <c r="C1643">
        <f>Orders!I1643</f>
        <v>9929.76</v>
      </c>
      <c r="D1643" t="str">
        <f>Orders!E1643</f>
        <v>R023</v>
      </c>
      <c r="E1643" t="str">
        <f>IFERROR(VLOOKUP(Orders!D1643,Products!$A$2:$C$61,3,FALSE),"Unknown")</f>
        <v>Beauty</v>
      </c>
      <c r="F1643" t="str">
        <f>IFERROR(VLOOKUP(Orders!C1643,Customers!$A$2:$E$301,5,FALSE),"Unknown")</f>
        <v>SMB</v>
      </c>
      <c r="G1643">
        <f>IFERROR(VLOOKUP(Orders!C1643,Customers!$A$2:$C$301,3,FALSE),"")</f>
        <v>54</v>
      </c>
      <c r="H1643" t="str">
        <f>VLOOKUP(D1643,Sales_Reps!$A$2:$C$31,3,FALSE)</f>
        <v>East</v>
      </c>
      <c r="I1643" s="44">
        <f t="shared" si="53"/>
        <v>45536</v>
      </c>
      <c r="L1643" t="str">
        <f>Orders!K1643</f>
        <v>Pune</v>
      </c>
      <c r="M1643">
        <f>Orders!G1643</f>
        <v>3020</v>
      </c>
      <c r="N1643">
        <f>IFERROR(VLOOKUP(Orders!D1643,Products!$A$2:$D$61,4,FALSE),"")</f>
        <v>1626</v>
      </c>
      <c r="O1643">
        <f t="shared" si="54"/>
        <v>0.46158940397350995</v>
      </c>
      <c r="Q1643" t="str">
        <f>Orders!D1643</f>
        <v>PROD-045</v>
      </c>
    </row>
    <row r="1644" spans="1:17" x14ac:dyDescent="0.3">
      <c r="A1644" t="str">
        <f>Orders!A1644</f>
        <v>ORD-01643</v>
      </c>
      <c r="B1644">
        <f>Orders!B1644</f>
        <v>45512</v>
      </c>
      <c r="C1644">
        <f>Orders!I1644</f>
        <v>37934.04</v>
      </c>
      <c r="D1644" t="str">
        <f>Orders!E1644</f>
        <v>R021</v>
      </c>
      <c r="E1644" t="str">
        <f>IFERROR(VLOOKUP(Orders!D1644,Products!$A$2:$C$61,3,FALSE),"Unknown")</f>
        <v>Sports</v>
      </c>
      <c r="F1644" t="str">
        <f>IFERROR(VLOOKUP(Orders!C1644,Customers!$A$2:$E$301,5,FALSE),"Unknown")</f>
        <v>Retail</v>
      </c>
      <c r="G1644">
        <f>IFERROR(VLOOKUP(Orders!C1644,Customers!$A$2:$C$301,3,FALSE),"")</f>
        <v>47</v>
      </c>
      <c r="H1644" t="str">
        <f>VLOOKUP(D1644,Sales_Reps!$A$2:$C$31,3,FALSE)</f>
        <v>East</v>
      </c>
      <c r="I1644" s="44">
        <f t="shared" si="53"/>
        <v>45505</v>
      </c>
      <c r="L1644" t="str">
        <f>Orders!K1644</f>
        <v>Delhi</v>
      </c>
      <c r="M1644">
        <f>Orders!G1644</f>
        <v>6940</v>
      </c>
      <c r="N1644">
        <f>IFERROR(VLOOKUP(Orders!D1644,Products!$A$2:$D$61,4,FALSE),"")</f>
        <v>2827</v>
      </c>
      <c r="O1644">
        <f t="shared" si="54"/>
        <v>0.5926512968299712</v>
      </c>
      <c r="Q1644" t="str">
        <f>Orders!D1644</f>
        <v>PROD-056</v>
      </c>
    </row>
    <row r="1645" spans="1:17" x14ac:dyDescent="0.3">
      <c r="A1645" t="str">
        <f>Orders!A1645</f>
        <v>ORD-01644</v>
      </c>
      <c r="B1645">
        <f>Orders!B1645</f>
        <v>45523</v>
      </c>
      <c r="C1645">
        <f>Orders!I1645</f>
        <v>25143.599999999999</v>
      </c>
      <c r="D1645" t="str">
        <f>Orders!E1645</f>
        <v>R023</v>
      </c>
      <c r="E1645" t="str">
        <f>IFERROR(VLOOKUP(Orders!D1645,Products!$A$2:$C$61,3,FALSE),"Unknown")</f>
        <v>Grocery</v>
      </c>
      <c r="F1645" t="str">
        <f>IFERROR(VLOOKUP(Orders!C1645,Customers!$A$2:$E$301,5,FALSE),"Unknown")</f>
        <v>SMB</v>
      </c>
      <c r="G1645">
        <f>IFERROR(VLOOKUP(Orders!C1645,Customers!$A$2:$C$301,3,FALSE),"")</f>
        <v>64</v>
      </c>
      <c r="H1645" t="str">
        <f>VLOOKUP(D1645,Sales_Reps!$A$2:$C$31,3,FALSE)</f>
        <v>East</v>
      </c>
      <c r="I1645" s="44">
        <f t="shared" si="53"/>
        <v>45505</v>
      </c>
      <c r="L1645" t="str">
        <f>Orders!K1645</f>
        <v>Chennai</v>
      </c>
      <c r="M1645">
        <f>Orders!G1645</f>
        <v>2760</v>
      </c>
      <c r="N1645">
        <f>IFERROR(VLOOKUP(Orders!D1645,Products!$A$2:$D$61,4,FALSE),"")</f>
        <v>1435</v>
      </c>
      <c r="O1645">
        <f t="shared" si="54"/>
        <v>0.48007246376811596</v>
      </c>
      <c r="Q1645" t="str">
        <f>Orders!D1645</f>
        <v>PROD-021</v>
      </c>
    </row>
    <row r="1646" spans="1:17" x14ac:dyDescent="0.3">
      <c r="A1646" t="str">
        <f>Orders!A1646</f>
        <v>ORD-01645</v>
      </c>
      <c r="B1646">
        <f>Orders!B1646</f>
        <v>45310</v>
      </c>
      <c r="C1646">
        <f>Orders!I1646</f>
        <v>6074.88</v>
      </c>
      <c r="D1646" t="str">
        <f>Orders!E1646</f>
        <v>R020</v>
      </c>
      <c r="E1646" t="str">
        <f>IFERROR(VLOOKUP(Orders!D1646,Products!$A$2:$C$61,3,FALSE),"Unknown")</f>
        <v>Beauty</v>
      </c>
      <c r="F1646" t="str">
        <f>IFERROR(VLOOKUP(Orders!C1646,Customers!$A$2:$E$301,5,FALSE),"Unknown")</f>
        <v>Corporate</v>
      </c>
      <c r="G1646">
        <f>IFERROR(VLOOKUP(Orders!C1646,Customers!$A$2:$C$301,3,FALSE),"")</f>
        <v>48</v>
      </c>
      <c r="H1646" t="str">
        <f>VLOOKUP(D1646,Sales_Reps!$A$2:$C$31,3,FALSE)</f>
        <v>East</v>
      </c>
      <c r="I1646" s="44">
        <f t="shared" si="53"/>
        <v>45292</v>
      </c>
      <c r="L1646" t="str">
        <f>Orders!K1646</f>
        <v>Pune</v>
      </c>
      <c r="M1646">
        <f>Orders!G1646</f>
        <v>960</v>
      </c>
      <c r="N1646">
        <f>IFERROR(VLOOKUP(Orders!D1646,Products!$A$2:$D$61,4,FALSE),"")</f>
        <v>675</v>
      </c>
      <c r="O1646">
        <f t="shared" si="54"/>
        <v>0.296875</v>
      </c>
      <c r="Q1646" t="str">
        <f>Orders!D1646</f>
        <v>PROD-049</v>
      </c>
    </row>
    <row r="1647" spans="1:17" x14ac:dyDescent="0.3">
      <c r="A1647" t="str">
        <f>Orders!A1647</f>
        <v>ORD-01646</v>
      </c>
      <c r="B1647">
        <f>Orders!B1647</f>
        <v>45498</v>
      </c>
      <c r="C1647">
        <f>Orders!I1647</f>
        <v>2722.56</v>
      </c>
      <c r="D1647" t="str">
        <f>Orders!E1647</f>
        <v>R012</v>
      </c>
      <c r="E1647" t="str">
        <f>IFERROR(VLOOKUP(Orders!D1647,Products!$A$2:$C$61,3,FALSE),"Unknown")</f>
        <v>Beauty</v>
      </c>
      <c r="F1647" t="str">
        <f>IFERROR(VLOOKUP(Orders!C1647,Customers!$A$2:$E$301,5,FALSE),"Unknown")</f>
        <v>Retail</v>
      </c>
      <c r="G1647">
        <f>IFERROR(VLOOKUP(Orders!C1647,Customers!$A$2:$C$301,3,FALSE),"")</f>
        <v>52</v>
      </c>
      <c r="H1647" t="str">
        <f>VLOOKUP(D1647,Sales_Reps!$A$2:$C$31,3,FALSE)</f>
        <v>South</v>
      </c>
      <c r="I1647" s="44">
        <f t="shared" si="53"/>
        <v>45474</v>
      </c>
      <c r="L1647" t="str">
        <f>Orders!K1647</f>
        <v>Bengaluru</v>
      </c>
      <c r="M1647">
        <f>Orders!G1647</f>
        <v>960</v>
      </c>
      <c r="N1647">
        <f>IFERROR(VLOOKUP(Orders!D1647,Products!$A$2:$D$61,4,FALSE),"")</f>
        <v>675</v>
      </c>
      <c r="O1647">
        <f t="shared" si="54"/>
        <v>0.296875</v>
      </c>
      <c r="Q1647" t="str">
        <f>Orders!D1647</f>
        <v>PROD-049</v>
      </c>
    </row>
    <row r="1648" spans="1:17" x14ac:dyDescent="0.3">
      <c r="A1648" t="str">
        <f>Orders!A1648</f>
        <v>ORD-01647</v>
      </c>
      <c r="B1648">
        <f>Orders!B1648</f>
        <v>45410</v>
      </c>
      <c r="C1648">
        <f>Orders!I1648</f>
        <v>888.52</v>
      </c>
      <c r="D1648" t="str">
        <f>Orders!E1648</f>
        <v>R021</v>
      </c>
      <c r="E1648" t="str">
        <f>IFERROR(VLOOKUP(Orders!D1648,Products!$A$2:$C$61,3,FALSE),"Unknown")</f>
        <v>Grocery</v>
      </c>
      <c r="F1648" t="str">
        <f>IFERROR(VLOOKUP(Orders!C1648,Customers!$A$2:$E$301,5,FALSE),"Unknown")</f>
        <v>Retail</v>
      </c>
      <c r="G1648">
        <f>IFERROR(VLOOKUP(Orders!C1648,Customers!$A$2:$C$301,3,FALSE),"")</f>
        <v>55</v>
      </c>
      <c r="H1648" t="str">
        <f>VLOOKUP(D1648,Sales_Reps!$A$2:$C$31,3,FALSE)</f>
        <v>East</v>
      </c>
      <c r="I1648" s="44">
        <f t="shared" si="53"/>
        <v>45383</v>
      </c>
      <c r="L1648" t="str">
        <f>Orders!K1648</f>
        <v>Bengaluru</v>
      </c>
      <c r="M1648">
        <f>Orders!G1648</f>
        <v>970</v>
      </c>
      <c r="N1648">
        <f>IFERROR(VLOOKUP(Orders!D1648,Products!$A$2:$D$61,4,FALSE),"")</f>
        <v>434</v>
      </c>
      <c r="O1648">
        <f t="shared" si="54"/>
        <v>0.5525773195876289</v>
      </c>
      <c r="Q1648" t="str">
        <f>Orders!D1648</f>
        <v>PROD-030</v>
      </c>
    </row>
    <row r="1649" spans="1:17" x14ac:dyDescent="0.3">
      <c r="A1649" t="str">
        <f>Orders!A1649</f>
        <v>ORD-01648</v>
      </c>
      <c r="B1649">
        <f>Orders!B1649</f>
        <v>45400</v>
      </c>
      <c r="C1649">
        <f>Orders!I1649</f>
        <v>25049.599999999999</v>
      </c>
      <c r="D1649" t="str">
        <f>Orders!E1649</f>
        <v>R023</v>
      </c>
      <c r="E1649" t="str">
        <f>IFERROR(VLOOKUP(Orders!D1649,Products!$A$2:$C$61,3,FALSE),"Unknown")</f>
        <v>Beauty</v>
      </c>
      <c r="F1649" t="str">
        <f>IFERROR(VLOOKUP(Orders!C1649,Customers!$A$2:$E$301,5,FALSE),"Unknown")</f>
        <v>Retail</v>
      </c>
      <c r="G1649">
        <f>IFERROR(VLOOKUP(Orders!C1649,Customers!$A$2:$C$301,3,FALSE),"")</f>
        <v>57</v>
      </c>
      <c r="H1649" t="str">
        <f>VLOOKUP(D1649,Sales_Reps!$A$2:$C$31,3,FALSE)</f>
        <v>East</v>
      </c>
      <c r="I1649" s="44">
        <f t="shared" si="53"/>
        <v>45383</v>
      </c>
      <c r="L1649" t="str">
        <f>Orders!K1649</f>
        <v>Mumbai</v>
      </c>
      <c r="M1649">
        <f>Orders!G1649</f>
        <v>6080</v>
      </c>
      <c r="N1649">
        <f>IFERROR(VLOOKUP(Orders!D1649,Products!$A$2:$D$61,4,FALSE),"")</f>
        <v>2617</v>
      </c>
      <c r="O1649">
        <f t="shared" si="54"/>
        <v>0.56957236842105263</v>
      </c>
      <c r="Q1649" t="str">
        <f>Orders!D1649</f>
        <v>PROD-050</v>
      </c>
    </row>
    <row r="1650" spans="1:17" x14ac:dyDescent="0.3">
      <c r="A1650" t="str">
        <f>Orders!A1650</f>
        <v>ORD-01649</v>
      </c>
      <c r="B1650">
        <f>Orders!B1650</f>
        <v>45525</v>
      </c>
      <c r="C1650">
        <f>Orders!I1650</f>
        <v>11448.48</v>
      </c>
      <c r="D1650" t="str">
        <f>Orders!E1650</f>
        <v>R013</v>
      </c>
      <c r="E1650" t="str">
        <f>IFERROR(VLOOKUP(Orders!D1650,Products!$A$2:$C$61,3,FALSE),"Unknown")</f>
        <v>Grocery</v>
      </c>
      <c r="F1650" t="str">
        <f>IFERROR(VLOOKUP(Orders!C1650,Customers!$A$2:$E$301,5,FALSE),"Unknown")</f>
        <v>Retail</v>
      </c>
      <c r="G1650">
        <f>IFERROR(VLOOKUP(Orders!C1650,Customers!$A$2:$C$301,3,FALSE),"")</f>
        <v>47</v>
      </c>
      <c r="H1650" t="str">
        <f>VLOOKUP(D1650,Sales_Reps!$A$2:$C$31,3,FALSE)</f>
        <v>South</v>
      </c>
      <c r="I1650" s="44">
        <f t="shared" si="53"/>
        <v>45505</v>
      </c>
      <c r="L1650" t="str">
        <f>Orders!K1650</f>
        <v>Delhi</v>
      </c>
      <c r="M1650">
        <f>Orders!G1650</f>
        <v>3660</v>
      </c>
      <c r="N1650">
        <f>IFERROR(VLOOKUP(Orders!D1650,Products!$A$2:$D$61,4,FALSE),"")</f>
        <v>2214</v>
      </c>
      <c r="O1650">
        <f t="shared" si="54"/>
        <v>0.39508196721311473</v>
      </c>
      <c r="Q1650" t="str">
        <f>Orders!D1650</f>
        <v>PROD-028</v>
      </c>
    </row>
    <row r="1651" spans="1:17" x14ac:dyDescent="0.3">
      <c r="A1651" t="str">
        <f>Orders!A1651</f>
        <v>ORD-01650</v>
      </c>
      <c r="B1651">
        <f>Orders!B1651</f>
        <v>45462</v>
      </c>
      <c r="C1651">
        <f>Orders!I1651</f>
        <v>19403.46</v>
      </c>
      <c r="D1651" t="str">
        <f>Orders!E1651</f>
        <v>R008</v>
      </c>
      <c r="E1651" t="str">
        <f>IFERROR(VLOOKUP(Orders!D1651,Products!$A$2:$C$61,3,FALSE),"Unknown")</f>
        <v>Home</v>
      </c>
      <c r="F1651" t="str">
        <f>IFERROR(VLOOKUP(Orders!C1651,Customers!$A$2:$E$301,5,FALSE),"Unknown")</f>
        <v>SMB</v>
      </c>
      <c r="G1651">
        <f>IFERROR(VLOOKUP(Orders!C1651,Customers!$A$2:$C$301,3,FALSE),"")</f>
        <v>57</v>
      </c>
      <c r="H1651" t="str">
        <f>VLOOKUP(D1651,Sales_Reps!$A$2:$C$31,3,FALSE)</f>
        <v>North</v>
      </c>
      <c r="I1651" s="44">
        <f t="shared" si="53"/>
        <v>45444</v>
      </c>
      <c r="L1651" t="str">
        <f>Orders!K1651</f>
        <v>Chennai</v>
      </c>
      <c r="M1651">
        <f>Orders!G1651</f>
        <v>3730</v>
      </c>
      <c r="N1651">
        <f>IFERROR(VLOOKUP(Orders!D1651,Products!$A$2:$D$61,4,FALSE),"")</f>
        <v>2135</v>
      </c>
      <c r="O1651">
        <f t="shared" si="54"/>
        <v>0.42761394101876676</v>
      </c>
      <c r="Q1651" t="str">
        <f>Orders!D1651</f>
        <v>PROD-031</v>
      </c>
    </row>
    <row r="1652" spans="1:17" x14ac:dyDescent="0.3">
      <c r="A1652" t="str">
        <f>Orders!A1652</f>
        <v>ORD-01651</v>
      </c>
      <c r="B1652">
        <f>Orders!B1652</f>
        <v>45625</v>
      </c>
      <c r="C1652">
        <f>Orders!I1652</f>
        <v>24396.48</v>
      </c>
      <c r="D1652" t="str">
        <f>Orders!E1652</f>
        <v>R029</v>
      </c>
      <c r="E1652" t="str">
        <f>IFERROR(VLOOKUP(Orders!D1652,Products!$A$2:$C$61,3,FALSE),"Unknown")</f>
        <v>Electronics</v>
      </c>
      <c r="F1652" t="str">
        <f>IFERROR(VLOOKUP(Orders!C1652,Customers!$A$2:$E$301,5,FALSE),"Unknown")</f>
        <v>SMB</v>
      </c>
      <c r="G1652">
        <f>IFERROR(VLOOKUP(Orders!C1652,Customers!$A$2:$C$301,3,FALSE),"")</f>
        <v>55</v>
      </c>
      <c r="H1652" t="str">
        <f>VLOOKUP(D1652,Sales_Reps!$A$2:$C$31,3,FALSE)</f>
        <v>West</v>
      </c>
      <c r="I1652" s="44">
        <f t="shared" si="53"/>
        <v>45597</v>
      </c>
      <c r="L1652" t="str">
        <f>Orders!K1652</f>
        <v>Delhi</v>
      </c>
      <c r="M1652">
        <f>Orders!G1652</f>
        <v>3870</v>
      </c>
      <c r="N1652">
        <f>IFERROR(VLOOKUP(Orders!D1652,Products!$A$2:$D$61,4,FALSE),"")</f>
        <v>1559</v>
      </c>
      <c r="O1652">
        <f t="shared" si="54"/>
        <v>0.59715762273901807</v>
      </c>
      <c r="Q1652" t="str">
        <f>Orders!D1652</f>
        <v>PROD-004</v>
      </c>
    </row>
    <row r="1653" spans="1:17" x14ac:dyDescent="0.3">
      <c r="A1653" t="str">
        <f>Orders!A1653</f>
        <v>ORD-01652</v>
      </c>
      <c r="B1653">
        <f>Orders!B1653</f>
        <v>45390</v>
      </c>
      <c r="C1653">
        <f>Orders!I1653</f>
        <v>9494.4</v>
      </c>
      <c r="D1653" t="str">
        <f>Orders!E1653</f>
        <v>R016</v>
      </c>
      <c r="E1653" t="str">
        <f>IFERROR(VLOOKUP(Orders!D1653,Products!$A$2:$C$61,3,FALSE),"Unknown")</f>
        <v>Grocery</v>
      </c>
      <c r="F1653" t="str">
        <f>IFERROR(VLOOKUP(Orders!C1653,Customers!$A$2:$E$301,5,FALSE),"Unknown")</f>
        <v>Corporate</v>
      </c>
      <c r="G1653">
        <f>IFERROR(VLOOKUP(Orders!C1653,Customers!$A$2:$C$301,3,FALSE),"")</f>
        <v>42</v>
      </c>
      <c r="H1653" t="str">
        <f>VLOOKUP(D1653,Sales_Reps!$A$2:$C$31,3,FALSE)</f>
        <v>South</v>
      </c>
      <c r="I1653" s="44">
        <f t="shared" si="53"/>
        <v>45383</v>
      </c>
      <c r="L1653" t="str">
        <f>Orders!K1653</f>
        <v>Bengaluru</v>
      </c>
      <c r="M1653">
        <f>Orders!G1653</f>
        <v>2760</v>
      </c>
      <c r="N1653">
        <f>IFERROR(VLOOKUP(Orders!D1653,Products!$A$2:$D$61,4,FALSE),"")</f>
        <v>1435</v>
      </c>
      <c r="O1653">
        <f t="shared" si="54"/>
        <v>0.48007246376811596</v>
      </c>
      <c r="Q1653" t="str">
        <f>Orders!D1653</f>
        <v>PROD-021</v>
      </c>
    </row>
    <row r="1654" spans="1:17" x14ac:dyDescent="0.3">
      <c r="A1654" t="str">
        <f>Orders!A1654</f>
        <v>ORD-01653</v>
      </c>
      <c r="B1654">
        <f>Orders!B1654</f>
        <v>45597</v>
      </c>
      <c r="C1654">
        <f>Orders!I1654</f>
        <v>9948.4</v>
      </c>
      <c r="D1654" t="str">
        <f>Orders!E1654</f>
        <v>R020</v>
      </c>
      <c r="E1654" t="str">
        <f>IFERROR(VLOOKUP(Orders!D1654,Products!$A$2:$C$61,3,FALSE),"Unknown")</f>
        <v>Grocery</v>
      </c>
      <c r="F1654" t="str">
        <f>IFERROR(VLOOKUP(Orders!C1654,Customers!$A$2:$E$301,5,FALSE),"Unknown")</f>
        <v>Retail</v>
      </c>
      <c r="G1654">
        <f>IFERROR(VLOOKUP(Orders!C1654,Customers!$A$2:$C$301,3,FALSE),"")</f>
        <v>26</v>
      </c>
      <c r="H1654" t="str">
        <f>VLOOKUP(D1654,Sales_Reps!$A$2:$C$31,3,FALSE)</f>
        <v>East</v>
      </c>
      <c r="I1654" s="44">
        <f t="shared" si="53"/>
        <v>45597</v>
      </c>
      <c r="L1654" t="str">
        <f>Orders!K1654</f>
        <v>Hyderabad</v>
      </c>
      <c r="M1654">
        <f>Orders!G1654</f>
        <v>2380</v>
      </c>
      <c r="N1654">
        <f>IFERROR(VLOOKUP(Orders!D1654,Products!$A$2:$D$61,4,FALSE),"")</f>
        <v>1182</v>
      </c>
      <c r="O1654">
        <f t="shared" si="54"/>
        <v>0.50336134453781511</v>
      </c>
      <c r="Q1654" t="str">
        <f>Orders!D1654</f>
        <v>PROD-023</v>
      </c>
    </row>
    <row r="1655" spans="1:17" x14ac:dyDescent="0.3">
      <c r="A1655" t="str">
        <f>Orders!A1655</f>
        <v>ORD-01654</v>
      </c>
      <c r="B1655">
        <f>Orders!B1655</f>
        <v>45307</v>
      </c>
      <c r="C1655">
        <f>Orders!I1655</f>
        <v>9715.84</v>
      </c>
      <c r="D1655" t="str">
        <f>Orders!E1655</f>
        <v>R015</v>
      </c>
      <c r="E1655" t="str">
        <f>IFERROR(VLOOKUP(Orders!D1655,Products!$A$2:$C$61,3,FALSE),"Unknown")</f>
        <v>Beauty</v>
      </c>
      <c r="F1655" t="str">
        <f>IFERROR(VLOOKUP(Orders!C1655,Customers!$A$2:$E$301,5,FALSE),"Unknown")</f>
        <v>Unknown</v>
      </c>
      <c r="G1655" t="str">
        <f>IFERROR(VLOOKUP(Orders!C1655,Customers!$A$2:$C$301,3,FALSE),"")</f>
        <v/>
      </c>
      <c r="H1655" t="str">
        <f>VLOOKUP(D1655,Sales_Reps!$A$2:$C$31,3,FALSE)</f>
        <v>South</v>
      </c>
      <c r="I1655" s="44">
        <f t="shared" si="53"/>
        <v>45292</v>
      </c>
      <c r="L1655" t="str">
        <f>Orders!K1655</f>
        <v>Mumbai</v>
      </c>
      <c r="M1655">
        <f>Orders!G1655</f>
        <v>6080</v>
      </c>
      <c r="N1655">
        <f>IFERROR(VLOOKUP(Orders!D1655,Products!$A$2:$D$61,4,FALSE),"")</f>
        <v>2617</v>
      </c>
      <c r="O1655">
        <f t="shared" si="54"/>
        <v>0.56957236842105263</v>
      </c>
      <c r="Q1655" t="str">
        <f>Orders!D1655</f>
        <v>PROD-050</v>
      </c>
    </row>
    <row r="1656" spans="1:17" x14ac:dyDescent="0.3">
      <c r="A1656" t="str">
        <f>Orders!A1656</f>
        <v>ORD-01655</v>
      </c>
      <c r="B1656">
        <f>Orders!B1656</f>
        <v>45568</v>
      </c>
      <c r="C1656">
        <f>Orders!I1656</f>
        <v>1186.68</v>
      </c>
      <c r="D1656" t="str">
        <f>Orders!E1656</f>
        <v>R016</v>
      </c>
      <c r="E1656" t="str">
        <f>IFERROR(VLOOKUP(Orders!D1656,Products!$A$2:$C$61,3,FALSE),"Unknown")</f>
        <v>Apparel</v>
      </c>
      <c r="F1656" t="str">
        <f>IFERROR(VLOOKUP(Orders!C1656,Customers!$A$2:$E$301,5,FALSE),"Unknown")</f>
        <v>Retail</v>
      </c>
      <c r="G1656">
        <f>IFERROR(VLOOKUP(Orders!C1656,Customers!$A$2:$C$301,3,FALSE),"")</f>
        <v>38</v>
      </c>
      <c r="H1656" t="str">
        <f>VLOOKUP(D1656,Sales_Reps!$A$2:$C$31,3,FALSE)</f>
        <v>South</v>
      </c>
      <c r="I1656" s="44">
        <f t="shared" si="53"/>
        <v>45566</v>
      </c>
      <c r="L1656" t="str">
        <f>Orders!K1656</f>
        <v>Hyderabad</v>
      </c>
      <c r="M1656">
        <f>Orders!G1656</f>
        <v>620</v>
      </c>
      <c r="N1656">
        <f>IFERROR(VLOOKUP(Orders!D1656,Products!$A$2:$D$61,4,FALSE),"")</f>
        <v>396</v>
      </c>
      <c r="O1656">
        <f t="shared" si="54"/>
        <v>0.36129032258064514</v>
      </c>
      <c r="Q1656" t="str">
        <f>Orders!D1656</f>
        <v>PROD-016</v>
      </c>
    </row>
    <row r="1657" spans="1:17" x14ac:dyDescent="0.3">
      <c r="A1657" t="str">
        <f>Orders!A1657</f>
        <v>ORD-01656</v>
      </c>
      <c r="B1657">
        <f>Orders!B1657</f>
        <v>45654</v>
      </c>
      <c r="C1657">
        <f>Orders!I1657</f>
        <v>25491.69</v>
      </c>
      <c r="D1657" t="str">
        <f>Orders!E1657</f>
        <v>R012</v>
      </c>
      <c r="E1657" t="str">
        <f>IFERROR(VLOOKUP(Orders!D1657,Products!$A$2:$C$61,3,FALSE),"Unknown")</f>
        <v>Electronics</v>
      </c>
      <c r="F1657" t="str">
        <f>IFERROR(VLOOKUP(Orders!C1657,Customers!$A$2:$E$301,5,FALSE),"Unknown")</f>
        <v>Corporate</v>
      </c>
      <c r="G1657">
        <f>IFERROR(VLOOKUP(Orders!C1657,Customers!$A$2:$C$301,3,FALSE),"")</f>
        <v>35</v>
      </c>
      <c r="H1657" t="str">
        <f>VLOOKUP(D1657,Sales_Reps!$A$2:$C$31,3,FALSE)</f>
        <v>South</v>
      </c>
      <c r="I1657" s="44">
        <f t="shared" si="53"/>
        <v>45627</v>
      </c>
      <c r="L1657" t="str">
        <f>Orders!K1657</f>
        <v>Chennai</v>
      </c>
      <c r="M1657">
        <f>Orders!G1657</f>
        <v>3870</v>
      </c>
      <c r="N1657">
        <f>IFERROR(VLOOKUP(Orders!D1657,Products!$A$2:$D$61,4,FALSE),"")</f>
        <v>1559</v>
      </c>
      <c r="O1657">
        <f t="shared" si="54"/>
        <v>0.59715762273901807</v>
      </c>
      <c r="Q1657" t="str">
        <f>Orders!D1657</f>
        <v>PROD-004</v>
      </c>
    </row>
    <row r="1658" spans="1:17" x14ac:dyDescent="0.3">
      <c r="A1658" t="str">
        <f>Orders!A1658</f>
        <v>ORD-01657</v>
      </c>
      <c r="B1658">
        <f>Orders!B1658</f>
        <v>45412</v>
      </c>
      <c r="C1658">
        <f>Orders!I1658</f>
        <v>21534.240000000002</v>
      </c>
      <c r="D1658" t="str">
        <f>Orders!E1658</f>
        <v>R020</v>
      </c>
      <c r="E1658" t="str">
        <f>IFERROR(VLOOKUP(Orders!D1658,Products!$A$2:$C$61,3,FALSE),"Unknown")</f>
        <v>Electronics</v>
      </c>
      <c r="F1658" t="str">
        <f>IFERROR(VLOOKUP(Orders!C1658,Customers!$A$2:$E$301,5,FALSE),"Unknown")</f>
        <v>SMB</v>
      </c>
      <c r="G1658">
        <f>IFERROR(VLOOKUP(Orders!C1658,Customers!$A$2:$C$301,3,FALSE),"")</f>
        <v>44</v>
      </c>
      <c r="H1658" t="str">
        <f>VLOOKUP(D1658,Sales_Reps!$A$2:$C$31,3,FALSE)</f>
        <v>East</v>
      </c>
      <c r="I1658" s="44">
        <f t="shared" si="53"/>
        <v>45383</v>
      </c>
      <c r="L1658" t="str">
        <f>Orders!K1658</f>
        <v>Bengaluru</v>
      </c>
      <c r="M1658">
        <f>Orders!G1658</f>
        <v>3570</v>
      </c>
      <c r="N1658">
        <f>IFERROR(VLOOKUP(Orders!D1658,Products!$A$2:$D$61,4,FALSE),"")</f>
        <v>1665</v>
      </c>
      <c r="O1658">
        <f t="shared" si="54"/>
        <v>0.53361344537815125</v>
      </c>
      <c r="Q1658" t="str">
        <f>Orders!D1658</f>
        <v>PROD-003</v>
      </c>
    </row>
    <row r="1659" spans="1:17" x14ac:dyDescent="0.3">
      <c r="A1659" t="str">
        <f>Orders!A1659</f>
        <v>ORD-01658</v>
      </c>
      <c r="B1659">
        <f>Orders!B1659</f>
        <v>45653</v>
      </c>
      <c r="C1659">
        <f>Orders!I1659</f>
        <v>2885.63</v>
      </c>
      <c r="D1659" t="str">
        <f>Orders!E1659</f>
        <v>R010</v>
      </c>
      <c r="E1659" t="str">
        <f>IFERROR(VLOOKUP(Orders!D1659,Products!$A$2:$C$61,3,FALSE),"Unknown")</f>
        <v>Grocery</v>
      </c>
      <c r="F1659" t="str">
        <f>IFERROR(VLOOKUP(Orders!C1659,Customers!$A$2:$E$301,5,FALSE),"Unknown")</f>
        <v>Retail</v>
      </c>
      <c r="G1659">
        <f>IFERROR(VLOOKUP(Orders!C1659,Customers!$A$2:$C$301,3,FALSE),"")</f>
        <v>34</v>
      </c>
      <c r="H1659" t="str">
        <f>VLOOKUP(D1659,Sales_Reps!$A$2:$C$31,3,FALSE)</f>
        <v>South</v>
      </c>
      <c r="I1659" s="44">
        <f t="shared" si="53"/>
        <v>45627</v>
      </c>
      <c r="L1659" t="str">
        <f>Orders!K1659</f>
        <v>Bengaluru</v>
      </c>
      <c r="M1659">
        <f>Orders!G1659</f>
        <v>4070</v>
      </c>
      <c r="N1659">
        <f>IFERROR(VLOOKUP(Orders!D1659,Products!$A$2:$D$61,4,FALSE),"")</f>
        <v>2027</v>
      </c>
      <c r="O1659">
        <f t="shared" si="54"/>
        <v>0.50196560196560192</v>
      </c>
      <c r="Q1659" t="str">
        <f>Orders!D1659</f>
        <v>PROD-026</v>
      </c>
    </row>
    <row r="1660" spans="1:17" x14ac:dyDescent="0.3">
      <c r="A1660" t="str">
        <f>Orders!A1660</f>
        <v>ORD-01659</v>
      </c>
      <c r="B1660">
        <f>Orders!B1660</f>
        <v>45568</v>
      </c>
      <c r="C1660">
        <f>Orders!I1660</f>
        <v>673.22</v>
      </c>
      <c r="D1660" t="str">
        <f>Orders!E1660</f>
        <v>R017</v>
      </c>
      <c r="E1660" t="str">
        <f>IFERROR(VLOOKUP(Orders!D1660,Products!$A$2:$C$61,3,FALSE),"Unknown")</f>
        <v>Apparel</v>
      </c>
      <c r="F1660" t="str">
        <f>IFERROR(VLOOKUP(Orders!C1660,Customers!$A$2:$E$301,5,FALSE),"Unknown")</f>
        <v>SMB</v>
      </c>
      <c r="G1660">
        <f>IFERROR(VLOOKUP(Orders!C1660,Customers!$A$2:$C$301,3,FALSE),"")</f>
        <v>26</v>
      </c>
      <c r="H1660" t="str">
        <f>VLOOKUP(D1660,Sales_Reps!$A$2:$C$31,3,FALSE)</f>
        <v>East</v>
      </c>
      <c r="I1660" s="44">
        <f t="shared" si="53"/>
        <v>45566</v>
      </c>
      <c r="L1660" t="str">
        <f>Orders!K1660</f>
        <v>Bengaluru</v>
      </c>
      <c r="M1660">
        <f>Orders!G1660</f>
        <v>820</v>
      </c>
      <c r="N1660">
        <f>IFERROR(VLOOKUP(Orders!D1660,Products!$A$2:$D$61,4,FALSE),"")</f>
        <v>391</v>
      </c>
      <c r="O1660">
        <f t="shared" si="54"/>
        <v>0.52317073170731709</v>
      </c>
      <c r="Q1660" t="str">
        <f>Orders!D1660</f>
        <v>PROD-020</v>
      </c>
    </row>
    <row r="1661" spans="1:17" x14ac:dyDescent="0.3">
      <c r="A1661" t="str">
        <f>Orders!A1661</f>
        <v>ORD-01660</v>
      </c>
      <c r="B1661">
        <f>Orders!B1661</f>
        <v>45643</v>
      </c>
      <c r="C1661">
        <f>Orders!I1661</f>
        <v>11143.8</v>
      </c>
      <c r="D1661" t="str">
        <f>Orders!E1661</f>
        <v>R029</v>
      </c>
      <c r="E1661" t="str">
        <f>IFERROR(VLOOKUP(Orders!D1661,Products!$A$2:$C$61,3,FALSE),"Unknown")</f>
        <v>Beauty</v>
      </c>
      <c r="F1661" t="str">
        <f>IFERROR(VLOOKUP(Orders!C1661,Customers!$A$2:$E$301,5,FALSE),"Unknown")</f>
        <v>Retail</v>
      </c>
      <c r="G1661">
        <f>IFERROR(VLOOKUP(Orders!C1661,Customers!$A$2:$C$301,3,FALSE),"")</f>
        <v>29</v>
      </c>
      <c r="H1661" t="str">
        <f>VLOOKUP(D1661,Sales_Reps!$A$2:$C$31,3,FALSE)</f>
        <v>West</v>
      </c>
      <c r="I1661" s="44">
        <f t="shared" si="53"/>
        <v>45627</v>
      </c>
      <c r="L1661" t="str">
        <f>Orders!K1661</f>
        <v>Hyderabad</v>
      </c>
      <c r="M1661">
        <f>Orders!G1661</f>
        <v>3020</v>
      </c>
      <c r="N1661">
        <f>IFERROR(VLOOKUP(Orders!D1661,Products!$A$2:$D$61,4,FALSE),"")</f>
        <v>1626</v>
      </c>
      <c r="O1661">
        <f t="shared" si="54"/>
        <v>0.46158940397350995</v>
      </c>
      <c r="Q1661" t="str">
        <f>Orders!D1661</f>
        <v>PROD-045</v>
      </c>
    </row>
    <row r="1662" spans="1:17" x14ac:dyDescent="0.3">
      <c r="A1662" t="str">
        <f>Orders!A1662</f>
        <v>ORD-01661</v>
      </c>
      <c r="B1662">
        <f>Orders!B1662</f>
        <v>45411</v>
      </c>
      <c r="C1662">
        <f>Orders!I1662</f>
        <v>30117.599999999999</v>
      </c>
      <c r="D1662" t="str">
        <f>Orders!E1662</f>
        <v>R022</v>
      </c>
      <c r="E1662" t="str">
        <f>IFERROR(VLOOKUP(Orders!D1662,Products!$A$2:$C$61,3,FALSE),"Unknown")</f>
        <v>Apparel</v>
      </c>
      <c r="F1662" t="str">
        <f>IFERROR(VLOOKUP(Orders!C1662,Customers!$A$2:$E$301,5,FALSE),"Unknown")</f>
        <v>Corporate</v>
      </c>
      <c r="G1662">
        <f>IFERROR(VLOOKUP(Orders!C1662,Customers!$A$2:$C$301,3,FALSE),"")</f>
        <v>22</v>
      </c>
      <c r="H1662" t="str">
        <f>VLOOKUP(D1662,Sales_Reps!$A$2:$C$31,3,FALSE)</f>
        <v>East</v>
      </c>
      <c r="I1662" s="44">
        <f t="shared" si="53"/>
        <v>45383</v>
      </c>
      <c r="L1662" t="str">
        <f>Orders!K1662</f>
        <v>Hyderabad</v>
      </c>
      <c r="M1662">
        <f>Orders!G1662</f>
        <v>3560</v>
      </c>
      <c r="N1662">
        <f>IFERROR(VLOOKUP(Orders!D1662,Products!$A$2:$D$61,4,FALSE),"")</f>
        <v>2629</v>
      </c>
      <c r="O1662">
        <f t="shared" si="54"/>
        <v>0.26151685393258428</v>
      </c>
      <c r="Q1662" t="str">
        <f>Orders!D1662</f>
        <v>PROD-018</v>
      </c>
    </row>
    <row r="1663" spans="1:17" x14ac:dyDescent="0.3">
      <c r="A1663" t="str">
        <f>Orders!A1663</f>
        <v>ORD-01662</v>
      </c>
      <c r="B1663">
        <f>Orders!B1663</f>
        <v>45467</v>
      </c>
      <c r="C1663">
        <f>Orders!I1663</f>
        <v>9235.9500000000007</v>
      </c>
      <c r="D1663" t="str">
        <f>Orders!E1663</f>
        <v>R001</v>
      </c>
      <c r="E1663" t="str">
        <f>IFERROR(VLOOKUP(Orders!D1663,Products!$A$2:$C$61,3,FALSE),"Unknown")</f>
        <v>Beauty</v>
      </c>
      <c r="F1663" t="str">
        <f>IFERROR(VLOOKUP(Orders!C1663,Customers!$A$2:$E$301,5,FALSE),"Unknown")</f>
        <v>Corporate</v>
      </c>
      <c r="G1663">
        <f>IFERROR(VLOOKUP(Orders!C1663,Customers!$A$2:$C$301,3,FALSE),"")</f>
        <v>29</v>
      </c>
      <c r="H1663" t="str">
        <f>VLOOKUP(D1663,Sales_Reps!$A$2:$C$31,3,FALSE)</f>
        <v>North</v>
      </c>
      <c r="I1663" s="44">
        <f t="shared" si="53"/>
        <v>45444</v>
      </c>
      <c r="L1663" t="str">
        <f>Orders!K1663</f>
        <v>Hyderabad</v>
      </c>
      <c r="M1663">
        <f>Orders!G1663</f>
        <v>3350</v>
      </c>
      <c r="N1663">
        <f>IFERROR(VLOOKUP(Orders!D1663,Products!$A$2:$D$61,4,FALSE),"")</f>
        <v>1728</v>
      </c>
      <c r="O1663">
        <f t="shared" si="54"/>
        <v>0.48417910447761192</v>
      </c>
      <c r="Q1663" t="str">
        <f>Orders!D1663</f>
        <v>PROD-043</v>
      </c>
    </row>
    <row r="1664" spans="1:17" x14ac:dyDescent="0.3">
      <c r="A1664" t="str">
        <f>Orders!A1664</f>
        <v>ORD-01663</v>
      </c>
      <c r="B1664">
        <f>Orders!B1664</f>
        <v>45542</v>
      </c>
      <c r="C1664">
        <f>Orders!I1664</f>
        <v>21297</v>
      </c>
      <c r="D1664" t="str">
        <f>Orders!E1664</f>
        <v>R025</v>
      </c>
      <c r="E1664" t="str">
        <f>IFERROR(VLOOKUP(Orders!D1664,Products!$A$2:$C$61,3,FALSE),"Unknown")</f>
        <v>Beauty</v>
      </c>
      <c r="F1664" t="str">
        <f>IFERROR(VLOOKUP(Orders!C1664,Customers!$A$2:$E$301,5,FALSE),"Unknown")</f>
        <v>Retail</v>
      </c>
      <c r="G1664">
        <f>IFERROR(VLOOKUP(Orders!C1664,Customers!$A$2:$C$301,3,FALSE),"")</f>
        <v>48</v>
      </c>
      <c r="H1664" t="str">
        <f>VLOOKUP(D1664,Sales_Reps!$A$2:$C$31,3,FALSE)</f>
        <v>West</v>
      </c>
      <c r="I1664" s="44">
        <f t="shared" si="53"/>
        <v>45536</v>
      </c>
      <c r="L1664" t="str">
        <f>Orders!K1664</f>
        <v>Pune</v>
      </c>
      <c r="M1664">
        <f>Orders!G1664</f>
        <v>2290</v>
      </c>
      <c r="N1664">
        <f>IFERROR(VLOOKUP(Orders!D1664,Products!$A$2:$D$61,4,FALSE),"")</f>
        <v>1219</v>
      </c>
      <c r="O1664">
        <f t="shared" si="54"/>
        <v>0.46768558951965067</v>
      </c>
      <c r="Q1664" t="str">
        <f>Orders!D1664</f>
        <v>PROD-042</v>
      </c>
    </row>
    <row r="1665" spans="1:17" x14ac:dyDescent="0.3">
      <c r="A1665" t="str">
        <f>Orders!A1665</f>
        <v>ORD-01664</v>
      </c>
      <c r="B1665">
        <f>Orders!B1665</f>
        <v>45483</v>
      </c>
      <c r="C1665">
        <f>Orders!I1665</f>
        <v>15393.96</v>
      </c>
      <c r="D1665" t="str">
        <f>Orders!E1665</f>
        <v>R003</v>
      </c>
      <c r="E1665" t="str">
        <f>IFERROR(VLOOKUP(Orders!D1665,Products!$A$2:$C$61,3,FALSE),"Unknown")</f>
        <v>Grocery</v>
      </c>
      <c r="F1665" t="str">
        <f>IFERROR(VLOOKUP(Orders!C1665,Customers!$A$2:$E$301,5,FALSE),"Unknown")</f>
        <v>Retail</v>
      </c>
      <c r="G1665">
        <f>IFERROR(VLOOKUP(Orders!C1665,Customers!$A$2:$C$301,3,FALSE),"")</f>
        <v>61</v>
      </c>
      <c r="H1665" t="str">
        <f>VLOOKUP(D1665,Sales_Reps!$A$2:$C$31,3,FALSE)</f>
        <v>North</v>
      </c>
      <c r="I1665" s="44">
        <f t="shared" si="53"/>
        <v>45474</v>
      </c>
      <c r="L1665" t="str">
        <f>Orders!K1665</f>
        <v>Mumbai</v>
      </c>
      <c r="M1665">
        <f>Orders!G1665</f>
        <v>3660</v>
      </c>
      <c r="N1665">
        <f>IFERROR(VLOOKUP(Orders!D1665,Products!$A$2:$D$61,4,FALSE),"")</f>
        <v>2214</v>
      </c>
      <c r="O1665">
        <f t="shared" si="54"/>
        <v>0.39508196721311473</v>
      </c>
      <c r="Q1665" t="str">
        <f>Orders!D1665</f>
        <v>PROD-028</v>
      </c>
    </row>
    <row r="1666" spans="1:17" x14ac:dyDescent="0.3">
      <c r="A1666" t="str">
        <f>Orders!A1666</f>
        <v>ORD-01665</v>
      </c>
      <c r="B1666">
        <f>Orders!B1666</f>
        <v>45426</v>
      </c>
      <c r="C1666">
        <f>Orders!I1666</f>
        <v>20232.96</v>
      </c>
      <c r="D1666" t="str">
        <f>Orders!E1666</f>
        <v>R013</v>
      </c>
      <c r="E1666" t="str">
        <f>IFERROR(VLOOKUP(Orders!D1666,Products!$A$2:$C$61,3,FALSE),"Unknown")</f>
        <v>Electronics</v>
      </c>
      <c r="F1666" t="str">
        <f>IFERROR(VLOOKUP(Orders!C1666,Customers!$A$2:$E$301,5,FALSE),"Unknown")</f>
        <v>Corporate</v>
      </c>
      <c r="G1666">
        <f>IFERROR(VLOOKUP(Orders!C1666,Customers!$A$2:$C$301,3,FALSE),"")</f>
        <v>55</v>
      </c>
      <c r="H1666" t="str">
        <f>VLOOKUP(D1666,Sales_Reps!$A$2:$C$31,3,FALSE)</f>
        <v>South</v>
      </c>
      <c r="I1666" s="44">
        <f t="shared" si="53"/>
        <v>45413</v>
      </c>
      <c r="L1666" t="str">
        <f>Orders!K1666</f>
        <v>Mumbai</v>
      </c>
      <c r="M1666">
        <f>Orders!G1666</f>
        <v>2640</v>
      </c>
      <c r="N1666">
        <f>IFERROR(VLOOKUP(Orders!D1666,Products!$A$2:$D$61,4,FALSE),"")</f>
        <v>1149</v>
      </c>
      <c r="O1666">
        <f t="shared" si="54"/>
        <v>0.56477272727272732</v>
      </c>
      <c r="Q1666" t="str">
        <f>Orders!D1666</f>
        <v>PROD-010</v>
      </c>
    </row>
    <row r="1667" spans="1:17" x14ac:dyDescent="0.3">
      <c r="A1667" t="str">
        <f>Orders!A1667</f>
        <v>ORD-01666</v>
      </c>
      <c r="B1667">
        <f>Orders!B1667</f>
        <v>45386</v>
      </c>
      <c r="C1667">
        <f>Orders!I1667</f>
        <v>1739</v>
      </c>
      <c r="D1667" t="str">
        <f>Orders!E1667</f>
        <v>R006</v>
      </c>
      <c r="E1667" t="str">
        <f>IFERROR(VLOOKUP(Orders!D1667,Products!$A$2:$C$61,3,FALSE),"Unknown")</f>
        <v>Home</v>
      </c>
      <c r="F1667" t="str">
        <f>IFERROR(VLOOKUP(Orders!C1667,Customers!$A$2:$E$301,5,FALSE),"Unknown")</f>
        <v>Retail</v>
      </c>
      <c r="G1667">
        <f>IFERROR(VLOOKUP(Orders!C1667,Customers!$A$2:$C$301,3,FALSE),"")</f>
        <v>63</v>
      </c>
      <c r="H1667" t="str">
        <f>VLOOKUP(D1667,Sales_Reps!$A$2:$C$31,3,FALSE)</f>
        <v>North</v>
      </c>
      <c r="I1667" s="44">
        <f t="shared" ref="I1667:I1730" si="55">DATE(YEAR(B1667),MONTH(B1667),1)</f>
        <v>45383</v>
      </c>
      <c r="L1667" t="str">
        <f>Orders!K1667</f>
        <v>Pune</v>
      </c>
      <c r="M1667">
        <f>Orders!G1667</f>
        <v>370</v>
      </c>
      <c r="N1667">
        <f>IFERROR(VLOOKUP(Orders!D1667,Products!$A$2:$D$61,4,FALSE),"")</f>
        <v>288</v>
      </c>
      <c r="O1667">
        <f t="shared" ref="O1667:O1730" si="56">IF(OR(N1667="",M1667&lt;=0),"",(M1667-N1667)/M1667)</f>
        <v>0.22162162162162163</v>
      </c>
      <c r="Q1667" t="str">
        <f>Orders!D1667</f>
        <v>PROD-032</v>
      </c>
    </row>
    <row r="1668" spans="1:17" x14ac:dyDescent="0.3">
      <c r="A1668" t="str">
        <f>Orders!A1668</f>
        <v>ORD-01667</v>
      </c>
      <c r="B1668">
        <f>Orders!B1668</f>
        <v>45377</v>
      </c>
      <c r="C1668">
        <f>Orders!I1668</f>
        <v>19469.79</v>
      </c>
      <c r="D1668" t="str">
        <f>Orders!E1668</f>
        <v>R007</v>
      </c>
      <c r="E1668" t="str">
        <f>IFERROR(VLOOKUP(Orders!D1668,Products!$A$2:$C$61,3,FALSE),"Unknown")</f>
        <v>Grocery</v>
      </c>
      <c r="F1668" t="str">
        <f>IFERROR(VLOOKUP(Orders!C1668,Customers!$A$2:$E$301,5,FALSE),"Unknown")</f>
        <v>Retail</v>
      </c>
      <c r="G1668">
        <f>IFERROR(VLOOKUP(Orders!C1668,Customers!$A$2:$C$301,3,FALSE),"")</f>
        <v>49</v>
      </c>
      <c r="H1668" t="str">
        <f>VLOOKUP(D1668,Sales_Reps!$A$2:$C$31,3,FALSE)</f>
        <v>North</v>
      </c>
      <c r="I1668" s="44">
        <f t="shared" si="55"/>
        <v>45352</v>
      </c>
      <c r="L1668" t="str">
        <f>Orders!K1668</f>
        <v>Chennai</v>
      </c>
      <c r="M1668">
        <f>Orders!G1668</f>
        <v>2270</v>
      </c>
      <c r="N1668">
        <f>IFERROR(VLOOKUP(Orders!D1668,Products!$A$2:$D$61,4,FALSE),"")</f>
        <v>1203</v>
      </c>
      <c r="O1668">
        <f t="shared" si="56"/>
        <v>0.47004405286343615</v>
      </c>
      <c r="Q1668" t="str">
        <f>Orders!D1668</f>
        <v>PROD-024</v>
      </c>
    </row>
    <row r="1669" spans="1:17" x14ac:dyDescent="0.3">
      <c r="A1669" t="str">
        <f>Orders!A1669</f>
        <v>ORD-01668</v>
      </c>
      <c r="B1669">
        <f>Orders!B1669</f>
        <v>45414</v>
      </c>
      <c r="C1669">
        <f>Orders!I1669</f>
        <v>2607</v>
      </c>
      <c r="D1669" t="str">
        <f>Orders!E1669</f>
        <v>R011</v>
      </c>
      <c r="E1669" t="str">
        <f>IFERROR(VLOOKUP(Orders!D1669,Products!$A$2:$C$61,3,FALSE),"Unknown")</f>
        <v>Home</v>
      </c>
      <c r="F1669" t="str">
        <f>IFERROR(VLOOKUP(Orders!C1669,Customers!$A$2:$E$301,5,FALSE),"Unknown")</f>
        <v>Retail</v>
      </c>
      <c r="G1669">
        <f>IFERROR(VLOOKUP(Orders!C1669,Customers!$A$2:$C$301,3,FALSE),"")</f>
        <v>37</v>
      </c>
      <c r="H1669" t="str">
        <f>VLOOKUP(D1669,Sales_Reps!$A$2:$C$31,3,FALSE)</f>
        <v>South</v>
      </c>
      <c r="I1669" s="44">
        <f t="shared" si="55"/>
        <v>45413</v>
      </c>
      <c r="L1669" t="str">
        <f>Orders!K1669</f>
        <v>Bengaluru</v>
      </c>
      <c r="M1669">
        <f>Orders!G1669</f>
        <v>660</v>
      </c>
      <c r="N1669">
        <f>IFERROR(VLOOKUP(Orders!D1669,Products!$A$2:$D$61,4,FALSE),"")</f>
        <v>329</v>
      </c>
      <c r="O1669">
        <f t="shared" si="56"/>
        <v>0.50151515151515147</v>
      </c>
      <c r="Q1669" t="str">
        <f>Orders!D1669</f>
        <v>PROD-037</v>
      </c>
    </row>
    <row r="1670" spans="1:17" x14ac:dyDescent="0.3">
      <c r="A1670" t="str">
        <f>Orders!A1670</f>
        <v>ORD-01669</v>
      </c>
      <c r="B1670">
        <f>Orders!B1670</f>
        <v>45407</v>
      </c>
      <c r="C1670">
        <f>Orders!I1670</f>
        <v>1779.84</v>
      </c>
      <c r="D1670" t="str">
        <f>Orders!E1670</f>
        <v>R003</v>
      </c>
      <c r="E1670" t="str">
        <f>IFERROR(VLOOKUP(Orders!D1670,Products!$A$2:$C$61,3,FALSE),"Unknown")</f>
        <v>Sports</v>
      </c>
      <c r="F1670" t="str">
        <f>IFERROR(VLOOKUP(Orders!C1670,Customers!$A$2:$E$301,5,FALSE),"Unknown")</f>
        <v>Unknown</v>
      </c>
      <c r="G1670" t="str">
        <f>IFERROR(VLOOKUP(Orders!C1670,Customers!$A$2:$C$301,3,FALSE),"")</f>
        <v/>
      </c>
      <c r="H1670" t="str">
        <f>VLOOKUP(D1670,Sales_Reps!$A$2:$C$31,3,FALSE)</f>
        <v>North</v>
      </c>
      <c r="I1670" s="44">
        <f t="shared" si="55"/>
        <v>45383</v>
      </c>
      <c r="L1670" t="str">
        <f>Orders!K1670</f>
        <v>Bengaluru</v>
      </c>
      <c r="M1670">
        <f>Orders!G1670</f>
        <v>960</v>
      </c>
      <c r="N1670">
        <f>IFERROR(VLOOKUP(Orders!D1670,Products!$A$2:$D$61,4,FALSE),"")</f>
        <v>705</v>
      </c>
      <c r="O1670">
        <f t="shared" si="56"/>
        <v>0.265625</v>
      </c>
      <c r="Q1670" t="str">
        <f>Orders!D1670</f>
        <v>PROD-057</v>
      </c>
    </row>
    <row r="1671" spans="1:17" x14ac:dyDescent="0.3">
      <c r="A1671" t="str">
        <f>Orders!A1671</f>
        <v>ORD-01670</v>
      </c>
      <c r="B1671">
        <f>Orders!B1671</f>
        <v>45509</v>
      </c>
      <c r="C1671">
        <f>Orders!I1671</f>
        <v>12087</v>
      </c>
      <c r="D1671" t="str">
        <f>Orders!E1671</f>
        <v>R009</v>
      </c>
      <c r="E1671" t="str">
        <f>IFERROR(VLOOKUP(Orders!D1671,Products!$A$2:$C$61,3,FALSE),"Unknown")</f>
        <v>Beauty</v>
      </c>
      <c r="F1671" t="str">
        <f>IFERROR(VLOOKUP(Orders!C1671,Customers!$A$2:$E$301,5,FALSE),"Unknown")</f>
        <v>Retail</v>
      </c>
      <c r="G1671">
        <f>IFERROR(VLOOKUP(Orders!C1671,Customers!$A$2:$C$301,3,FALSE),"")</f>
        <v>32</v>
      </c>
      <c r="H1671" t="str">
        <f>VLOOKUP(D1671,Sales_Reps!$A$2:$C$31,3,FALSE)</f>
        <v>South</v>
      </c>
      <c r="I1671" s="44">
        <f t="shared" si="55"/>
        <v>45505</v>
      </c>
      <c r="L1671" t="str">
        <f>Orders!K1671</f>
        <v>Hyderabad</v>
      </c>
      <c r="M1671">
        <f>Orders!G1671</f>
        <v>5100</v>
      </c>
      <c r="N1671">
        <f>IFERROR(VLOOKUP(Orders!D1671,Products!$A$2:$D$61,4,FALSE),"")</f>
        <v>2237</v>
      </c>
      <c r="O1671">
        <f t="shared" si="56"/>
        <v>0.56137254901960787</v>
      </c>
      <c r="Q1671" t="str">
        <f>Orders!D1671</f>
        <v>PROD-048</v>
      </c>
    </row>
    <row r="1672" spans="1:17" x14ac:dyDescent="0.3">
      <c r="A1672" t="str">
        <f>Orders!A1672</f>
        <v>ORD-01671</v>
      </c>
      <c r="B1672">
        <f>Orders!B1672</f>
        <v>45566</v>
      </c>
      <c r="C1672">
        <f>Orders!I1672</f>
        <v>8200.2000000000007</v>
      </c>
      <c r="D1672" t="str">
        <f>Orders!E1672</f>
        <v>R004</v>
      </c>
      <c r="E1672" t="str">
        <f>IFERROR(VLOOKUP(Orders!D1672,Products!$A$2:$C$61,3,FALSE),"Unknown")</f>
        <v>Apparel</v>
      </c>
      <c r="F1672" t="str">
        <f>IFERROR(VLOOKUP(Orders!C1672,Customers!$A$2:$E$301,5,FALSE),"Unknown")</f>
        <v>Retail</v>
      </c>
      <c r="G1672">
        <f>IFERROR(VLOOKUP(Orders!C1672,Customers!$A$2:$C$301,3,FALSE),"")</f>
        <v>25</v>
      </c>
      <c r="H1672" t="str">
        <f>VLOOKUP(D1672,Sales_Reps!$A$2:$C$31,3,FALSE)</f>
        <v>North</v>
      </c>
      <c r="I1672" s="44">
        <f t="shared" si="55"/>
        <v>45566</v>
      </c>
      <c r="L1672" t="str">
        <f>Orders!K1672</f>
        <v>Pune</v>
      </c>
      <c r="M1672">
        <f>Orders!G1672</f>
        <v>3160</v>
      </c>
      <c r="N1672">
        <f>IFERROR(VLOOKUP(Orders!D1672,Products!$A$2:$D$61,4,FALSE),"")</f>
        <v>1886</v>
      </c>
      <c r="O1672">
        <f t="shared" si="56"/>
        <v>0.4031645569620253</v>
      </c>
      <c r="Q1672" t="str">
        <f>Orders!D1672</f>
        <v>PROD-012</v>
      </c>
    </row>
    <row r="1673" spans="1:17" x14ac:dyDescent="0.3">
      <c r="A1673" t="str">
        <f>Orders!A1673</f>
        <v>ORD-01672</v>
      </c>
      <c r="B1673">
        <f>Orders!B1673</f>
        <v>45524</v>
      </c>
      <c r="C1673">
        <f>Orders!I1673</f>
        <v>11337.48</v>
      </c>
      <c r="D1673" t="str">
        <f>Orders!E1673</f>
        <v>R005</v>
      </c>
      <c r="E1673" t="str">
        <f>IFERROR(VLOOKUP(Orders!D1673,Products!$A$2:$C$61,3,FALSE),"Unknown")</f>
        <v>Beauty</v>
      </c>
      <c r="F1673" t="str">
        <f>IFERROR(VLOOKUP(Orders!C1673,Customers!$A$2:$E$301,5,FALSE),"Unknown")</f>
        <v>Unknown</v>
      </c>
      <c r="G1673" t="str">
        <f>IFERROR(VLOOKUP(Orders!C1673,Customers!$A$2:$C$301,3,FALSE),"")</f>
        <v/>
      </c>
      <c r="H1673" t="str">
        <f>VLOOKUP(D1673,Sales_Reps!$A$2:$C$31,3,FALSE)</f>
        <v>North</v>
      </c>
      <c r="I1673" s="44">
        <f t="shared" si="55"/>
        <v>45505</v>
      </c>
      <c r="L1673" t="str">
        <f>Orders!K1673</f>
        <v>Bengaluru</v>
      </c>
      <c r="M1673">
        <f>Orders!G1673</f>
        <v>1540</v>
      </c>
      <c r="N1673">
        <f>IFERROR(VLOOKUP(Orders!D1673,Products!$A$2:$D$61,4,FALSE),"")</f>
        <v>647</v>
      </c>
      <c r="O1673">
        <f t="shared" si="56"/>
        <v>0.57987012987012987</v>
      </c>
      <c r="Q1673" t="str">
        <f>Orders!D1673</f>
        <v>PROD-041</v>
      </c>
    </row>
    <row r="1674" spans="1:17" x14ac:dyDescent="0.3">
      <c r="A1674" t="str">
        <f>Orders!A1674</f>
        <v>ORD-01673</v>
      </c>
      <c r="B1674">
        <f>Orders!B1674</f>
        <v>45431</v>
      </c>
      <c r="C1674">
        <f>Orders!I1674</f>
        <v>10156.799999999999</v>
      </c>
      <c r="D1674" t="str">
        <f>Orders!E1674</f>
        <v>R024</v>
      </c>
      <c r="E1674" t="str">
        <f>IFERROR(VLOOKUP(Orders!D1674,Products!$A$2:$C$61,3,FALSE),"Unknown")</f>
        <v>Beauty</v>
      </c>
      <c r="F1674" t="str">
        <f>IFERROR(VLOOKUP(Orders!C1674,Customers!$A$2:$E$301,5,FALSE),"Unknown")</f>
        <v>SMB</v>
      </c>
      <c r="G1674">
        <f>IFERROR(VLOOKUP(Orders!C1674,Customers!$A$2:$C$301,3,FALSE),"")</f>
        <v>46</v>
      </c>
      <c r="H1674" t="str">
        <f>VLOOKUP(D1674,Sales_Reps!$A$2:$C$31,3,FALSE)</f>
        <v>West</v>
      </c>
      <c r="I1674" s="44">
        <f t="shared" si="55"/>
        <v>45413</v>
      </c>
      <c r="L1674" t="str">
        <f>Orders!K1674</f>
        <v>Bengaluru</v>
      </c>
      <c r="M1674">
        <f>Orders!G1674</f>
        <v>3450</v>
      </c>
      <c r="N1674">
        <f>IFERROR(VLOOKUP(Orders!D1674,Products!$A$2:$D$61,4,FALSE),"")</f>
        <v>2420</v>
      </c>
      <c r="O1674">
        <f t="shared" si="56"/>
        <v>0.29855072463768118</v>
      </c>
      <c r="Q1674" t="str">
        <f>Orders!D1674</f>
        <v>PROD-047</v>
      </c>
    </row>
    <row r="1675" spans="1:17" x14ac:dyDescent="0.3">
      <c r="A1675" t="str">
        <f>Orders!A1675</f>
        <v>ORD-01674</v>
      </c>
      <c r="B1675">
        <f>Orders!B1675</f>
        <v>45598</v>
      </c>
      <c r="C1675">
        <f>Orders!I1675</f>
        <v>8863.1200000000008</v>
      </c>
      <c r="D1675" t="str">
        <f>Orders!E1675</f>
        <v>R026</v>
      </c>
      <c r="E1675" t="str">
        <f>IFERROR(VLOOKUP(Orders!D1675,Products!$A$2:$C$61,3,FALSE),"Unknown")</f>
        <v>Grocery</v>
      </c>
      <c r="F1675" t="str">
        <f>IFERROR(VLOOKUP(Orders!C1675,Customers!$A$2:$E$301,5,FALSE),"Unknown")</f>
        <v>Retail</v>
      </c>
      <c r="G1675">
        <f>IFERROR(VLOOKUP(Orders!C1675,Customers!$A$2:$C$301,3,FALSE),"")</f>
        <v>61</v>
      </c>
      <c r="H1675" t="str">
        <f>VLOOKUP(D1675,Sales_Reps!$A$2:$C$31,3,FALSE)</f>
        <v>West</v>
      </c>
      <c r="I1675" s="44">
        <f t="shared" si="55"/>
        <v>45597</v>
      </c>
      <c r="L1675" t="str">
        <f>Orders!K1675</f>
        <v>Mumbai</v>
      </c>
      <c r="M1675">
        <f>Orders!G1675</f>
        <v>2380</v>
      </c>
      <c r="N1675">
        <f>IFERROR(VLOOKUP(Orders!D1675,Products!$A$2:$D$61,4,FALSE),"")</f>
        <v>1182</v>
      </c>
      <c r="O1675">
        <f t="shared" si="56"/>
        <v>0.50336134453781511</v>
      </c>
      <c r="Q1675" t="str">
        <f>Orders!D1675</f>
        <v>PROD-023</v>
      </c>
    </row>
    <row r="1676" spans="1:17" x14ac:dyDescent="0.3">
      <c r="A1676" t="str">
        <f>Orders!A1676</f>
        <v>ORD-01675</v>
      </c>
      <c r="B1676">
        <f>Orders!B1676</f>
        <v>45419</v>
      </c>
      <c r="C1676">
        <f>Orders!I1676</f>
        <v>5751.66</v>
      </c>
      <c r="D1676" t="str">
        <f>Orders!E1676</f>
        <v>R003</v>
      </c>
      <c r="E1676" t="str">
        <f>IFERROR(VLOOKUP(Orders!D1676,Products!$A$2:$C$61,3,FALSE),"Unknown")</f>
        <v>Home</v>
      </c>
      <c r="F1676" t="str">
        <f>IFERROR(VLOOKUP(Orders!C1676,Customers!$A$2:$E$301,5,FALSE),"Unknown")</f>
        <v>Retail</v>
      </c>
      <c r="G1676">
        <f>IFERROR(VLOOKUP(Orders!C1676,Customers!$A$2:$C$301,3,FALSE),"")</f>
        <v>25</v>
      </c>
      <c r="H1676" t="str">
        <f>VLOOKUP(D1676,Sales_Reps!$A$2:$C$31,3,FALSE)</f>
        <v>North</v>
      </c>
      <c r="I1676" s="44">
        <f t="shared" si="55"/>
        <v>45413</v>
      </c>
      <c r="L1676" t="str">
        <f>Orders!K1676</f>
        <v>Pune</v>
      </c>
      <c r="M1676">
        <f>Orders!G1676</f>
        <v>3730</v>
      </c>
      <c r="N1676">
        <f>IFERROR(VLOOKUP(Orders!D1676,Products!$A$2:$D$61,4,FALSE),"")</f>
        <v>2135</v>
      </c>
      <c r="O1676">
        <f t="shared" si="56"/>
        <v>0.42761394101876676</v>
      </c>
      <c r="Q1676" t="str">
        <f>Orders!D1676</f>
        <v>PROD-031</v>
      </c>
    </row>
    <row r="1677" spans="1:17" x14ac:dyDescent="0.3">
      <c r="A1677" t="str">
        <f>Orders!A1677</f>
        <v>ORD-01676</v>
      </c>
      <c r="B1677">
        <f>Orders!B1677</f>
        <v>45549</v>
      </c>
      <c r="C1677">
        <f>Orders!I1677</f>
        <v>21385</v>
      </c>
      <c r="D1677" t="str">
        <f>Orders!E1677</f>
        <v>R002</v>
      </c>
      <c r="E1677" t="str">
        <f>IFERROR(VLOOKUP(Orders!D1677,Products!$A$2:$C$61,3,FALSE),"Unknown")</f>
        <v>Home</v>
      </c>
      <c r="F1677" t="str">
        <f>IFERROR(VLOOKUP(Orders!C1677,Customers!$A$2:$E$301,5,FALSE),"Unknown")</f>
        <v>Retail</v>
      </c>
      <c r="G1677">
        <f>IFERROR(VLOOKUP(Orders!C1677,Customers!$A$2:$C$301,3,FALSE),"")</f>
        <v>43</v>
      </c>
      <c r="H1677" t="str">
        <f>VLOOKUP(D1677,Sales_Reps!$A$2:$C$31,3,FALSE)</f>
        <v>North</v>
      </c>
      <c r="I1677" s="44">
        <f t="shared" si="55"/>
        <v>45536</v>
      </c>
      <c r="L1677" t="str">
        <f>Orders!K1677</f>
        <v>Pune</v>
      </c>
      <c r="M1677">
        <f>Orders!G1677</f>
        <v>3250</v>
      </c>
      <c r="N1677">
        <f>IFERROR(VLOOKUP(Orders!D1677,Products!$A$2:$D$61,4,FALSE),"")</f>
        <v>1556</v>
      </c>
      <c r="O1677">
        <f t="shared" si="56"/>
        <v>0.52123076923076928</v>
      </c>
      <c r="Q1677" t="str">
        <f>Orders!D1677</f>
        <v>PROD-036</v>
      </c>
    </row>
    <row r="1678" spans="1:17" x14ac:dyDescent="0.3">
      <c r="A1678" t="str">
        <f>Orders!A1678</f>
        <v>ORD-01677</v>
      </c>
      <c r="B1678">
        <f>Orders!B1678</f>
        <v>45519</v>
      </c>
      <c r="C1678">
        <f>Orders!I1678</f>
        <v>3739.32</v>
      </c>
      <c r="D1678" t="str">
        <f>Orders!E1678</f>
        <v>R020</v>
      </c>
      <c r="E1678" t="str">
        <f>IFERROR(VLOOKUP(Orders!D1678,Products!$A$2:$C$61,3,FALSE),"Unknown")</f>
        <v>Sports</v>
      </c>
      <c r="F1678" t="str">
        <f>IFERROR(VLOOKUP(Orders!C1678,Customers!$A$2:$E$301,5,FALSE),"Unknown")</f>
        <v>Retail</v>
      </c>
      <c r="G1678">
        <f>IFERROR(VLOOKUP(Orders!C1678,Customers!$A$2:$C$301,3,FALSE),"")</f>
        <v>35</v>
      </c>
      <c r="H1678" t="str">
        <f>VLOOKUP(D1678,Sales_Reps!$A$2:$C$31,3,FALSE)</f>
        <v>East</v>
      </c>
      <c r="I1678" s="44">
        <f t="shared" si="55"/>
        <v>45505</v>
      </c>
      <c r="L1678" t="str">
        <f>Orders!K1678</f>
        <v>Pune</v>
      </c>
      <c r="M1678">
        <f>Orders!G1678</f>
        <v>470</v>
      </c>
      <c r="N1678">
        <f>IFERROR(VLOOKUP(Orders!D1678,Products!$A$2:$D$61,4,FALSE),"")</f>
        <v>302</v>
      </c>
      <c r="O1678">
        <f t="shared" si="56"/>
        <v>0.35744680851063831</v>
      </c>
      <c r="Q1678" t="str">
        <f>Orders!D1678</f>
        <v>PROD-053</v>
      </c>
    </row>
    <row r="1679" spans="1:17" x14ac:dyDescent="0.3">
      <c r="A1679" t="str">
        <f>Orders!A1679</f>
        <v>ORD-01678</v>
      </c>
      <c r="B1679">
        <f>Orders!B1679</f>
        <v>45574</v>
      </c>
      <c r="C1679">
        <f>Orders!I1679</f>
        <v>8289.7999999999993</v>
      </c>
      <c r="D1679" t="str">
        <f>Orders!E1679</f>
        <v>R026</v>
      </c>
      <c r="E1679" t="str">
        <f>IFERROR(VLOOKUP(Orders!D1679,Products!$A$2:$C$61,3,FALSE),"Unknown")</f>
        <v>Beauty</v>
      </c>
      <c r="F1679" t="str">
        <f>IFERROR(VLOOKUP(Orders!C1679,Customers!$A$2:$E$301,5,FALSE),"Unknown")</f>
        <v>Corporate</v>
      </c>
      <c r="G1679">
        <f>IFERROR(VLOOKUP(Orders!C1679,Customers!$A$2:$C$301,3,FALSE),"")</f>
        <v>43</v>
      </c>
      <c r="H1679" t="str">
        <f>VLOOKUP(D1679,Sales_Reps!$A$2:$C$31,3,FALSE)</f>
        <v>West</v>
      </c>
      <c r="I1679" s="44">
        <f t="shared" si="55"/>
        <v>45566</v>
      </c>
      <c r="L1679" t="str">
        <f>Orders!K1679</f>
        <v>Bengaluru</v>
      </c>
      <c r="M1679">
        <f>Orders!G1679</f>
        <v>2290</v>
      </c>
      <c r="N1679">
        <f>IFERROR(VLOOKUP(Orders!D1679,Products!$A$2:$D$61,4,FALSE),"")</f>
        <v>1219</v>
      </c>
      <c r="O1679">
        <f t="shared" si="56"/>
        <v>0.46768558951965067</v>
      </c>
      <c r="Q1679" t="str">
        <f>Orders!D1679</f>
        <v>PROD-042</v>
      </c>
    </row>
    <row r="1680" spans="1:17" x14ac:dyDescent="0.3">
      <c r="A1680" t="str">
        <f>Orders!A1680</f>
        <v>ORD-01679</v>
      </c>
      <c r="B1680">
        <f>Orders!B1680</f>
        <v>45462</v>
      </c>
      <c r="C1680">
        <f>Orders!I1680</f>
        <v>7001.28</v>
      </c>
      <c r="D1680" t="str">
        <f>Orders!E1680</f>
        <v>R029</v>
      </c>
      <c r="E1680" t="str">
        <f>IFERROR(VLOOKUP(Orders!D1680,Products!$A$2:$C$61,3,FALSE),"Unknown")</f>
        <v>Electronics</v>
      </c>
      <c r="F1680" t="str">
        <f>IFERROR(VLOOKUP(Orders!C1680,Customers!$A$2:$E$301,5,FALSE),"Unknown")</f>
        <v>Retail</v>
      </c>
      <c r="G1680">
        <f>IFERROR(VLOOKUP(Orders!C1680,Customers!$A$2:$C$301,3,FALSE),"")</f>
        <v>31</v>
      </c>
      <c r="H1680" t="str">
        <f>VLOOKUP(D1680,Sales_Reps!$A$2:$C$31,3,FALSE)</f>
        <v>West</v>
      </c>
      <c r="I1680" s="44">
        <f t="shared" si="55"/>
        <v>45444</v>
      </c>
      <c r="L1680" t="str">
        <f>Orders!K1680</f>
        <v>Hyderabad</v>
      </c>
      <c r="M1680">
        <f>Orders!G1680</f>
        <v>1430</v>
      </c>
      <c r="N1680">
        <f>IFERROR(VLOOKUP(Orders!D1680,Products!$A$2:$D$61,4,FALSE),"")</f>
        <v>861</v>
      </c>
      <c r="O1680">
        <f t="shared" si="56"/>
        <v>0.39790209790209791</v>
      </c>
      <c r="Q1680" t="str">
        <f>Orders!D1680</f>
        <v>PROD-007</v>
      </c>
    </row>
    <row r="1681" spans="1:17" x14ac:dyDescent="0.3">
      <c r="A1681" t="str">
        <f>Orders!A1681</f>
        <v>ORD-01680</v>
      </c>
      <c r="B1681">
        <f>Orders!B1681</f>
        <v>45336</v>
      </c>
      <c r="C1681">
        <f>Orders!I1681</f>
        <v>16116.1</v>
      </c>
      <c r="D1681" t="str">
        <f>Orders!E1681</f>
        <v>R002</v>
      </c>
      <c r="E1681" t="str">
        <f>IFERROR(VLOOKUP(Orders!D1681,Products!$A$2:$C$61,3,FALSE),"Unknown")</f>
        <v>Sports</v>
      </c>
      <c r="F1681" t="str">
        <f>IFERROR(VLOOKUP(Orders!C1681,Customers!$A$2:$E$301,5,FALSE),"Unknown")</f>
        <v>Retail</v>
      </c>
      <c r="G1681">
        <f>IFERROR(VLOOKUP(Orders!C1681,Customers!$A$2:$C$301,3,FALSE),"")</f>
        <v>54</v>
      </c>
      <c r="H1681" t="str">
        <f>VLOOKUP(D1681,Sales_Reps!$A$2:$C$31,3,FALSE)</f>
        <v>North</v>
      </c>
      <c r="I1681" s="44">
        <f t="shared" si="55"/>
        <v>45323</v>
      </c>
      <c r="L1681" t="str">
        <f>Orders!K1681</f>
        <v>Bengaluru</v>
      </c>
      <c r="M1681">
        <f>Orders!G1681</f>
        <v>2860</v>
      </c>
      <c r="N1681">
        <f>IFERROR(VLOOKUP(Orders!D1681,Products!$A$2:$D$61,4,FALSE),"")</f>
        <v>2028</v>
      </c>
      <c r="O1681">
        <f t="shared" si="56"/>
        <v>0.29090909090909089</v>
      </c>
      <c r="Q1681" t="str">
        <f>Orders!D1681</f>
        <v>PROD-055</v>
      </c>
    </row>
    <row r="1682" spans="1:17" x14ac:dyDescent="0.3">
      <c r="A1682" t="str">
        <f>Orders!A1682</f>
        <v>ORD-01681</v>
      </c>
      <c r="B1682">
        <f>Orders!B1682</f>
        <v>45439</v>
      </c>
      <c r="C1682">
        <f>Orders!I1682</f>
        <v>20562</v>
      </c>
      <c r="D1682" t="str">
        <f>Orders!E1682</f>
        <v>R020</v>
      </c>
      <c r="E1682" t="str">
        <f>IFERROR(VLOOKUP(Orders!D1682,Products!$A$2:$C$61,3,FALSE),"Unknown")</f>
        <v>Beauty</v>
      </c>
      <c r="F1682" t="str">
        <f>IFERROR(VLOOKUP(Orders!C1682,Customers!$A$2:$E$301,5,FALSE),"Unknown")</f>
        <v>Retail</v>
      </c>
      <c r="G1682">
        <f>IFERROR(VLOOKUP(Orders!C1682,Customers!$A$2:$C$301,3,FALSE),"")</f>
        <v>65</v>
      </c>
      <c r="H1682" t="str">
        <f>VLOOKUP(D1682,Sales_Reps!$A$2:$C$31,3,FALSE)</f>
        <v>East</v>
      </c>
      <c r="I1682" s="44">
        <f t="shared" si="55"/>
        <v>45413</v>
      </c>
      <c r="L1682" t="str">
        <f>Orders!K1682</f>
        <v>Mumbai</v>
      </c>
      <c r="M1682">
        <f>Orders!G1682</f>
        <v>3450</v>
      </c>
      <c r="N1682">
        <f>IFERROR(VLOOKUP(Orders!D1682,Products!$A$2:$D$61,4,FALSE),"")</f>
        <v>2420</v>
      </c>
      <c r="O1682">
        <f t="shared" si="56"/>
        <v>0.29855072463768118</v>
      </c>
      <c r="Q1682" t="str">
        <f>Orders!D1682</f>
        <v>PROD-047</v>
      </c>
    </row>
    <row r="1683" spans="1:17" x14ac:dyDescent="0.3">
      <c r="A1683" t="str">
        <f>Orders!A1683</f>
        <v>ORD-01682</v>
      </c>
      <c r="B1683">
        <f>Orders!B1683</f>
        <v>45578</v>
      </c>
      <c r="C1683">
        <f>Orders!I1683</f>
        <v>32113.759999999998</v>
      </c>
      <c r="D1683" t="str">
        <f>Orders!E1683</f>
        <v>R019</v>
      </c>
      <c r="E1683" t="str">
        <f>IFERROR(VLOOKUP(Orders!D1683,Products!$A$2:$C$61,3,FALSE),"Unknown")</f>
        <v>Sports</v>
      </c>
      <c r="F1683" t="str">
        <f>IFERROR(VLOOKUP(Orders!C1683,Customers!$A$2:$E$301,5,FALSE),"Unknown")</f>
        <v>Retail</v>
      </c>
      <c r="G1683">
        <f>IFERROR(VLOOKUP(Orders!C1683,Customers!$A$2:$C$301,3,FALSE),"")</f>
        <v>62</v>
      </c>
      <c r="H1683" t="str">
        <f>VLOOKUP(D1683,Sales_Reps!$A$2:$C$31,3,FALSE)</f>
        <v>East</v>
      </c>
      <c r="I1683" s="44">
        <f t="shared" si="55"/>
        <v>45566</v>
      </c>
      <c r="L1683" t="str">
        <f>Orders!K1683</f>
        <v>Pune</v>
      </c>
      <c r="M1683">
        <f>Orders!G1683</f>
        <v>5410</v>
      </c>
      <c r="N1683">
        <f>IFERROR(VLOOKUP(Orders!D1683,Products!$A$2:$D$61,4,FALSE),"")</f>
        <v>2265</v>
      </c>
      <c r="O1683">
        <f t="shared" si="56"/>
        <v>0.58133086876155271</v>
      </c>
      <c r="Q1683" t="str">
        <f>Orders!D1683</f>
        <v>PROD-052</v>
      </c>
    </row>
    <row r="1684" spans="1:17" x14ac:dyDescent="0.3">
      <c r="A1684" t="str">
        <f>Orders!A1684</f>
        <v>ORD-01683</v>
      </c>
      <c r="B1684">
        <f>Orders!B1684</f>
        <v>45588</v>
      </c>
      <c r="C1684">
        <f>Orders!I1684</f>
        <v>2397.6</v>
      </c>
      <c r="D1684" t="str">
        <f>Orders!E1684</f>
        <v>R025</v>
      </c>
      <c r="E1684" t="str">
        <f>IFERROR(VLOOKUP(Orders!D1684,Products!$A$2:$C$61,3,FALSE),"Unknown")</f>
        <v>Home</v>
      </c>
      <c r="F1684" t="str">
        <f>IFERROR(VLOOKUP(Orders!C1684,Customers!$A$2:$E$301,5,FALSE),"Unknown")</f>
        <v>Retail</v>
      </c>
      <c r="G1684">
        <f>IFERROR(VLOOKUP(Orders!C1684,Customers!$A$2:$C$301,3,FALSE),"")</f>
        <v>62</v>
      </c>
      <c r="H1684" t="str">
        <f>VLOOKUP(D1684,Sales_Reps!$A$2:$C$31,3,FALSE)</f>
        <v>West</v>
      </c>
      <c r="I1684" s="44">
        <f t="shared" si="55"/>
        <v>45566</v>
      </c>
      <c r="L1684" t="str">
        <f>Orders!K1684</f>
        <v>Pune</v>
      </c>
      <c r="M1684">
        <f>Orders!G1684</f>
        <v>1080</v>
      </c>
      <c r="N1684">
        <f>IFERROR(VLOOKUP(Orders!D1684,Products!$A$2:$D$61,4,FALSE),"")</f>
        <v>519</v>
      </c>
      <c r="O1684">
        <f t="shared" si="56"/>
        <v>0.51944444444444449</v>
      </c>
      <c r="Q1684" t="str">
        <f>Orders!D1684</f>
        <v>PROD-040</v>
      </c>
    </row>
    <row r="1685" spans="1:17" x14ac:dyDescent="0.3">
      <c r="A1685" t="str">
        <f>Orders!A1685</f>
        <v>ORD-01684</v>
      </c>
      <c r="B1685">
        <f>Orders!B1685</f>
        <v>45354</v>
      </c>
      <c r="C1685">
        <f>Orders!I1685</f>
        <v>19493.759999999998</v>
      </c>
      <c r="D1685" t="str">
        <f>Orders!E1685</f>
        <v>R019</v>
      </c>
      <c r="E1685" t="str">
        <f>IFERROR(VLOOKUP(Orders!D1685,Products!$A$2:$C$61,3,FALSE),"Unknown")</f>
        <v>Sports</v>
      </c>
      <c r="F1685" t="str">
        <f>IFERROR(VLOOKUP(Orders!C1685,Customers!$A$2:$E$301,5,FALSE),"Unknown")</f>
        <v>Retail</v>
      </c>
      <c r="G1685">
        <f>IFERROR(VLOOKUP(Orders!C1685,Customers!$A$2:$C$301,3,FALSE),"")</f>
        <v>46</v>
      </c>
      <c r="H1685" t="str">
        <f>VLOOKUP(D1685,Sales_Reps!$A$2:$C$31,3,FALSE)</f>
        <v>East</v>
      </c>
      <c r="I1685" s="44">
        <f t="shared" si="55"/>
        <v>45352</v>
      </c>
      <c r="L1685" t="str">
        <f>Orders!K1685</f>
        <v>Hyderabad</v>
      </c>
      <c r="M1685">
        <f>Orders!G1685</f>
        <v>2860</v>
      </c>
      <c r="N1685">
        <f>IFERROR(VLOOKUP(Orders!D1685,Products!$A$2:$D$61,4,FALSE),"")</f>
        <v>2028</v>
      </c>
      <c r="O1685">
        <f t="shared" si="56"/>
        <v>0.29090909090909089</v>
      </c>
      <c r="Q1685" t="str">
        <f>Orders!D1685</f>
        <v>PROD-055</v>
      </c>
    </row>
    <row r="1686" spans="1:17" x14ac:dyDescent="0.3">
      <c r="A1686" t="str">
        <f>Orders!A1686</f>
        <v>ORD-01685</v>
      </c>
      <c r="B1686">
        <f>Orders!B1686</f>
        <v>45332</v>
      </c>
      <c r="C1686">
        <f>Orders!I1686</f>
        <v>11101.52</v>
      </c>
      <c r="D1686" t="str">
        <f>Orders!E1686</f>
        <v>R013</v>
      </c>
      <c r="E1686" t="str">
        <f>IFERROR(VLOOKUP(Orders!D1686,Products!$A$2:$C$61,3,FALSE),"Unknown")</f>
        <v>Beauty</v>
      </c>
      <c r="F1686" t="str">
        <f>IFERROR(VLOOKUP(Orders!C1686,Customers!$A$2:$E$301,5,FALSE),"Unknown")</f>
        <v>Unknown</v>
      </c>
      <c r="G1686" t="str">
        <f>IFERROR(VLOOKUP(Orders!C1686,Customers!$A$2:$C$301,3,FALSE),"")</f>
        <v/>
      </c>
      <c r="H1686" t="str">
        <f>VLOOKUP(D1686,Sales_Reps!$A$2:$C$31,3,FALSE)</f>
        <v>South</v>
      </c>
      <c r="I1686" s="44">
        <f t="shared" si="55"/>
        <v>45323</v>
      </c>
      <c r="L1686" t="str">
        <f>Orders!K1686</f>
        <v>Hyderabad</v>
      </c>
      <c r="M1686">
        <f>Orders!G1686</f>
        <v>3020</v>
      </c>
      <c r="N1686">
        <f>IFERROR(VLOOKUP(Orders!D1686,Products!$A$2:$D$61,4,FALSE),"")</f>
        <v>1626</v>
      </c>
      <c r="O1686">
        <f t="shared" si="56"/>
        <v>0.46158940397350995</v>
      </c>
      <c r="Q1686" t="str">
        <f>Orders!D1686</f>
        <v>PROD-045</v>
      </c>
    </row>
    <row r="1687" spans="1:17" x14ac:dyDescent="0.3">
      <c r="A1687" t="str">
        <f>Orders!A1687</f>
        <v>ORD-01686</v>
      </c>
      <c r="B1687">
        <f>Orders!B1687</f>
        <v>45649</v>
      </c>
      <c r="C1687">
        <f>Orders!I1687</f>
        <v>3594.24</v>
      </c>
      <c r="D1687" t="str">
        <f>Orders!E1687</f>
        <v>R025</v>
      </c>
      <c r="E1687" t="str">
        <f>IFERROR(VLOOKUP(Orders!D1687,Products!$A$2:$C$61,3,FALSE),"Unknown")</f>
        <v>Sports</v>
      </c>
      <c r="F1687" t="str">
        <f>IFERROR(VLOOKUP(Orders!C1687,Customers!$A$2:$E$301,5,FALSE),"Unknown")</f>
        <v>SMB</v>
      </c>
      <c r="G1687">
        <f>IFERROR(VLOOKUP(Orders!C1687,Customers!$A$2:$C$301,3,FALSE),"")</f>
        <v>54</v>
      </c>
      <c r="H1687" t="str">
        <f>VLOOKUP(D1687,Sales_Reps!$A$2:$C$31,3,FALSE)</f>
        <v>West</v>
      </c>
      <c r="I1687" s="44">
        <f t="shared" si="55"/>
        <v>45627</v>
      </c>
      <c r="L1687" t="str">
        <f>Orders!K1687</f>
        <v>Mumbai</v>
      </c>
      <c r="M1687">
        <f>Orders!G1687</f>
        <v>960</v>
      </c>
      <c r="N1687">
        <f>IFERROR(VLOOKUP(Orders!D1687,Products!$A$2:$D$61,4,FALSE),"")</f>
        <v>705</v>
      </c>
      <c r="O1687">
        <f t="shared" si="56"/>
        <v>0.265625</v>
      </c>
      <c r="Q1687" t="str">
        <f>Orders!D1687</f>
        <v>PROD-057</v>
      </c>
    </row>
    <row r="1688" spans="1:17" x14ac:dyDescent="0.3">
      <c r="A1688" t="str">
        <f>Orders!A1688</f>
        <v>ORD-01687</v>
      </c>
      <c r="B1688">
        <f>Orders!B1688</f>
        <v>45596</v>
      </c>
      <c r="C1688">
        <f>Orders!I1688</f>
        <v>13018.68</v>
      </c>
      <c r="D1688" t="str">
        <f>Orders!E1688</f>
        <v>R029</v>
      </c>
      <c r="E1688" t="str">
        <f>IFERROR(VLOOKUP(Orders!D1688,Products!$A$2:$C$61,3,FALSE),"Unknown")</f>
        <v>Electronics</v>
      </c>
      <c r="F1688" t="str">
        <f>IFERROR(VLOOKUP(Orders!C1688,Customers!$A$2:$E$301,5,FALSE),"Unknown")</f>
        <v>Corporate</v>
      </c>
      <c r="G1688">
        <f>IFERROR(VLOOKUP(Orders!C1688,Customers!$A$2:$C$301,3,FALSE),"")</f>
        <v>60</v>
      </c>
      <c r="H1688" t="str">
        <f>VLOOKUP(D1688,Sales_Reps!$A$2:$C$31,3,FALSE)</f>
        <v>West</v>
      </c>
      <c r="I1688" s="44">
        <f t="shared" si="55"/>
        <v>45566</v>
      </c>
      <c r="L1688" t="str">
        <f>Orders!K1688</f>
        <v>Mumbai</v>
      </c>
      <c r="M1688">
        <f>Orders!G1688</f>
        <v>3870</v>
      </c>
      <c r="N1688">
        <f>IFERROR(VLOOKUP(Orders!D1688,Products!$A$2:$D$61,4,FALSE),"")</f>
        <v>1559</v>
      </c>
      <c r="O1688">
        <f t="shared" si="56"/>
        <v>0.59715762273901807</v>
      </c>
      <c r="Q1688" t="str">
        <f>Orders!D1688</f>
        <v>PROD-004</v>
      </c>
    </row>
    <row r="1689" spans="1:17" x14ac:dyDescent="0.3">
      <c r="A1689" t="str">
        <f>Orders!A1689</f>
        <v>ORD-01688</v>
      </c>
      <c r="B1689">
        <f>Orders!B1689</f>
        <v>45378</v>
      </c>
      <c r="C1689">
        <f>Orders!I1689</f>
        <v>11091.6</v>
      </c>
      <c r="D1689" t="str">
        <f>Orders!E1689</f>
        <v>R020</v>
      </c>
      <c r="E1689" t="str">
        <f>IFERROR(VLOOKUP(Orders!D1689,Products!$A$2:$C$61,3,FALSE),"Unknown")</f>
        <v>Apparel</v>
      </c>
      <c r="F1689" t="str">
        <f>IFERROR(VLOOKUP(Orders!C1689,Customers!$A$2:$E$301,5,FALSE),"Unknown")</f>
        <v>Retail</v>
      </c>
      <c r="G1689">
        <f>IFERROR(VLOOKUP(Orders!C1689,Customers!$A$2:$C$301,3,FALSE),"")</f>
        <v>39</v>
      </c>
      <c r="H1689" t="str">
        <f>VLOOKUP(D1689,Sales_Reps!$A$2:$C$31,3,FALSE)</f>
        <v>East</v>
      </c>
      <c r="I1689" s="44">
        <f t="shared" si="55"/>
        <v>45352</v>
      </c>
      <c r="L1689" t="str">
        <f>Orders!K1689</f>
        <v>Pune</v>
      </c>
      <c r="M1689">
        <f>Orders!G1689</f>
        <v>3160</v>
      </c>
      <c r="N1689">
        <f>IFERROR(VLOOKUP(Orders!D1689,Products!$A$2:$D$61,4,FALSE),"")</f>
        <v>1886</v>
      </c>
      <c r="O1689">
        <f t="shared" si="56"/>
        <v>0.4031645569620253</v>
      </c>
      <c r="Q1689" t="str">
        <f>Orders!D1689</f>
        <v>PROD-012</v>
      </c>
    </row>
    <row r="1690" spans="1:17" x14ac:dyDescent="0.3">
      <c r="A1690" t="str">
        <f>Orders!A1690</f>
        <v>ORD-01689</v>
      </c>
      <c r="B1690">
        <f>Orders!B1690</f>
        <v>45403</v>
      </c>
      <c r="C1690">
        <f>Orders!I1690</f>
        <v>12178.5</v>
      </c>
      <c r="D1690" t="str">
        <f>Orders!E1690</f>
        <v>R027</v>
      </c>
      <c r="E1690" t="str">
        <f>IFERROR(VLOOKUP(Orders!D1690,Products!$A$2:$C$61,3,FALSE),"Unknown")</f>
        <v>Beauty</v>
      </c>
      <c r="F1690" t="str">
        <f>IFERROR(VLOOKUP(Orders!C1690,Customers!$A$2:$E$301,5,FALSE),"Unknown")</f>
        <v>SMB</v>
      </c>
      <c r="G1690">
        <f>IFERROR(VLOOKUP(Orders!C1690,Customers!$A$2:$C$301,3,FALSE),"")</f>
        <v>30</v>
      </c>
      <c r="H1690" t="str">
        <f>VLOOKUP(D1690,Sales_Reps!$A$2:$C$31,3,FALSE)</f>
        <v>West</v>
      </c>
      <c r="I1690" s="44">
        <f t="shared" si="55"/>
        <v>45383</v>
      </c>
      <c r="L1690" t="str">
        <f>Orders!K1690</f>
        <v>Pune</v>
      </c>
      <c r="M1690">
        <f>Orders!G1690</f>
        <v>3450</v>
      </c>
      <c r="N1690">
        <f>IFERROR(VLOOKUP(Orders!D1690,Products!$A$2:$D$61,4,FALSE),"")</f>
        <v>2420</v>
      </c>
      <c r="O1690">
        <f t="shared" si="56"/>
        <v>0.29855072463768118</v>
      </c>
      <c r="Q1690" t="str">
        <f>Orders!D1690</f>
        <v>PROD-047</v>
      </c>
    </row>
    <row r="1691" spans="1:17" x14ac:dyDescent="0.3">
      <c r="A1691" t="str">
        <f>Orders!A1691</f>
        <v>ORD-01690</v>
      </c>
      <c r="B1691">
        <f>Orders!B1691</f>
        <v>45535</v>
      </c>
      <c r="C1691">
        <f>Orders!I1691</f>
        <v>7008</v>
      </c>
      <c r="D1691" t="str">
        <f>Orders!E1691</f>
        <v>R018</v>
      </c>
      <c r="E1691" t="str">
        <f>IFERROR(VLOOKUP(Orders!D1691,Products!$A$2:$C$61,3,FALSE),"Unknown")</f>
        <v>Beauty</v>
      </c>
      <c r="F1691" t="str">
        <f>IFERROR(VLOOKUP(Orders!C1691,Customers!$A$2:$E$301,5,FALSE),"Unknown")</f>
        <v>SMB</v>
      </c>
      <c r="G1691">
        <f>IFERROR(VLOOKUP(Orders!C1691,Customers!$A$2:$C$301,3,FALSE),"")</f>
        <v>26</v>
      </c>
      <c r="H1691" t="str">
        <f>VLOOKUP(D1691,Sales_Reps!$A$2:$C$31,3,FALSE)</f>
        <v>East</v>
      </c>
      <c r="I1691" s="44">
        <f t="shared" si="55"/>
        <v>45505</v>
      </c>
      <c r="L1691" t="str">
        <f>Orders!K1691</f>
        <v>Chennai</v>
      </c>
      <c r="M1691">
        <f>Orders!G1691</f>
        <v>960</v>
      </c>
      <c r="N1691">
        <f>IFERROR(VLOOKUP(Orders!D1691,Products!$A$2:$D$61,4,FALSE),"")</f>
        <v>675</v>
      </c>
      <c r="O1691">
        <f t="shared" si="56"/>
        <v>0.296875</v>
      </c>
      <c r="Q1691" t="str">
        <f>Orders!D1691</f>
        <v>PROD-049</v>
      </c>
    </row>
    <row r="1692" spans="1:17" x14ac:dyDescent="0.3">
      <c r="A1692" t="str">
        <f>Orders!A1692</f>
        <v>ORD-01691</v>
      </c>
      <c r="B1692">
        <f>Orders!B1692</f>
        <v>45429</v>
      </c>
      <c r="C1692">
        <f>Orders!I1692</f>
        <v>55450.6</v>
      </c>
      <c r="D1692" t="str">
        <f>Orders!E1692</f>
        <v>R018</v>
      </c>
      <c r="E1692" t="str">
        <f>IFERROR(VLOOKUP(Orders!D1692,Products!$A$2:$C$61,3,FALSE),"Unknown")</f>
        <v>Sports</v>
      </c>
      <c r="F1692" t="str">
        <f>IFERROR(VLOOKUP(Orders!C1692,Customers!$A$2:$E$301,5,FALSE),"Unknown")</f>
        <v>Retail</v>
      </c>
      <c r="G1692">
        <f>IFERROR(VLOOKUP(Orders!C1692,Customers!$A$2:$C$301,3,FALSE),"")</f>
        <v>27</v>
      </c>
      <c r="H1692" t="str">
        <f>VLOOKUP(D1692,Sales_Reps!$A$2:$C$31,3,FALSE)</f>
        <v>East</v>
      </c>
      <c r="I1692" s="44">
        <f t="shared" si="55"/>
        <v>45413</v>
      </c>
      <c r="L1692" t="str">
        <f>Orders!K1692</f>
        <v>Bengaluru</v>
      </c>
      <c r="M1692">
        <f>Orders!G1692</f>
        <v>6940</v>
      </c>
      <c r="N1692">
        <f>IFERROR(VLOOKUP(Orders!D1692,Products!$A$2:$D$61,4,FALSE),"")</f>
        <v>2827</v>
      </c>
      <c r="O1692">
        <f t="shared" si="56"/>
        <v>0.5926512968299712</v>
      </c>
      <c r="Q1692" t="str">
        <f>Orders!D1692</f>
        <v>PROD-056</v>
      </c>
    </row>
    <row r="1693" spans="1:17" x14ac:dyDescent="0.3">
      <c r="A1693" t="str">
        <f>Orders!A1693</f>
        <v>ORD-01692</v>
      </c>
      <c r="B1693">
        <f>Orders!B1693</f>
        <v>45436</v>
      </c>
      <c r="C1693">
        <f>Orders!I1693</f>
        <v>19915.2</v>
      </c>
      <c r="D1693" t="str">
        <f>Orders!E1693</f>
        <v>R009</v>
      </c>
      <c r="E1693" t="str">
        <f>IFERROR(VLOOKUP(Orders!D1693,Products!$A$2:$C$61,3,FALSE),"Unknown")</f>
        <v>Sports</v>
      </c>
      <c r="F1693" t="str">
        <f>IFERROR(VLOOKUP(Orders!C1693,Customers!$A$2:$E$301,5,FALSE),"Unknown")</f>
        <v>Corporate</v>
      </c>
      <c r="G1693">
        <f>IFERROR(VLOOKUP(Orders!C1693,Customers!$A$2:$C$301,3,FALSE),"")</f>
        <v>26</v>
      </c>
      <c r="H1693" t="str">
        <f>VLOOKUP(D1693,Sales_Reps!$A$2:$C$31,3,FALSE)</f>
        <v>South</v>
      </c>
      <c r="I1693" s="44">
        <f t="shared" si="55"/>
        <v>45413</v>
      </c>
      <c r="L1693" t="str">
        <f>Orders!K1693</f>
        <v>Bengaluru</v>
      </c>
      <c r="M1693">
        <f>Orders!G1693</f>
        <v>2400</v>
      </c>
      <c r="N1693">
        <f>IFERROR(VLOOKUP(Orders!D1693,Products!$A$2:$D$61,4,FALSE),"")</f>
        <v>974</v>
      </c>
      <c r="O1693">
        <f t="shared" si="56"/>
        <v>0.59416666666666662</v>
      </c>
      <c r="Q1693" t="str">
        <f>Orders!D1693</f>
        <v>PROD-058</v>
      </c>
    </row>
    <row r="1694" spans="1:17" x14ac:dyDescent="0.3">
      <c r="A1694" t="str">
        <f>Orders!A1694</f>
        <v>ORD-01693</v>
      </c>
      <c r="B1694">
        <f>Orders!B1694</f>
        <v>45397</v>
      </c>
      <c r="C1694">
        <f>Orders!I1694</f>
        <v>4176.5200000000004</v>
      </c>
      <c r="D1694" t="str">
        <f>Orders!E1694</f>
        <v>R017</v>
      </c>
      <c r="E1694" t="str">
        <f>IFERROR(VLOOKUP(Orders!D1694,Products!$A$2:$C$61,3,FALSE),"Unknown")</f>
        <v>Sports</v>
      </c>
      <c r="F1694" t="str">
        <f>IFERROR(VLOOKUP(Orders!C1694,Customers!$A$2:$E$301,5,FALSE),"Unknown")</f>
        <v>Retail</v>
      </c>
      <c r="G1694">
        <f>IFERROR(VLOOKUP(Orders!C1694,Customers!$A$2:$C$301,3,FALSE),"")</f>
        <v>38</v>
      </c>
      <c r="H1694" t="str">
        <f>VLOOKUP(D1694,Sales_Reps!$A$2:$C$31,3,FALSE)</f>
        <v>East</v>
      </c>
      <c r="I1694" s="44">
        <f t="shared" si="55"/>
        <v>45383</v>
      </c>
      <c r="L1694" t="str">
        <f>Orders!K1694</f>
        <v>Mumbai</v>
      </c>
      <c r="M1694">
        <f>Orders!G1694</f>
        <v>5410</v>
      </c>
      <c r="N1694">
        <f>IFERROR(VLOOKUP(Orders!D1694,Products!$A$2:$D$61,4,FALSE),"")</f>
        <v>2265</v>
      </c>
      <c r="O1694">
        <f t="shared" si="56"/>
        <v>0.58133086876155271</v>
      </c>
      <c r="Q1694" t="str">
        <f>Orders!D1694</f>
        <v>PROD-052</v>
      </c>
    </row>
    <row r="1695" spans="1:17" x14ac:dyDescent="0.3">
      <c r="A1695" t="str">
        <f>Orders!A1695</f>
        <v>ORD-01694</v>
      </c>
      <c r="B1695">
        <f>Orders!B1695</f>
        <v>45629</v>
      </c>
      <c r="C1695">
        <f>Orders!I1695</f>
        <v>6934.48</v>
      </c>
      <c r="D1695" t="str">
        <f>Orders!E1695</f>
        <v>R004</v>
      </c>
      <c r="E1695" t="str">
        <f>IFERROR(VLOOKUP(Orders!D1695,Products!$A$2:$C$61,3,FALSE),"Unknown")</f>
        <v>Electronics</v>
      </c>
      <c r="F1695" t="str">
        <f>IFERROR(VLOOKUP(Orders!C1695,Customers!$A$2:$E$301,5,FALSE),"Unknown")</f>
        <v>Retail</v>
      </c>
      <c r="G1695">
        <f>IFERROR(VLOOKUP(Orders!C1695,Customers!$A$2:$C$301,3,FALSE),"")</f>
        <v>54</v>
      </c>
      <c r="H1695" t="str">
        <f>VLOOKUP(D1695,Sales_Reps!$A$2:$C$31,3,FALSE)</f>
        <v>North</v>
      </c>
      <c r="I1695" s="44">
        <f t="shared" si="55"/>
        <v>45627</v>
      </c>
      <c r="L1695" t="str">
        <f>Orders!K1695</f>
        <v>Bengaluru</v>
      </c>
      <c r="M1695">
        <f>Orders!G1695</f>
        <v>1220</v>
      </c>
      <c r="N1695">
        <f>IFERROR(VLOOKUP(Orders!D1695,Products!$A$2:$D$61,4,FALSE),"")</f>
        <v>517</v>
      </c>
      <c r="O1695">
        <f t="shared" si="56"/>
        <v>0.57622950819672136</v>
      </c>
      <c r="Q1695" t="str">
        <f>Orders!D1695</f>
        <v>PROD-009</v>
      </c>
    </row>
    <row r="1696" spans="1:17" x14ac:dyDescent="0.3">
      <c r="A1696" t="str">
        <f>Orders!A1696</f>
        <v>ORD-01695</v>
      </c>
      <c r="B1696">
        <f>Orders!B1696</f>
        <v>45595</v>
      </c>
      <c r="C1696">
        <f>Orders!I1696</f>
        <v>833.85</v>
      </c>
      <c r="D1696" t="str">
        <f>Orders!E1696</f>
        <v>R019</v>
      </c>
      <c r="E1696" t="str">
        <f>IFERROR(VLOOKUP(Orders!D1696,Products!$A$2:$C$61,3,FALSE),"Unknown")</f>
        <v>Home</v>
      </c>
      <c r="F1696" t="str">
        <f>IFERROR(VLOOKUP(Orders!C1696,Customers!$A$2:$E$301,5,FALSE),"Unknown")</f>
        <v>Retail</v>
      </c>
      <c r="G1696">
        <f>IFERROR(VLOOKUP(Orders!C1696,Customers!$A$2:$C$301,3,FALSE),"")</f>
        <v>31</v>
      </c>
      <c r="H1696" t="str">
        <f>VLOOKUP(D1696,Sales_Reps!$A$2:$C$31,3,FALSE)</f>
        <v>East</v>
      </c>
      <c r="I1696" s="44">
        <f t="shared" si="55"/>
        <v>45566</v>
      </c>
      <c r="L1696" t="str">
        <f>Orders!K1696</f>
        <v>Delhi</v>
      </c>
      <c r="M1696">
        <f>Orders!G1696</f>
        <v>1090</v>
      </c>
      <c r="N1696">
        <f>IFERROR(VLOOKUP(Orders!D1696,Products!$A$2:$D$61,4,FALSE),"")</f>
        <v>464</v>
      </c>
      <c r="O1696">
        <f t="shared" si="56"/>
        <v>0.57431192660550456</v>
      </c>
      <c r="Q1696" t="str">
        <f>Orders!D1696</f>
        <v>PROD-035</v>
      </c>
    </row>
    <row r="1697" spans="1:17" x14ac:dyDescent="0.3">
      <c r="A1697" t="str">
        <f>Orders!A1697</f>
        <v>ORD-01696</v>
      </c>
      <c r="B1697">
        <f>Orders!B1697</f>
        <v>45531</v>
      </c>
      <c r="C1697">
        <f>Orders!I1697</f>
        <v>5393.04</v>
      </c>
      <c r="D1697" t="str">
        <f>Orders!E1697</f>
        <v>R023</v>
      </c>
      <c r="E1697" t="str">
        <f>IFERROR(VLOOKUP(Orders!D1697,Products!$A$2:$C$61,3,FALSE),"Unknown")</f>
        <v>Grocery</v>
      </c>
      <c r="F1697" t="str">
        <f>IFERROR(VLOOKUP(Orders!C1697,Customers!$A$2:$E$301,5,FALSE),"Unknown")</f>
        <v>Retail</v>
      </c>
      <c r="G1697">
        <f>IFERROR(VLOOKUP(Orders!C1697,Customers!$A$2:$C$301,3,FALSE),"")</f>
        <v>28</v>
      </c>
      <c r="H1697" t="str">
        <f>VLOOKUP(D1697,Sales_Reps!$A$2:$C$31,3,FALSE)</f>
        <v>East</v>
      </c>
      <c r="I1697" s="44">
        <f t="shared" si="55"/>
        <v>45505</v>
      </c>
      <c r="L1697" t="str">
        <f>Orders!K1697</f>
        <v>Bengaluru</v>
      </c>
      <c r="M1697">
        <f>Orders!G1697</f>
        <v>2760</v>
      </c>
      <c r="N1697">
        <f>IFERROR(VLOOKUP(Orders!D1697,Products!$A$2:$D$61,4,FALSE),"")</f>
        <v>1435</v>
      </c>
      <c r="O1697">
        <f t="shared" si="56"/>
        <v>0.48007246376811596</v>
      </c>
      <c r="Q1697" t="str">
        <f>Orders!D1697</f>
        <v>PROD-021</v>
      </c>
    </row>
    <row r="1698" spans="1:17" x14ac:dyDescent="0.3">
      <c r="A1698" t="str">
        <f>Orders!A1698</f>
        <v>ORD-01697</v>
      </c>
      <c r="B1698">
        <f>Orders!B1698</f>
        <v>45626</v>
      </c>
      <c r="C1698">
        <f>Orders!I1698</f>
        <v>8739.36</v>
      </c>
      <c r="D1698" t="str">
        <f>Orders!E1698</f>
        <v>R026</v>
      </c>
      <c r="E1698" t="str">
        <f>IFERROR(VLOOKUP(Orders!D1698,Products!$A$2:$C$61,3,FALSE),"Unknown")</f>
        <v>Electronics</v>
      </c>
      <c r="F1698" t="str">
        <f>IFERROR(VLOOKUP(Orders!C1698,Customers!$A$2:$E$301,5,FALSE),"Unknown")</f>
        <v>SMB</v>
      </c>
      <c r="G1698">
        <f>IFERROR(VLOOKUP(Orders!C1698,Customers!$A$2:$C$301,3,FALSE),"")</f>
        <v>43</v>
      </c>
      <c r="H1698" t="str">
        <f>VLOOKUP(D1698,Sales_Reps!$A$2:$C$31,3,FALSE)</f>
        <v>West</v>
      </c>
      <c r="I1698" s="44">
        <f t="shared" si="55"/>
        <v>45597</v>
      </c>
      <c r="L1698" t="str">
        <f>Orders!K1698</f>
        <v>Hyderabad</v>
      </c>
      <c r="M1698">
        <f>Orders!G1698</f>
        <v>3570</v>
      </c>
      <c r="N1698">
        <f>IFERROR(VLOOKUP(Orders!D1698,Products!$A$2:$D$61,4,FALSE),"")</f>
        <v>1665</v>
      </c>
      <c r="O1698">
        <f t="shared" si="56"/>
        <v>0.53361344537815125</v>
      </c>
      <c r="Q1698" t="str">
        <f>Orders!D1698</f>
        <v>PROD-003</v>
      </c>
    </row>
    <row r="1699" spans="1:17" x14ac:dyDescent="0.3">
      <c r="A1699" t="str">
        <f>Orders!A1699</f>
        <v>ORD-01698</v>
      </c>
      <c r="B1699">
        <f>Orders!B1699</f>
        <v>45502</v>
      </c>
      <c r="C1699">
        <f>Orders!I1699</f>
        <v>6336.68</v>
      </c>
      <c r="D1699" t="str">
        <f>Orders!E1699</f>
        <v>R004</v>
      </c>
      <c r="E1699" t="str">
        <f>IFERROR(VLOOKUP(Orders!D1699,Products!$A$2:$C$61,3,FALSE),"Unknown")</f>
        <v>Electronics</v>
      </c>
      <c r="F1699" t="str">
        <f>IFERROR(VLOOKUP(Orders!C1699,Customers!$A$2:$E$301,5,FALSE),"Unknown")</f>
        <v>Retail</v>
      </c>
      <c r="G1699">
        <f>IFERROR(VLOOKUP(Orders!C1699,Customers!$A$2:$C$301,3,FALSE),"")</f>
        <v>28</v>
      </c>
      <c r="H1699" t="str">
        <f>VLOOKUP(D1699,Sales_Reps!$A$2:$C$31,3,FALSE)</f>
        <v>North</v>
      </c>
      <c r="I1699" s="44">
        <f t="shared" si="55"/>
        <v>45474</v>
      </c>
      <c r="L1699" t="str">
        <f>Orders!K1699</f>
        <v>Hyderabad</v>
      </c>
      <c r="M1699">
        <f>Orders!G1699</f>
        <v>1220</v>
      </c>
      <c r="N1699">
        <f>IFERROR(VLOOKUP(Orders!D1699,Products!$A$2:$D$61,4,FALSE),"")</f>
        <v>517</v>
      </c>
      <c r="O1699">
        <f t="shared" si="56"/>
        <v>0.57622950819672136</v>
      </c>
      <c r="Q1699" t="str">
        <f>Orders!D1699</f>
        <v>PROD-009</v>
      </c>
    </row>
    <row r="1700" spans="1:17" x14ac:dyDescent="0.3">
      <c r="A1700" t="str">
        <f>Orders!A1700</f>
        <v>ORD-01699</v>
      </c>
      <c r="B1700">
        <f>Orders!B1700</f>
        <v>45501</v>
      </c>
      <c r="C1700">
        <f>Orders!I1700</f>
        <v>17988.3</v>
      </c>
      <c r="D1700" t="str">
        <f>Orders!E1700</f>
        <v>R029</v>
      </c>
      <c r="E1700" t="str">
        <f>IFERROR(VLOOKUP(Orders!D1700,Products!$A$2:$C$61,3,FALSE),"Unknown")</f>
        <v>Sports</v>
      </c>
      <c r="F1700" t="str">
        <f>IFERROR(VLOOKUP(Orders!C1700,Customers!$A$2:$E$301,5,FALSE),"Unknown")</f>
        <v>Retail</v>
      </c>
      <c r="G1700">
        <f>IFERROR(VLOOKUP(Orders!C1700,Customers!$A$2:$C$301,3,FALSE),"")</f>
        <v>39</v>
      </c>
      <c r="H1700" t="str">
        <f>VLOOKUP(D1700,Sales_Reps!$A$2:$C$31,3,FALSE)</f>
        <v>West</v>
      </c>
      <c r="I1700" s="44">
        <f t="shared" si="55"/>
        <v>45474</v>
      </c>
      <c r="L1700" t="str">
        <f>Orders!K1700</f>
        <v>Pune</v>
      </c>
      <c r="M1700">
        <f>Orders!G1700</f>
        <v>3450</v>
      </c>
      <c r="N1700">
        <f>IFERROR(VLOOKUP(Orders!D1700,Products!$A$2:$D$61,4,FALSE),"")</f>
        <v>2467</v>
      </c>
      <c r="O1700">
        <f t="shared" si="56"/>
        <v>0.28492753623188405</v>
      </c>
      <c r="Q1700" t="str">
        <f>Orders!D1700</f>
        <v>PROD-051</v>
      </c>
    </row>
    <row r="1701" spans="1:17" x14ac:dyDescent="0.3">
      <c r="A1701" t="str">
        <f>Orders!A1701</f>
        <v>ORD-01700</v>
      </c>
      <c r="B1701">
        <f>Orders!B1701</f>
        <v>45435</v>
      </c>
      <c r="C1701">
        <f>Orders!I1701</f>
        <v>18431.400000000001</v>
      </c>
      <c r="D1701" t="str">
        <f>Orders!E1701</f>
        <v>R004</v>
      </c>
      <c r="E1701" t="str">
        <f>IFERROR(VLOOKUP(Orders!D1701,Products!$A$2:$C$61,3,FALSE),"Unknown")</f>
        <v>Grocery</v>
      </c>
      <c r="F1701" t="str">
        <f>IFERROR(VLOOKUP(Orders!C1701,Customers!$A$2:$E$301,5,FALSE),"Unknown")</f>
        <v>Retail</v>
      </c>
      <c r="G1701">
        <f>IFERROR(VLOOKUP(Orders!C1701,Customers!$A$2:$C$301,3,FALSE),"")</f>
        <v>36</v>
      </c>
      <c r="H1701" t="str">
        <f>VLOOKUP(D1701,Sales_Reps!$A$2:$C$31,3,FALSE)</f>
        <v>North</v>
      </c>
      <c r="I1701" s="44">
        <f t="shared" si="55"/>
        <v>45413</v>
      </c>
      <c r="L1701" t="str">
        <f>Orders!K1701</f>
        <v>Mumbai</v>
      </c>
      <c r="M1701">
        <f>Orders!G1701</f>
        <v>2210</v>
      </c>
      <c r="N1701">
        <f>IFERROR(VLOOKUP(Orders!D1701,Products!$A$2:$D$61,4,FALSE),"")</f>
        <v>1010</v>
      </c>
      <c r="O1701">
        <f t="shared" si="56"/>
        <v>0.54298642533936647</v>
      </c>
      <c r="Q1701" t="str">
        <f>Orders!D1701</f>
        <v>PROD-029</v>
      </c>
    </row>
    <row r="1702" spans="1:17" x14ac:dyDescent="0.3">
      <c r="A1702" t="str">
        <f>Orders!A1702</f>
        <v>ORD-01701</v>
      </c>
      <c r="B1702">
        <f>Orders!B1702</f>
        <v>45295</v>
      </c>
      <c r="C1702">
        <f>Orders!I1702</f>
        <v>20460</v>
      </c>
      <c r="D1702" t="str">
        <f>Orders!E1702</f>
        <v>R027</v>
      </c>
      <c r="E1702" t="str">
        <f>IFERROR(VLOOKUP(Orders!D1702,Products!$A$2:$C$61,3,FALSE),"Unknown")</f>
        <v>Apparel</v>
      </c>
      <c r="F1702" t="str">
        <f>IFERROR(VLOOKUP(Orders!C1702,Customers!$A$2:$E$301,5,FALSE),"Unknown")</f>
        <v>Corporate</v>
      </c>
      <c r="G1702">
        <f>IFERROR(VLOOKUP(Orders!C1702,Customers!$A$2:$C$301,3,FALSE),"")</f>
        <v>42</v>
      </c>
      <c r="H1702" t="str">
        <f>VLOOKUP(D1702,Sales_Reps!$A$2:$C$31,3,FALSE)</f>
        <v>West</v>
      </c>
      <c r="I1702" s="44">
        <f t="shared" si="55"/>
        <v>45292</v>
      </c>
      <c r="L1702" t="str">
        <f>Orders!K1702</f>
        <v>Bengaluru</v>
      </c>
      <c r="M1702">
        <f>Orders!G1702</f>
        <v>2480</v>
      </c>
      <c r="N1702">
        <f>IFERROR(VLOOKUP(Orders!D1702,Products!$A$2:$D$61,4,FALSE),"")</f>
        <v>1173</v>
      </c>
      <c r="O1702">
        <f t="shared" si="56"/>
        <v>0.52701612903225803</v>
      </c>
      <c r="Q1702" t="str">
        <f>Orders!D1702</f>
        <v>PROD-019</v>
      </c>
    </row>
    <row r="1703" spans="1:17" x14ac:dyDescent="0.3">
      <c r="A1703" t="str">
        <f>Orders!A1703</f>
        <v>ORD-01702</v>
      </c>
      <c r="B1703">
        <f>Orders!B1703</f>
        <v>45566</v>
      </c>
      <c r="C1703">
        <f>Orders!I1703</f>
        <v>21674.25</v>
      </c>
      <c r="D1703" t="str">
        <f>Orders!E1703</f>
        <v>R019</v>
      </c>
      <c r="E1703" t="str">
        <f>IFERROR(VLOOKUP(Orders!D1703,Products!$A$2:$C$61,3,FALSE),"Unknown")</f>
        <v>Home</v>
      </c>
      <c r="F1703" t="str">
        <f>IFERROR(VLOOKUP(Orders!C1703,Customers!$A$2:$E$301,5,FALSE),"Unknown")</f>
        <v>Retail</v>
      </c>
      <c r="G1703">
        <f>IFERROR(VLOOKUP(Orders!C1703,Customers!$A$2:$C$301,3,FALSE),"")</f>
        <v>39</v>
      </c>
      <c r="H1703" t="str">
        <f>VLOOKUP(D1703,Sales_Reps!$A$2:$C$31,3,FALSE)</f>
        <v>East</v>
      </c>
      <c r="I1703" s="44">
        <f t="shared" si="55"/>
        <v>45566</v>
      </c>
      <c r="L1703" t="str">
        <f>Orders!K1703</f>
        <v>Pune</v>
      </c>
      <c r="M1703">
        <f>Orders!G1703</f>
        <v>3250</v>
      </c>
      <c r="N1703">
        <f>IFERROR(VLOOKUP(Orders!D1703,Products!$A$2:$D$61,4,FALSE),"")</f>
        <v>1556</v>
      </c>
      <c r="O1703">
        <f t="shared" si="56"/>
        <v>0.52123076923076928</v>
      </c>
      <c r="Q1703" t="str">
        <f>Orders!D1703</f>
        <v>PROD-036</v>
      </c>
    </row>
    <row r="1704" spans="1:17" x14ac:dyDescent="0.3">
      <c r="A1704" t="str">
        <f>Orders!A1704</f>
        <v>ORD-01703</v>
      </c>
      <c r="B1704">
        <f>Orders!B1704</f>
        <v>45474</v>
      </c>
      <c r="C1704">
        <f>Orders!I1704</f>
        <v>5940</v>
      </c>
      <c r="D1704" t="str">
        <f>Orders!E1704</f>
        <v>R008</v>
      </c>
      <c r="E1704" t="str">
        <f>IFERROR(VLOOKUP(Orders!D1704,Products!$A$2:$C$61,3,FALSE),"Unknown")</f>
        <v>Sports</v>
      </c>
      <c r="F1704" t="str">
        <f>IFERROR(VLOOKUP(Orders!C1704,Customers!$A$2:$E$301,5,FALSE),"Unknown")</f>
        <v>Retail</v>
      </c>
      <c r="G1704">
        <f>IFERROR(VLOOKUP(Orders!C1704,Customers!$A$2:$C$301,3,FALSE),"")</f>
        <v>37</v>
      </c>
      <c r="H1704" t="str">
        <f>VLOOKUP(D1704,Sales_Reps!$A$2:$C$31,3,FALSE)</f>
        <v>North</v>
      </c>
      <c r="I1704" s="44">
        <f t="shared" si="55"/>
        <v>45474</v>
      </c>
      <c r="L1704" t="str">
        <f>Orders!K1704</f>
        <v>Bengaluru</v>
      </c>
      <c r="M1704">
        <f>Orders!G1704</f>
        <v>2400</v>
      </c>
      <c r="N1704">
        <f>IFERROR(VLOOKUP(Orders!D1704,Products!$A$2:$D$61,4,FALSE),"")</f>
        <v>974</v>
      </c>
      <c r="O1704">
        <f t="shared" si="56"/>
        <v>0.59416666666666662</v>
      </c>
      <c r="Q1704" t="str">
        <f>Orders!D1704</f>
        <v>PROD-058</v>
      </c>
    </row>
    <row r="1705" spans="1:17" x14ac:dyDescent="0.3">
      <c r="A1705" t="str">
        <f>Orders!A1705</f>
        <v>ORD-01704</v>
      </c>
      <c r="B1705">
        <f>Orders!B1705</f>
        <v>45372</v>
      </c>
      <c r="C1705">
        <f>Orders!I1705</f>
        <v>39687.760000000002</v>
      </c>
      <c r="D1705" t="str">
        <f>Orders!E1705</f>
        <v>R006</v>
      </c>
      <c r="E1705" t="str">
        <f>IFERROR(VLOOKUP(Orders!D1705,Products!$A$2:$C$61,3,FALSE),"Unknown")</f>
        <v>Sports</v>
      </c>
      <c r="F1705" t="str">
        <f>IFERROR(VLOOKUP(Orders!C1705,Customers!$A$2:$E$301,5,FALSE),"Unknown")</f>
        <v>Retail</v>
      </c>
      <c r="G1705">
        <f>IFERROR(VLOOKUP(Orders!C1705,Customers!$A$2:$C$301,3,FALSE),"")</f>
        <v>35</v>
      </c>
      <c r="H1705" t="str">
        <f>VLOOKUP(D1705,Sales_Reps!$A$2:$C$31,3,FALSE)</f>
        <v>North</v>
      </c>
      <c r="I1705" s="44">
        <f t="shared" si="55"/>
        <v>45352</v>
      </c>
      <c r="L1705" t="str">
        <f>Orders!K1705</f>
        <v>Delhi</v>
      </c>
      <c r="M1705">
        <f>Orders!G1705</f>
        <v>5410</v>
      </c>
      <c r="N1705">
        <f>IFERROR(VLOOKUP(Orders!D1705,Products!$A$2:$D$61,4,FALSE),"")</f>
        <v>2265</v>
      </c>
      <c r="O1705">
        <f t="shared" si="56"/>
        <v>0.58133086876155271</v>
      </c>
      <c r="Q1705" t="str">
        <f>Orders!D1705</f>
        <v>PROD-052</v>
      </c>
    </row>
    <row r="1706" spans="1:17" x14ac:dyDescent="0.3">
      <c r="A1706" t="str">
        <f>Orders!A1706</f>
        <v>ORD-01705</v>
      </c>
      <c r="B1706">
        <f>Orders!B1706</f>
        <v>45622</v>
      </c>
      <c r="C1706">
        <f>Orders!I1706</f>
        <v>2446.6</v>
      </c>
      <c r="D1706" t="str">
        <f>Orders!E1706</f>
        <v>R018</v>
      </c>
      <c r="E1706" t="str">
        <f>IFERROR(VLOOKUP(Orders!D1706,Products!$A$2:$C$61,3,FALSE),"Unknown")</f>
        <v>Electronics</v>
      </c>
      <c r="F1706" t="str">
        <f>IFERROR(VLOOKUP(Orders!C1706,Customers!$A$2:$E$301,5,FALSE),"Unknown")</f>
        <v>Retail</v>
      </c>
      <c r="G1706">
        <f>IFERROR(VLOOKUP(Orders!C1706,Customers!$A$2:$C$301,3,FALSE),"")</f>
        <v>52</v>
      </c>
      <c r="H1706" t="str">
        <f>VLOOKUP(D1706,Sales_Reps!$A$2:$C$31,3,FALSE)</f>
        <v>East</v>
      </c>
      <c r="I1706" s="44">
        <f t="shared" si="55"/>
        <v>45597</v>
      </c>
      <c r="L1706" t="str">
        <f>Orders!K1706</f>
        <v>Bengaluru</v>
      </c>
      <c r="M1706">
        <f>Orders!G1706</f>
        <v>2600</v>
      </c>
      <c r="N1706">
        <f>IFERROR(VLOOKUP(Orders!D1706,Products!$A$2:$D$61,4,FALSE),"")</f>
        <v>1052</v>
      </c>
      <c r="O1706">
        <f t="shared" si="56"/>
        <v>0.5953846153846154</v>
      </c>
      <c r="Q1706" t="str">
        <f>Orders!D1706</f>
        <v>PROD-002</v>
      </c>
    </row>
    <row r="1707" spans="1:17" x14ac:dyDescent="0.3">
      <c r="A1707" t="str">
        <f>Orders!A1707</f>
        <v>ORD-01706</v>
      </c>
      <c r="B1707">
        <f>Orders!B1707</f>
        <v>45603</v>
      </c>
      <c r="C1707">
        <f>Orders!I1707</f>
        <v>39666.199999999997</v>
      </c>
      <c r="D1707" t="str">
        <f>Orders!E1707</f>
        <v>R003</v>
      </c>
      <c r="E1707" t="str">
        <f>IFERROR(VLOOKUP(Orders!D1707,Products!$A$2:$C$61,3,FALSE),"Unknown")</f>
        <v>Grocery</v>
      </c>
      <c r="F1707" t="str">
        <f>IFERROR(VLOOKUP(Orders!C1707,Customers!$A$2:$E$301,5,FALSE),"Unknown")</f>
        <v>Retail</v>
      </c>
      <c r="G1707">
        <f>IFERROR(VLOOKUP(Orders!C1707,Customers!$A$2:$C$301,3,FALSE),"")</f>
        <v>25</v>
      </c>
      <c r="H1707" t="str">
        <f>VLOOKUP(D1707,Sales_Reps!$A$2:$C$31,3,FALSE)</f>
        <v>North</v>
      </c>
      <c r="I1707" s="44">
        <f t="shared" si="55"/>
        <v>45597</v>
      </c>
      <c r="L1707" t="str">
        <f>Orders!K1707</f>
        <v>Mumbai</v>
      </c>
      <c r="M1707">
        <f>Orders!G1707</f>
        <v>4060</v>
      </c>
      <c r="N1707">
        <f>IFERROR(VLOOKUP(Orders!D1707,Products!$A$2:$D$61,4,FALSE),"")</f>
        <v>2911</v>
      </c>
      <c r="O1707">
        <f t="shared" si="56"/>
        <v>0.28300492610837441</v>
      </c>
      <c r="Q1707" t="str">
        <f>Orders!D1707</f>
        <v>PROD-025</v>
      </c>
    </row>
    <row r="1708" spans="1:17" x14ac:dyDescent="0.3">
      <c r="A1708" t="str">
        <f>Orders!A1708</f>
        <v>ORD-01707</v>
      </c>
      <c r="B1708">
        <f>Orders!B1708</f>
        <v>45352</v>
      </c>
      <c r="C1708">
        <f>Orders!I1708</f>
        <v>36697.050000000003</v>
      </c>
      <c r="D1708" t="str">
        <f>Orders!E1708</f>
        <v>R020</v>
      </c>
      <c r="E1708" t="str">
        <f>IFERROR(VLOOKUP(Orders!D1708,Products!$A$2:$C$61,3,FALSE),"Unknown")</f>
        <v>Electronics</v>
      </c>
      <c r="F1708" t="str">
        <f>IFERROR(VLOOKUP(Orders!C1708,Customers!$A$2:$E$301,5,FALSE),"Unknown")</f>
        <v>Retail</v>
      </c>
      <c r="G1708">
        <f>IFERROR(VLOOKUP(Orders!C1708,Customers!$A$2:$C$301,3,FALSE),"")</f>
        <v>56</v>
      </c>
      <c r="H1708" t="str">
        <f>VLOOKUP(D1708,Sales_Reps!$A$2:$C$31,3,FALSE)</f>
        <v>East</v>
      </c>
      <c r="I1708" s="44">
        <f t="shared" si="55"/>
        <v>45352</v>
      </c>
      <c r="L1708" t="str">
        <f>Orders!K1708</f>
        <v>Mumbai</v>
      </c>
      <c r="M1708">
        <f>Orders!G1708</f>
        <v>5330</v>
      </c>
      <c r="N1708">
        <f>IFERROR(VLOOKUP(Orders!D1708,Products!$A$2:$D$61,4,FALSE),"")</f>
        <v>2405</v>
      </c>
      <c r="O1708">
        <f t="shared" si="56"/>
        <v>0.54878048780487809</v>
      </c>
      <c r="Q1708" t="str">
        <f>Orders!D1708</f>
        <v>PROD-001</v>
      </c>
    </row>
    <row r="1709" spans="1:17" x14ac:dyDescent="0.3">
      <c r="A1709" t="str">
        <f>Orders!A1709</f>
        <v>ORD-01708</v>
      </c>
      <c r="B1709">
        <f>Orders!B1709</f>
        <v>45600</v>
      </c>
      <c r="C1709">
        <f>Orders!I1709</f>
        <v>20307.7</v>
      </c>
      <c r="D1709" t="str">
        <f>Orders!E1709</f>
        <v>R025</v>
      </c>
      <c r="E1709" t="str">
        <f>IFERROR(VLOOKUP(Orders!D1709,Products!$A$2:$C$61,3,FALSE),"Unknown")</f>
        <v>Beauty</v>
      </c>
      <c r="F1709" t="str">
        <f>IFERROR(VLOOKUP(Orders!C1709,Customers!$A$2:$E$301,5,FALSE),"Unknown")</f>
        <v>Retail</v>
      </c>
      <c r="G1709">
        <f>IFERROR(VLOOKUP(Orders!C1709,Customers!$A$2:$C$301,3,FALSE),"")</f>
        <v>29</v>
      </c>
      <c r="H1709" t="str">
        <f>VLOOKUP(D1709,Sales_Reps!$A$2:$C$31,3,FALSE)</f>
        <v>West</v>
      </c>
      <c r="I1709" s="44">
        <f t="shared" si="55"/>
        <v>45597</v>
      </c>
      <c r="L1709" t="str">
        <f>Orders!K1709</f>
        <v>Hyderabad</v>
      </c>
      <c r="M1709">
        <f>Orders!G1709</f>
        <v>3350</v>
      </c>
      <c r="N1709">
        <f>IFERROR(VLOOKUP(Orders!D1709,Products!$A$2:$D$61,4,FALSE),"")</f>
        <v>1728</v>
      </c>
      <c r="O1709">
        <f t="shared" si="56"/>
        <v>0.48417910447761192</v>
      </c>
      <c r="Q1709" t="str">
        <f>Orders!D1709</f>
        <v>PROD-043</v>
      </c>
    </row>
    <row r="1710" spans="1:17" x14ac:dyDescent="0.3">
      <c r="A1710" t="str">
        <f>Orders!A1710</f>
        <v>ORD-01709</v>
      </c>
      <c r="B1710">
        <f>Orders!B1710</f>
        <v>45631</v>
      </c>
      <c r="C1710">
        <f>Orders!I1710</f>
        <v>7369.36</v>
      </c>
      <c r="D1710" t="str">
        <f>Orders!E1710</f>
        <v>R014</v>
      </c>
      <c r="E1710" t="str">
        <f>IFERROR(VLOOKUP(Orders!D1710,Products!$A$2:$C$61,3,FALSE),"Unknown")</f>
        <v>Apparel</v>
      </c>
      <c r="F1710" t="str">
        <f>IFERROR(VLOOKUP(Orders!C1710,Customers!$A$2:$E$301,5,FALSE),"Unknown")</f>
        <v>SMB</v>
      </c>
      <c r="G1710">
        <f>IFERROR(VLOOKUP(Orders!C1710,Customers!$A$2:$C$301,3,FALSE),"")</f>
        <v>61</v>
      </c>
      <c r="H1710" t="str">
        <f>VLOOKUP(D1710,Sales_Reps!$A$2:$C$31,3,FALSE)</f>
        <v>South</v>
      </c>
      <c r="I1710" s="44">
        <f t="shared" si="55"/>
        <v>45627</v>
      </c>
      <c r="L1710" t="str">
        <f>Orders!K1710</f>
        <v>Mumbai</v>
      </c>
      <c r="M1710">
        <f>Orders!G1710</f>
        <v>2510</v>
      </c>
      <c r="N1710">
        <f>IFERROR(VLOOKUP(Orders!D1710,Products!$A$2:$D$61,4,FALSE),"")</f>
        <v>1075</v>
      </c>
      <c r="O1710">
        <f t="shared" si="56"/>
        <v>0.57171314741035861</v>
      </c>
      <c r="Q1710" t="str">
        <f>Orders!D1710</f>
        <v>PROD-017</v>
      </c>
    </row>
    <row r="1711" spans="1:17" x14ac:dyDescent="0.3">
      <c r="A1711" t="str">
        <f>Orders!A1711</f>
        <v>ORD-01710</v>
      </c>
      <c r="B1711">
        <f>Orders!B1711</f>
        <v>45456</v>
      </c>
      <c r="C1711">
        <f>Orders!I1711</f>
        <v>2560.96</v>
      </c>
      <c r="D1711" t="str">
        <f>Orders!E1711</f>
        <v>R021</v>
      </c>
      <c r="E1711" t="str">
        <f>IFERROR(VLOOKUP(Orders!D1711,Products!$A$2:$C$61,3,FALSE),"Unknown")</f>
        <v>Beauty</v>
      </c>
      <c r="F1711" t="str">
        <f>IFERROR(VLOOKUP(Orders!C1711,Customers!$A$2:$E$301,5,FALSE),"Unknown")</f>
        <v>SMB</v>
      </c>
      <c r="G1711">
        <f>IFERROR(VLOOKUP(Orders!C1711,Customers!$A$2:$C$301,3,FALSE),"")</f>
        <v>44</v>
      </c>
      <c r="H1711" t="str">
        <f>VLOOKUP(D1711,Sales_Reps!$A$2:$C$31,3,FALSE)</f>
        <v>East</v>
      </c>
      <c r="I1711" s="44">
        <f t="shared" si="55"/>
        <v>45444</v>
      </c>
      <c r="L1711" t="str">
        <f>Orders!K1711</f>
        <v>Pune</v>
      </c>
      <c r="M1711">
        <f>Orders!G1711</f>
        <v>3020</v>
      </c>
      <c r="N1711">
        <f>IFERROR(VLOOKUP(Orders!D1711,Products!$A$2:$D$61,4,FALSE),"")</f>
        <v>1626</v>
      </c>
      <c r="O1711">
        <f t="shared" si="56"/>
        <v>0.46158940397350995</v>
      </c>
      <c r="Q1711" t="str">
        <f>Orders!D1711</f>
        <v>PROD-045</v>
      </c>
    </row>
    <row r="1712" spans="1:17" x14ac:dyDescent="0.3">
      <c r="A1712" t="str">
        <f>Orders!A1712</f>
        <v>ORD-01711</v>
      </c>
      <c r="B1712">
        <f>Orders!B1712</f>
        <v>45539</v>
      </c>
      <c r="C1712">
        <f>Orders!I1712</f>
        <v>768.34</v>
      </c>
      <c r="D1712" t="str">
        <f>Orders!E1712</f>
        <v>R029</v>
      </c>
      <c r="E1712" t="str">
        <f>IFERROR(VLOOKUP(Orders!D1712,Products!$A$2:$C$61,3,FALSE),"Unknown")</f>
        <v>Apparel</v>
      </c>
      <c r="F1712" t="str">
        <f>IFERROR(VLOOKUP(Orders!C1712,Customers!$A$2:$E$301,5,FALSE),"Unknown")</f>
        <v>Retail</v>
      </c>
      <c r="G1712">
        <f>IFERROR(VLOOKUP(Orders!C1712,Customers!$A$2:$C$301,3,FALSE),"")</f>
        <v>40</v>
      </c>
      <c r="H1712" t="str">
        <f>VLOOKUP(D1712,Sales_Reps!$A$2:$C$31,3,FALSE)</f>
        <v>West</v>
      </c>
      <c r="I1712" s="44">
        <f t="shared" si="55"/>
        <v>45536</v>
      </c>
      <c r="L1712" t="str">
        <f>Orders!K1712</f>
        <v>Mumbai</v>
      </c>
      <c r="M1712">
        <f>Orders!G1712</f>
        <v>820</v>
      </c>
      <c r="N1712">
        <f>IFERROR(VLOOKUP(Orders!D1712,Products!$A$2:$D$61,4,FALSE),"")</f>
        <v>391</v>
      </c>
      <c r="O1712">
        <f t="shared" si="56"/>
        <v>0.52317073170731709</v>
      </c>
      <c r="Q1712" t="str">
        <f>Orders!D1712</f>
        <v>PROD-020</v>
      </c>
    </row>
    <row r="1713" spans="1:17" x14ac:dyDescent="0.3">
      <c r="A1713" t="str">
        <f>Orders!A1713</f>
        <v>ORD-01712</v>
      </c>
      <c r="B1713">
        <f>Orders!B1713</f>
        <v>45488</v>
      </c>
      <c r="C1713">
        <f>Orders!I1713</f>
        <v>12184.96</v>
      </c>
      <c r="D1713" t="str">
        <f>Orders!E1713</f>
        <v>R027</v>
      </c>
      <c r="E1713" t="str">
        <f>IFERROR(VLOOKUP(Orders!D1713,Products!$A$2:$C$61,3,FALSE),"Unknown")</f>
        <v>Apparel</v>
      </c>
      <c r="F1713" t="str">
        <f>IFERROR(VLOOKUP(Orders!C1713,Customers!$A$2:$E$301,5,FALSE),"Unknown")</f>
        <v>Retail</v>
      </c>
      <c r="G1713">
        <f>IFERROR(VLOOKUP(Orders!C1713,Customers!$A$2:$C$301,3,FALSE),"")</f>
        <v>47</v>
      </c>
      <c r="H1713" t="str">
        <f>VLOOKUP(D1713,Sales_Reps!$A$2:$C$31,3,FALSE)</f>
        <v>West</v>
      </c>
      <c r="I1713" s="44">
        <f t="shared" si="55"/>
        <v>45474</v>
      </c>
      <c r="L1713" t="str">
        <f>Orders!K1713</f>
        <v>Delhi</v>
      </c>
      <c r="M1713">
        <f>Orders!G1713</f>
        <v>3160</v>
      </c>
      <c r="N1713">
        <f>IFERROR(VLOOKUP(Orders!D1713,Products!$A$2:$D$61,4,FALSE),"")</f>
        <v>1886</v>
      </c>
      <c r="O1713">
        <f t="shared" si="56"/>
        <v>0.4031645569620253</v>
      </c>
      <c r="Q1713" t="str">
        <f>Orders!D1713</f>
        <v>PROD-012</v>
      </c>
    </row>
    <row r="1714" spans="1:17" x14ac:dyDescent="0.3">
      <c r="A1714" t="str">
        <f>Orders!A1714</f>
        <v>ORD-01713</v>
      </c>
      <c r="B1714">
        <f>Orders!B1714</f>
        <v>45370</v>
      </c>
      <c r="C1714">
        <f>Orders!I1714</f>
        <v>2627.88</v>
      </c>
      <c r="D1714" t="str">
        <f>Orders!E1714</f>
        <v>R012</v>
      </c>
      <c r="E1714" t="str">
        <f>IFERROR(VLOOKUP(Orders!D1714,Products!$A$2:$C$61,3,FALSE),"Unknown")</f>
        <v>Grocery</v>
      </c>
      <c r="F1714" t="str">
        <f>IFERROR(VLOOKUP(Orders!C1714,Customers!$A$2:$E$301,5,FALSE),"Unknown")</f>
        <v>SMB</v>
      </c>
      <c r="G1714">
        <f>IFERROR(VLOOKUP(Orders!C1714,Customers!$A$2:$C$301,3,FALSE),"")</f>
        <v>55</v>
      </c>
      <c r="H1714" t="str">
        <f>VLOOKUP(D1714,Sales_Reps!$A$2:$C$31,3,FALSE)</f>
        <v>South</v>
      </c>
      <c r="I1714" s="44">
        <f t="shared" si="55"/>
        <v>45352</v>
      </c>
      <c r="L1714" t="str">
        <f>Orders!K1714</f>
        <v>Delhi</v>
      </c>
      <c r="M1714">
        <f>Orders!G1714</f>
        <v>3660</v>
      </c>
      <c r="N1714">
        <f>IFERROR(VLOOKUP(Orders!D1714,Products!$A$2:$D$61,4,FALSE),"")</f>
        <v>2214</v>
      </c>
      <c r="O1714">
        <f t="shared" si="56"/>
        <v>0.39508196721311473</v>
      </c>
      <c r="Q1714" t="str">
        <f>Orders!D1714</f>
        <v>PROD-028</v>
      </c>
    </row>
    <row r="1715" spans="1:17" x14ac:dyDescent="0.3">
      <c r="A1715" t="str">
        <f>Orders!A1715</f>
        <v>ORD-01714</v>
      </c>
      <c r="B1715">
        <f>Orders!B1715</f>
        <v>45394</v>
      </c>
      <c r="C1715">
        <f>Orders!I1715</f>
        <v>1525.2</v>
      </c>
      <c r="D1715" t="str">
        <f>Orders!E1715</f>
        <v>R026</v>
      </c>
      <c r="E1715" t="str">
        <f>IFERROR(VLOOKUP(Orders!D1715,Products!$A$2:$C$61,3,FALSE),"Unknown")</f>
        <v>Apparel</v>
      </c>
      <c r="F1715" t="str">
        <f>IFERROR(VLOOKUP(Orders!C1715,Customers!$A$2:$E$301,5,FALSE),"Unknown")</f>
        <v>Retail</v>
      </c>
      <c r="G1715">
        <f>IFERROR(VLOOKUP(Orders!C1715,Customers!$A$2:$C$301,3,FALSE),"")</f>
        <v>52</v>
      </c>
      <c r="H1715" t="str">
        <f>VLOOKUP(D1715,Sales_Reps!$A$2:$C$31,3,FALSE)</f>
        <v>West</v>
      </c>
      <c r="I1715" s="44">
        <f t="shared" si="55"/>
        <v>45383</v>
      </c>
      <c r="L1715" t="str">
        <f>Orders!K1715</f>
        <v>Delhi</v>
      </c>
      <c r="M1715">
        <f>Orders!G1715</f>
        <v>820</v>
      </c>
      <c r="N1715">
        <f>IFERROR(VLOOKUP(Orders!D1715,Products!$A$2:$D$61,4,FALSE),"")</f>
        <v>391</v>
      </c>
      <c r="O1715">
        <f t="shared" si="56"/>
        <v>0.52317073170731709</v>
      </c>
      <c r="Q1715" t="str">
        <f>Orders!D1715</f>
        <v>PROD-020</v>
      </c>
    </row>
    <row r="1716" spans="1:17" x14ac:dyDescent="0.3">
      <c r="A1716" t="str">
        <f>Orders!A1716</f>
        <v>ORD-01715</v>
      </c>
      <c r="B1716">
        <f>Orders!B1716</f>
        <v>45446</v>
      </c>
      <c r="C1716">
        <f>Orders!I1716</f>
        <v>9163</v>
      </c>
      <c r="D1716" t="str">
        <f>Orders!E1716</f>
        <v>R022</v>
      </c>
      <c r="E1716" t="str">
        <f>IFERROR(VLOOKUP(Orders!D1716,Products!$A$2:$C$61,3,FALSE),"Unknown")</f>
        <v>Grocery</v>
      </c>
      <c r="F1716" t="str">
        <f>IFERROR(VLOOKUP(Orders!C1716,Customers!$A$2:$E$301,5,FALSE),"Unknown")</f>
        <v>Retail</v>
      </c>
      <c r="G1716">
        <f>IFERROR(VLOOKUP(Orders!C1716,Customers!$A$2:$C$301,3,FALSE),"")</f>
        <v>53</v>
      </c>
      <c r="H1716" t="str">
        <f>VLOOKUP(D1716,Sales_Reps!$A$2:$C$31,3,FALSE)</f>
        <v>East</v>
      </c>
      <c r="I1716" s="44">
        <f t="shared" si="55"/>
        <v>45444</v>
      </c>
      <c r="L1716" t="str">
        <f>Orders!K1716</f>
        <v>Hyderabad</v>
      </c>
      <c r="M1716">
        <f>Orders!G1716</f>
        <v>2380</v>
      </c>
      <c r="N1716">
        <f>IFERROR(VLOOKUP(Orders!D1716,Products!$A$2:$D$61,4,FALSE),"")</f>
        <v>1182</v>
      </c>
      <c r="O1716">
        <f t="shared" si="56"/>
        <v>0.50336134453781511</v>
      </c>
      <c r="Q1716" t="str">
        <f>Orders!D1716</f>
        <v>PROD-023</v>
      </c>
    </row>
    <row r="1717" spans="1:17" x14ac:dyDescent="0.3">
      <c r="A1717" t="str">
        <f>Orders!A1717</f>
        <v>ORD-01716</v>
      </c>
      <c r="B1717">
        <f>Orders!B1717</f>
        <v>45612</v>
      </c>
      <c r="C1717">
        <f>Orders!I1717</f>
        <v>2813.49</v>
      </c>
      <c r="D1717" t="str">
        <f>Orders!E1717</f>
        <v>R013</v>
      </c>
      <c r="E1717" t="str">
        <f>IFERROR(VLOOKUP(Orders!D1717,Products!$A$2:$C$61,3,FALSE),"Unknown")</f>
        <v>Electronics</v>
      </c>
      <c r="F1717" t="str">
        <f>IFERROR(VLOOKUP(Orders!C1717,Customers!$A$2:$E$301,5,FALSE),"Unknown")</f>
        <v>SMB</v>
      </c>
      <c r="G1717">
        <f>IFERROR(VLOOKUP(Orders!C1717,Customers!$A$2:$C$301,3,FALSE),"")</f>
        <v>43</v>
      </c>
      <c r="H1717" t="str">
        <f>VLOOKUP(D1717,Sales_Reps!$A$2:$C$31,3,FALSE)</f>
        <v>South</v>
      </c>
      <c r="I1717" s="44">
        <f t="shared" si="55"/>
        <v>45597</v>
      </c>
      <c r="L1717" t="str">
        <f>Orders!K1717</f>
        <v>Hyderabad</v>
      </c>
      <c r="M1717">
        <f>Orders!G1717</f>
        <v>3870</v>
      </c>
      <c r="N1717">
        <f>IFERROR(VLOOKUP(Orders!D1717,Products!$A$2:$D$61,4,FALSE),"")</f>
        <v>1559</v>
      </c>
      <c r="O1717">
        <f t="shared" si="56"/>
        <v>0.59715762273901807</v>
      </c>
      <c r="Q1717" t="str">
        <f>Orders!D1717</f>
        <v>PROD-004</v>
      </c>
    </row>
    <row r="1718" spans="1:17" x14ac:dyDescent="0.3">
      <c r="A1718" t="str">
        <f>Orders!A1718</f>
        <v>ORD-01717</v>
      </c>
      <c r="B1718">
        <f>Orders!B1718</f>
        <v>45301</v>
      </c>
      <c r="C1718">
        <f>Orders!I1718</f>
        <v>2577</v>
      </c>
      <c r="D1718" t="str">
        <f>Orders!E1718</f>
        <v>R007</v>
      </c>
      <c r="E1718" t="str">
        <f>IFERROR(VLOOKUP(Orders!D1718,Products!$A$2:$C$61,3,FALSE),"Unknown")</f>
        <v>Electronics</v>
      </c>
      <c r="F1718" t="str">
        <f>IFERROR(VLOOKUP(Orders!C1718,Customers!$A$2:$E$301,5,FALSE),"Unknown")</f>
        <v>Corporate</v>
      </c>
      <c r="G1718">
        <f>IFERROR(VLOOKUP(Orders!C1718,Customers!$A$2:$C$301,3,FALSE),"")</f>
        <v>41</v>
      </c>
      <c r="H1718" t="str">
        <f>VLOOKUP(D1718,Sales_Reps!$A$2:$C$31,3,FALSE)</f>
        <v>North</v>
      </c>
      <c r="I1718" s="44">
        <f t="shared" si="55"/>
        <v>45292</v>
      </c>
      <c r="L1718" t="str">
        <f>Orders!K1718</f>
        <v>Chennai</v>
      </c>
      <c r="M1718">
        <f>Orders!G1718</f>
        <v>300</v>
      </c>
      <c r="N1718">
        <f>IFERROR(VLOOKUP(Orders!D1718,Products!$A$2:$D$61,4,FALSE),"")</f>
        <v>128</v>
      </c>
      <c r="O1718">
        <f t="shared" si="56"/>
        <v>0.57333333333333336</v>
      </c>
      <c r="Q1718" t="str">
        <f>Orders!D1718</f>
        <v>PROD-005</v>
      </c>
    </row>
    <row r="1719" spans="1:17" x14ac:dyDescent="0.3">
      <c r="A1719" t="str">
        <f>Orders!A1719</f>
        <v>ORD-01718</v>
      </c>
      <c r="B1719">
        <f>Orders!B1719</f>
        <v>45647</v>
      </c>
      <c r="C1719">
        <f>Orders!I1719</f>
        <v>44523</v>
      </c>
      <c r="D1719" t="str">
        <f>Orders!E1719</f>
        <v>R027</v>
      </c>
      <c r="E1719" t="str">
        <f>IFERROR(VLOOKUP(Orders!D1719,Products!$A$2:$C$61,3,FALSE),"Unknown")</f>
        <v>Beauty</v>
      </c>
      <c r="F1719" t="str">
        <f>IFERROR(VLOOKUP(Orders!C1719,Customers!$A$2:$E$301,5,FALSE),"Unknown")</f>
        <v>Retail</v>
      </c>
      <c r="G1719">
        <f>IFERROR(VLOOKUP(Orders!C1719,Customers!$A$2:$C$301,3,FALSE),"")</f>
        <v>46</v>
      </c>
      <c r="H1719" t="str">
        <f>VLOOKUP(D1719,Sales_Reps!$A$2:$C$31,3,FALSE)</f>
        <v>West</v>
      </c>
      <c r="I1719" s="44">
        <f t="shared" si="55"/>
        <v>45627</v>
      </c>
      <c r="L1719" t="str">
        <f>Orders!K1719</f>
        <v>Bengaluru</v>
      </c>
      <c r="M1719">
        <f>Orders!G1719</f>
        <v>5100</v>
      </c>
      <c r="N1719">
        <f>IFERROR(VLOOKUP(Orders!D1719,Products!$A$2:$D$61,4,FALSE),"")</f>
        <v>2237</v>
      </c>
      <c r="O1719">
        <f t="shared" si="56"/>
        <v>0.56137254901960787</v>
      </c>
      <c r="Q1719" t="str">
        <f>Orders!D1719</f>
        <v>PROD-048</v>
      </c>
    </row>
    <row r="1720" spans="1:17" x14ac:dyDescent="0.3">
      <c r="A1720" t="str">
        <f>Orders!A1720</f>
        <v>ORD-01719</v>
      </c>
      <c r="B1720">
        <f>Orders!B1720</f>
        <v>45589</v>
      </c>
      <c r="C1720">
        <f>Orders!I1720</f>
        <v>2268.7199999999998</v>
      </c>
      <c r="D1720" t="str">
        <f>Orders!E1720</f>
        <v>R013</v>
      </c>
      <c r="E1720" t="str">
        <f>IFERROR(VLOOKUP(Orders!D1720,Products!$A$2:$C$61,3,FALSE),"Unknown")</f>
        <v>Grocery</v>
      </c>
      <c r="F1720" t="str">
        <f>IFERROR(VLOOKUP(Orders!C1720,Customers!$A$2:$E$301,5,FALSE),"Unknown")</f>
        <v>Retail</v>
      </c>
      <c r="G1720">
        <f>IFERROR(VLOOKUP(Orders!C1720,Customers!$A$2:$C$301,3,FALSE),"")</f>
        <v>37</v>
      </c>
      <c r="H1720" t="str">
        <f>VLOOKUP(D1720,Sales_Reps!$A$2:$C$31,3,FALSE)</f>
        <v>South</v>
      </c>
      <c r="I1720" s="44">
        <f t="shared" si="55"/>
        <v>45566</v>
      </c>
      <c r="L1720" t="str">
        <f>Orders!K1720</f>
        <v>Mumbai</v>
      </c>
      <c r="M1720">
        <f>Orders!G1720</f>
        <v>2760</v>
      </c>
      <c r="N1720">
        <f>IFERROR(VLOOKUP(Orders!D1720,Products!$A$2:$D$61,4,FALSE),"")</f>
        <v>1435</v>
      </c>
      <c r="O1720">
        <f t="shared" si="56"/>
        <v>0.48007246376811596</v>
      </c>
      <c r="Q1720" t="str">
        <f>Orders!D1720</f>
        <v>PROD-021</v>
      </c>
    </row>
    <row r="1721" spans="1:17" x14ac:dyDescent="0.3">
      <c r="A1721" t="str">
        <f>Orders!A1721</f>
        <v>ORD-01720</v>
      </c>
      <c r="B1721">
        <f>Orders!B1721</f>
        <v>45382</v>
      </c>
      <c r="C1721">
        <f>Orders!I1721</f>
        <v>35647.040000000001</v>
      </c>
      <c r="D1721" t="str">
        <f>Orders!E1721</f>
        <v>R002</v>
      </c>
      <c r="E1721" t="str">
        <f>IFERROR(VLOOKUP(Orders!D1721,Products!$A$2:$C$61,3,FALSE),"Unknown")</f>
        <v>Electronics</v>
      </c>
      <c r="F1721" t="str">
        <f>IFERROR(VLOOKUP(Orders!C1721,Customers!$A$2:$E$301,5,FALSE),"Unknown")</f>
        <v>SMB</v>
      </c>
      <c r="G1721">
        <f>IFERROR(VLOOKUP(Orders!C1721,Customers!$A$2:$C$301,3,FALSE),"")</f>
        <v>65</v>
      </c>
      <c r="H1721" t="str">
        <f>VLOOKUP(D1721,Sales_Reps!$A$2:$C$31,3,FALSE)</f>
        <v>North</v>
      </c>
      <c r="I1721" s="44">
        <f t="shared" si="55"/>
        <v>45352</v>
      </c>
      <c r="L1721" t="str">
        <f>Orders!K1721</f>
        <v>Hyderabad</v>
      </c>
      <c r="M1721">
        <f>Orders!G1721</f>
        <v>5330</v>
      </c>
      <c r="N1721">
        <f>IFERROR(VLOOKUP(Orders!D1721,Products!$A$2:$D$61,4,FALSE),"")</f>
        <v>2405</v>
      </c>
      <c r="O1721">
        <f t="shared" si="56"/>
        <v>0.54878048780487809</v>
      </c>
      <c r="Q1721" t="str">
        <f>Orders!D1721</f>
        <v>PROD-001</v>
      </c>
    </row>
    <row r="1722" spans="1:17" x14ac:dyDescent="0.3">
      <c r="A1722" t="str">
        <f>Orders!A1722</f>
        <v>ORD-01721</v>
      </c>
      <c r="B1722">
        <f>Orders!B1722</f>
        <v>45457</v>
      </c>
      <c r="C1722">
        <f>Orders!I1722</f>
        <v>803.96</v>
      </c>
      <c r="D1722" t="str">
        <f>Orders!E1722</f>
        <v>R016</v>
      </c>
      <c r="E1722" t="str">
        <f>IFERROR(VLOOKUP(Orders!D1722,Products!$A$2:$C$61,3,FALSE),"Unknown")</f>
        <v>Sports</v>
      </c>
      <c r="F1722" t="str">
        <f>IFERROR(VLOOKUP(Orders!C1722,Customers!$A$2:$E$301,5,FALSE),"Unknown")</f>
        <v>Corporate</v>
      </c>
      <c r="G1722">
        <f>IFERROR(VLOOKUP(Orders!C1722,Customers!$A$2:$C$301,3,FALSE),"")</f>
        <v>41</v>
      </c>
      <c r="H1722" t="str">
        <f>VLOOKUP(D1722,Sales_Reps!$A$2:$C$31,3,FALSE)</f>
        <v>South</v>
      </c>
      <c r="I1722" s="44">
        <f t="shared" si="55"/>
        <v>45444</v>
      </c>
      <c r="L1722" t="str">
        <f>Orders!K1722</f>
        <v>Chennai</v>
      </c>
      <c r="M1722">
        <f>Orders!G1722</f>
        <v>1010</v>
      </c>
      <c r="N1722">
        <f>IFERROR(VLOOKUP(Orders!D1722,Products!$A$2:$D$61,4,FALSE),"")</f>
        <v>516</v>
      </c>
      <c r="O1722">
        <f t="shared" si="56"/>
        <v>0.4891089108910891</v>
      </c>
      <c r="Q1722" t="str">
        <f>Orders!D1722</f>
        <v>PROD-054</v>
      </c>
    </row>
    <row r="1723" spans="1:17" x14ac:dyDescent="0.3">
      <c r="A1723" t="str">
        <f>Orders!A1723</f>
        <v>ORD-01722</v>
      </c>
      <c r="B1723">
        <f>Orders!B1723</f>
        <v>45376</v>
      </c>
      <c r="C1723">
        <f>Orders!I1723</f>
        <v>18806.2</v>
      </c>
      <c r="D1723" t="str">
        <f>Orders!E1723</f>
        <v>R019</v>
      </c>
      <c r="E1723" t="str">
        <f>IFERROR(VLOOKUP(Orders!D1723,Products!$A$2:$C$61,3,FALSE),"Unknown")</f>
        <v>Electronics</v>
      </c>
      <c r="F1723" t="str">
        <f>IFERROR(VLOOKUP(Orders!C1723,Customers!$A$2:$E$301,5,FALSE),"Unknown")</f>
        <v>Retail</v>
      </c>
      <c r="G1723">
        <f>IFERROR(VLOOKUP(Orders!C1723,Customers!$A$2:$C$301,3,FALSE),"")</f>
        <v>36</v>
      </c>
      <c r="H1723" t="str">
        <f>VLOOKUP(D1723,Sales_Reps!$A$2:$C$31,3,FALSE)</f>
        <v>East</v>
      </c>
      <c r="I1723" s="44">
        <f t="shared" si="55"/>
        <v>45352</v>
      </c>
      <c r="L1723" t="str">
        <f>Orders!K1723</f>
        <v>Mumbai</v>
      </c>
      <c r="M1723">
        <f>Orders!G1723</f>
        <v>2660</v>
      </c>
      <c r="N1723">
        <f>IFERROR(VLOOKUP(Orders!D1723,Products!$A$2:$D$61,4,FALSE),"")</f>
        <v>1259</v>
      </c>
      <c r="O1723">
        <f t="shared" si="56"/>
        <v>0.52669172932330832</v>
      </c>
      <c r="Q1723" t="str">
        <f>Orders!D1723</f>
        <v>PROD-008</v>
      </c>
    </row>
    <row r="1724" spans="1:17" x14ac:dyDescent="0.3">
      <c r="A1724" t="str">
        <f>Orders!A1724</f>
        <v>ORD-01723</v>
      </c>
      <c r="B1724">
        <f>Orders!B1724</f>
        <v>45506</v>
      </c>
      <c r="C1724">
        <f>Orders!I1724</f>
        <v>32014.080000000002</v>
      </c>
      <c r="D1724" t="str">
        <f>Orders!E1724</f>
        <v>R011</v>
      </c>
      <c r="E1724" t="str">
        <f>IFERROR(VLOOKUP(Orders!D1724,Products!$A$2:$C$61,3,FALSE),"Unknown")</f>
        <v>Electronics</v>
      </c>
      <c r="F1724" t="str">
        <f>IFERROR(VLOOKUP(Orders!C1724,Customers!$A$2:$E$301,5,FALSE),"Unknown")</f>
        <v>Retail</v>
      </c>
      <c r="G1724">
        <f>IFERROR(VLOOKUP(Orders!C1724,Customers!$A$2:$C$301,3,FALSE),"")</f>
        <v>34</v>
      </c>
      <c r="H1724" t="str">
        <f>VLOOKUP(D1724,Sales_Reps!$A$2:$C$31,3,FALSE)</f>
        <v>South</v>
      </c>
      <c r="I1724" s="44">
        <f t="shared" si="55"/>
        <v>45505</v>
      </c>
      <c r="L1724" t="str">
        <f>Orders!K1724</f>
        <v>Mumbai</v>
      </c>
      <c r="M1724">
        <f>Orders!G1724</f>
        <v>3970</v>
      </c>
      <c r="N1724">
        <f>IFERROR(VLOOKUP(Orders!D1724,Products!$A$2:$D$61,4,FALSE),"")</f>
        <v>2865</v>
      </c>
      <c r="O1724">
        <f t="shared" si="56"/>
        <v>0.27833753148614609</v>
      </c>
      <c r="Q1724" t="str">
        <f>Orders!D1724</f>
        <v>PROD-006</v>
      </c>
    </row>
    <row r="1725" spans="1:17" x14ac:dyDescent="0.3">
      <c r="A1725" t="str">
        <f>Orders!A1725</f>
        <v>ORD-01724</v>
      </c>
      <c r="B1725">
        <f>Orders!B1725</f>
        <v>45472</v>
      </c>
      <c r="C1725">
        <f>Orders!I1725</f>
        <v>8470.7999999999993</v>
      </c>
      <c r="D1725" t="str">
        <f>Orders!E1725</f>
        <v>R008</v>
      </c>
      <c r="E1725" t="str">
        <f>IFERROR(VLOOKUP(Orders!D1725,Products!$A$2:$C$61,3,FALSE),"Unknown")</f>
        <v>Apparel</v>
      </c>
      <c r="F1725" t="str">
        <f>IFERROR(VLOOKUP(Orders!C1725,Customers!$A$2:$E$301,5,FALSE),"Unknown")</f>
        <v>SMB</v>
      </c>
      <c r="G1725">
        <f>IFERROR(VLOOKUP(Orders!C1725,Customers!$A$2:$C$301,3,FALSE),"")</f>
        <v>43</v>
      </c>
      <c r="H1725" t="str">
        <f>VLOOKUP(D1725,Sales_Reps!$A$2:$C$31,3,FALSE)</f>
        <v>North</v>
      </c>
      <c r="I1725" s="44">
        <f t="shared" si="55"/>
        <v>45444</v>
      </c>
      <c r="L1725" t="str">
        <f>Orders!K1725</f>
        <v>Mumbai</v>
      </c>
      <c r="M1725">
        <f>Orders!G1725</f>
        <v>3620</v>
      </c>
      <c r="N1725">
        <f>IFERROR(VLOOKUP(Orders!D1725,Products!$A$2:$D$61,4,FALSE),"")</f>
        <v>2509</v>
      </c>
      <c r="O1725">
        <f t="shared" si="56"/>
        <v>0.3069060773480663</v>
      </c>
      <c r="Q1725" t="str">
        <f>Orders!D1725</f>
        <v>PROD-014</v>
      </c>
    </row>
    <row r="1726" spans="1:17" x14ac:dyDescent="0.3">
      <c r="A1726" t="str">
        <f>Orders!A1726</f>
        <v>ORD-01725</v>
      </c>
      <c r="B1726">
        <f>Orders!B1726</f>
        <v>45383</v>
      </c>
      <c r="C1726">
        <f>Orders!I1726</f>
        <v>12108.18</v>
      </c>
      <c r="D1726" t="str">
        <f>Orders!E1726</f>
        <v>R018</v>
      </c>
      <c r="E1726" t="str">
        <f>IFERROR(VLOOKUP(Orders!D1726,Products!$A$2:$C$61,3,FALSE),"Unknown")</f>
        <v>Grocery</v>
      </c>
      <c r="F1726" t="str">
        <f>IFERROR(VLOOKUP(Orders!C1726,Customers!$A$2:$E$301,5,FALSE),"Unknown")</f>
        <v>Retail</v>
      </c>
      <c r="G1726">
        <f>IFERROR(VLOOKUP(Orders!C1726,Customers!$A$2:$C$301,3,FALSE),"")</f>
        <v>38</v>
      </c>
      <c r="H1726" t="str">
        <f>VLOOKUP(D1726,Sales_Reps!$A$2:$C$31,3,FALSE)</f>
        <v>East</v>
      </c>
      <c r="I1726" s="44">
        <f t="shared" si="55"/>
        <v>45383</v>
      </c>
      <c r="L1726" t="str">
        <f>Orders!K1726</f>
        <v>Hyderabad</v>
      </c>
      <c r="M1726">
        <f>Orders!G1726</f>
        <v>2270</v>
      </c>
      <c r="N1726">
        <f>IFERROR(VLOOKUP(Orders!D1726,Products!$A$2:$D$61,4,FALSE),"")</f>
        <v>1412</v>
      </c>
      <c r="O1726">
        <f t="shared" si="56"/>
        <v>0.37797356828193834</v>
      </c>
      <c r="Q1726" t="str">
        <f>Orders!D1726</f>
        <v>PROD-022</v>
      </c>
    </row>
    <row r="1727" spans="1:17" x14ac:dyDescent="0.3">
      <c r="A1727" t="str">
        <f>Orders!A1727</f>
        <v>ORD-01726</v>
      </c>
      <c r="B1727">
        <f>Orders!B1727</f>
        <v>45543</v>
      </c>
      <c r="C1727">
        <f>Orders!I1727</f>
        <v>6610.24</v>
      </c>
      <c r="D1727" t="str">
        <f>Orders!E1727</f>
        <v>R014</v>
      </c>
      <c r="E1727" t="str">
        <f>IFERROR(VLOOKUP(Orders!D1727,Products!$A$2:$C$61,3,FALSE),"Unknown")</f>
        <v>Grocery</v>
      </c>
      <c r="F1727" t="str">
        <f>IFERROR(VLOOKUP(Orders!C1727,Customers!$A$2:$E$301,5,FALSE),"Unknown")</f>
        <v>Retail</v>
      </c>
      <c r="G1727">
        <f>IFERROR(VLOOKUP(Orders!C1727,Customers!$A$2:$C$301,3,FALSE),"")</f>
        <v>34</v>
      </c>
      <c r="H1727" t="str">
        <f>VLOOKUP(D1727,Sales_Reps!$A$2:$C$31,3,FALSE)</f>
        <v>South</v>
      </c>
      <c r="I1727" s="44">
        <f t="shared" si="55"/>
        <v>45536</v>
      </c>
      <c r="L1727" t="str">
        <f>Orders!K1727</f>
        <v>Chennai</v>
      </c>
      <c r="M1727">
        <f>Orders!G1727</f>
        <v>2270</v>
      </c>
      <c r="N1727">
        <f>IFERROR(VLOOKUP(Orders!D1727,Products!$A$2:$D$61,4,FALSE),"")</f>
        <v>1412</v>
      </c>
      <c r="O1727">
        <f t="shared" si="56"/>
        <v>0.37797356828193834</v>
      </c>
      <c r="Q1727" t="str">
        <f>Orders!D1727</f>
        <v>PROD-022</v>
      </c>
    </row>
    <row r="1728" spans="1:17" x14ac:dyDescent="0.3">
      <c r="A1728" t="str">
        <f>Orders!A1728</f>
        <v>ORD-01727</v>
      </c>
      <c r="B1728">
        <f>Orders!B1728</f>
        <v>45576</v>
      </c>
      <c r="C1728">
        <f>Orders!I1728</f>
        <v>27844.400000000001</v>
      </c>
      <c r="D1728" t="str">
        <f>Orders!E1728</f>
        <v>R012</v>
      </c>
      <c r="E1728" t="str">
        <f>IFERROR(VLOOKUP(Orders!D1728,Products!$A$2:$C$61,3,FALSE),"Unknown")</f>
        <v>Home</v>
      </c>
      <c r="F1728" t="str">
        <f>IFERROR(VLOOKUP(Orders!C1728,Customers!$A$2:$E$301,5,FALSE),"Unknown")</f>
        <v>Retail</v>
      </c>
      <c r="G1728">
        <f>IFERROR(VLOOKUP(Orders!C1728,Customers!$A$2:$C$301,3,FALSE),"")</f>
        <v>41</v>
      </c>
      <c r="H1728" t="str">
        <f>VLOOKUP(D1728,Sales_Reps!$A$2:$C$31,3,FALSE)</f>
        <v>South</v>
      </c>
      <c r="I1728" s="44">
        <f t="shared" si="55"/>
        <v>45566</v>
      </c>
      <c r="L1728" t="str">
        <f>Orders!K1728</f>
        <v>Mumbai</v>
      </c>
      <c r="M1728">
        <f>Orders!G1728</f>
        <v>4610</v>
      </c>
      <c r="N1728">
        <f>IFERROR(VLOOKUP(Orders!D1728,Products!$A$2:$D$61,4,FALSE),"")</f>
        <v>1850</v>
      </c>
      <c r="O1728">
        <f t="shared" si="56"/>
        <v>0.59869848156182215</v>
      </c>
      <c r="Q1728" t="str">
        <f>Orders!D1728</f>
        <v>PROD-039</v>
      </c>
    </row>
    <row r="1729" spans="1:17" x14ac:dyDescent="0.3">
      <c r="A1729" t="str">
        <f>Orders!A1729</f>
        <v>ORD-01728</v>
      </c>
      <c r="B1729">
        <f>Orders!B1729</f>
        <v>45366</v>
      </c>
      <c r="C1729">
        <f>Orders!I1729</f>
        <v>1040.82</v>
      </c>
      <c r="D1729" t="str">
        <f>Orders!E1729</f>
        <v>R020</v>
      </c>
      <c r="E1729" t="str">
        <f>IFERROR(VLOOKUP(Orders!D1729,Products!$A$2:$C$61,3,FALSE),"Unknown")</f>
        <v>Sports</v>
      </c>
      <c r="F1729" t="str">
        <f>IFERROR(VLOOKUP(Orders!C1729,Customers!$A$2:$E$301,5,FALSE),"Unknown")</f>
        <v>Retail</v>
      </c>
      <c r="G1729">
        <f>IFERROR(VLOOKUP(Orders!C1729,Customers!$A$2:$C$301,3,FALSE),"")</f>
        <v>41</v>
      </c>
      <c r="H1729" t="str">
        <f>VLOOKUP(D1729,Sales_Reps!$A$2:$C$31,3,FALSE)</f>
        <v>East</v>
      </c>
      <c r="I1729" s="44">
        <f t="shared" si="55"/>
        <v>45352</v>
      </c>
      <c r="L1729" t="str">
        <f>Orders!K1729</f>
        <v>Delhi</v>
      </c>
      <c r="M1729">
        <f>Orders!G1729</f>
        <v>190</v>
      </c>
      <c r="N1729">
        <f>IFERROR(VLOOKUP(Orders!D1729,Products!$A$2:$D$61,4,FALSE),"")</f>
        <v>147</v>
      </c>
      <c r="O1729">
        <f t="shared" si="56"/>
        <v>0.22631578947368422</v>
      </c>
      <c r="Q1729" t="str">
        <f>Orders!D1729</f>
        <v>PROD-060</v>
      </c>
    </row>
    <row r="1730" spans="1:17" x14ac:dyDescent="0.3">
      <c r="A1730" t="str">
        <f>Orders!A1730</f>
        <v>ORD-01729</v>
      </c>
      <c r="B1730">
        <f>Orders!B1730</f>
        <v>45617</v>
      </c>
      <c r="C1730">
        <f>Orders!I1730</f>
        <v>10058.65</v>
      </c>
      <c r="D1730" t="str">
        <f>Orders!E1730</f>
        <v>R026</v>
      </c>
      <c r="E1730" t="str">
        <f>IFERROR(VLOOKUP(Orders!D1730,Products!$A$2:$C$61,3,FALSE),"Unknown")</f>
        <v>Home</v>
      </c>
      <c r="F1730" t="str">
        <f>IFERROR(VLOOKUP(Orders!C1730,Customers!$A$2:$E$301,5,FALSE),"Unknown")</f>
        <v>Corporate</v>
      </c>
      <c r="G1730">
        <f>IFERROR(VLOOKUP(Orders!C1730,Customers!$A$2:$C$301,3,FALSE),"")</f>
        <v>52</v>
      </c>
      <c r="H1730" t="str">
        <f>VLOOKUP(D1730,Sales_Reps!$A$2:$C$31,3,FALSE)</f>
        <v>West</v>
      </c>
      <c r="I1730" s="44">
        <f t="shared" si="55"/>
        <v>45597</v>
      </c>
      <c r="L1730" t="str">
        <f>Orders!K1730</f>
        <v>Chennai</v>
      </c>
      <c r="M1730">
        <f>Orders!G1730</f>
        <v>2030</v>
      </c>
      <c r="N1730">
        <f>IFERROR(VLOOKUP(Orders!D1730,Products!$A$2:$D$61,4,FALSE),"")</f>
        <v>1143</v>
      </c>
      <c r="O1730">
        <f t="shared" si="56"/>
        <v>0.43694581280788175</v>
      </c>
      <c r="Q1730" t="str">
        <f>Orders!D1730</f>
        <v>PROD-033</v>
      </c>
    </row>
    <row r="1731" spans="1:17" x14ac:dyDescent="0.3">
      <c r="A1731" t="str">
        <f>Orders!A1731</f>
        <v>ORD-01730</v>
      </c>
      <c r="B1731">
        <f>Orders!B1731</f>
        <v>45614</v>
      </c>
      <c r="C1731">
        <f>Orders!I1731</f>
        <v>3691.49</v>
      </c>
      <c r="D1731" t="str">
        <f>Orders!E1731</f>
        <v>R020</v>
      </c>
      <c r="E1731" t="str">
        <f>IFERROR(VLOOKUP(Orders!D1731,Products!$A$2:$C$61,3,FALSE),"Unknown")</f>
        <v>Grocery</v>
      </c>
      <c r="F1731" t="str">
        <f>IFERROR(VLOOKUP(Orders!C1731,Customers!$A$2:$E$301,5,FALSE),"Unknown")</f>
        <v>SMB</v>
      </c>
      <c r="G1731">
        <f>IFERROR(VLOOKUP(Orders!C1731,Customers!$A$2:$C$301,3,FALSE),"")</f>
        <v>30</v>
      </c>
      <c r="H1731" t="str">
        <f>VLOOKUP(D1731,Sales_Reps!$A$2:$C$31,3,FALSE)</f>
        <v>East</v>
      </c>
      <c r="I1731" s="44">
        <f t="shared" ref="I1731:I1794" si="57">DATE(YEAR(B1731),MONTH(B1731),1)</f>
        <v>45597</v>
      </c>
      <c r="L1731" t="str">
        <f>Orders!K1731</f>
        <v>Pune</v>
      </c>
      <c r="M1731">
        <f>Orders!G1731</f>
        <v>4070</v>
      </c>
      <c r="N1731">
        <f>IFERROR(VLOOKUP(Orders!D1731,Products!$A$2:$D$61,4,FALSE),"")</f>
        <v>2027</v>
      </c>
      <c r="O1731">
        <f t="shared" ref="O1731:O1794" si="58">IF(OR(N1731="",M1731&lt;=0),"",(M1731-N1731)/M1731)</f>
        <v>0.50196560196560192</v>
      </c>
      <c r="Q1731" t="str">
        <f>Orders!D1731</f>
        <v>PROD-026</v>
      </c>
    </row>
    <row r="1732" spans="1:17" x14ac:dyDescent="0.3">
      <c r="A1732" t="str">
        <f>Orders!A1732</f>
        <v>ORD-01731</v>
      </c>
      <c r="B1732">
        <f>Orders!B1732</f>
        <v>45460</v>
      </c>
      <c r="C1732">
        <f>Orders!I1732</f>
        <v>6038.73</v>
      </c>
      <c r="D1732" t="str">
        <f>Orders!E1732</f>
        <v>R001</v>
      </c>
      <c r="E1732" t="str">
        <f>IFERROR(VLOOKUP(Orders!D1732,Products!$A$2:$C$61,3,FALSE),"Unknown")</f>
        <v>Beauty</v>
      </c>
      <c r="F1732" t="str">
        <f>IFERROR(VLOOKUP(Orders!C1732,Customers!$A$2:$E$301,5,FALSE),"Unknown")</f>
        <v>SMB</v>
      </c>
      <c r="G1732">
        <f>IFERROR(VLOOKUP(Orders!C1732,Customers!$A$2:$C$301,3,FALSE),"")</f>
        <v>48</v>
      </c>
      <c r="H1732" t="str">
        <f>VLOOKUP(D1732,Sales_Reps!$A$2:$C$31,3,FALSE)</f>
        <v>North</v>
      </c>
      <c r="I1732" s="44">
        <f t="shared" si="57"/>
        <v>45444</v>
      </c>
      <c r="L1732" t="str">
        <f>Orders!K1732</f>
        <v>Delhi</v>
      </c>
      <c r="M1732">
        <f>Orders!G1732</f>
        <v>2290</v>
      </c>
      <c r="N1732">
        <f>IFERROR(VLOOKUP(Orders!D1732,Products!$A$2:$D$61,4,FALSE),"")</f>
        <v>1219</v>
      </c>
      <c r="O1732">
        <f t="shared" si="58"/>
        <v>0.46768558951965067</v>
      </c>
      <c r="Q1732" t="str">
        <f>Orders!D1732</f>
        <v>PROD-042</v>
      </c>
    </row>
    <row r="1733" spans="1:17" x14ac:dyDescent="0.3">
      <c r="A1733" t="str">
        <f>Orders!A1733</f>
        <v>ORD-01732</v>
      </c>
      <c r="B1733">
        <f>Orders!B1733</f>
        <v>45514</v>
      </c>
      <c r="C1733">
        <f>Orders!I1733</f>
        <v>24935.05</v>
      </c>
      <c r="D1733" t="str">
        <f>Orders!E1733</f>
        <v>R020</v>
      </c>
      <c r="E1733" t="str">
        <f>IFERROR(VLOOKUP(Orders!D1733,Products!$A$2:$C$61,3,FALSE),"Unknown")</f>
        <v>Home</v>
      </c>
      <c r="F1733" t="str">
        <f>IFERROR(VLOOKUP(Orders!C1733,Customers!$A$2:$E$301,5,FALSE),"Unknown")</f>
        <v>Retail</v>
      </c>
      <c r="G1733">
        <f>IFERROR(VLOOKUP(Orders!C1733,Customers!$A$2:$C$301,3,FALSE),"")</f>
        <v>22</v>
      </c>
      <c r="H1733" t="str">
        <f>VLOOKUP(D1733,Sales_Reps!$A$2:$C$31,3,FALSE)</f>
        <v>East</v>
      </c>
      <c r="I1733" s="44">
        <f t="shared" si="57"/>
        <v>45505</v>
      </c>
      <c r="L1733" t="str">
        <f>Orders!K1733</f>
        <v>Hyderabad</v>
      </c>
      <c r="M1733">
        <f>Orders!G1733</f>
        <v>3730</v>
      </c>
      <c r="N1733">
        <f>IFERROR(VLOOKUP(Orders!D1733,Products!$A$2:$D$61,4,FALSE),"")</f>
        <v>2135</v>
      </c>
      <c r="O1733">
        <f t="shared" si="58"/>
        <v>0.42761394101876676</v>
      </c>
      <c r="Q1733" t="str">
        <f>Orders!D1733</f>
        <v>PROD-031</v>
      </c>
    </row>
    <row r="1734" spans="1:17" x14ac:dyDescent="0.3">
      <c r="A1734" t="str">
        <f>Orders!A1734</f>
        <v>ORD-01733</v>
      </c>
      <c r="B1734">
        <f>Orders!B1734</f>
        <v>45306</v>
      </c>
      <c r="C1734">
        <f>Orders!I1734</f>
        <v>2867.5</v>
      </c>
      <c r="D1734" t="str">
        <f>Orders!E1734</f>
        <v>R005</v>
      </c>
      <c r="E1734" t="str">
        <f>IFERROR(VLOOKUP(Orders!D1734,Products!$A$2:$C$61,3,FALSE),"Unknown")</f>
        <v>Apparel</v>
      </c>
      <c r="F1734" t="str">
        <f>IFERROR(VLOOKUP(Orders!C1734,Customers!$A$2:$E$301,5,FALSE),"Unknown")</f>
        <v>Retail</v>
      </c>
      <c r="G1734">
        <f>IFERROR(VLOOKUP(Orders!C1734,Customers!$A$2:$C$301,3,FALSE),"")</f>
        <v>22</v>
      </c>
      <c r="H1734" t="str">
        <f>VLOOKUP(D1734,Sales_Reps!$A$2:$C$31,3,FALSE)</f>
        <v>North</v>
      </c>
      <c r="I1734" s="44">
        <f t="shared" si="57"/>
        <v>45292</v>
      </c>
      <c r="L1734" t="str">
        <f>Orders!K1734</f>
        <v>Pune</v>
      </c>
      <c r="M1734">
        <f>Orders!G1734</f>
        <v>620</v>
      </c>
      <c r="N1734">
        <f>IFERROR(VLOOKUP(Orders!D1734,Products!$A$2:$D$61,4,FALSE),"")</f>
        <v>396</v>
      </c>
      <c r="O1734">
        <f t="shared" si="58"/>
        <v>0.36129032258064514</v>
      </c>
      <c r="Q1734" t="str">
        <f>Orders!D1734</f>
        <v>PROD-016</v>
      </c>
    </row>
    <row r="1735" spans="1:17" x14ac:dyDescent="0.3">
      <c r="A1735" t="str">
        <f>Orders!A1735</f>
        <v>ORD-01734</v>
      </c>
      <c r="B1735">
        <f>Orders!B1735</f>
        <v>45455</v>
      </c>
      <c r="C1735">
        <f>Orders!I1735</f>
        <v>17656.32</v>
      </c>
      <c r="D1735" t="str">
        <f>Orders!E1735</f>
        <v>R010</v>
      </c>
      <c r="E1735" t="str">
        <f>IFERROR(VLOOKUP(Orders!D1735,Products!$A$2:$C$61,3,FALSE),"Unknown")</f>
        <v>Electronics</v>
      </c>
      <c r="F1735" t="str">
        <f>IFERROR(VLOOKUP(Orders!C1735,Customers!$A$2:$E$301,5,FALSE),"Unknown")</f>
        <v>Corporate</v>
      </c>
      <c r="G1735">
        <f>IFERROR(VLOOKUP(Orders!C1735,Customers!$A$2:$C$301,3,FALSE),"")</f>
        <v>27</v>
      </c>
      <c r="H1735" t="str">
        <f>VLOOKUP(D1735,Sales_Reps!$A$2:$C$31,3,FALSE)</f>
        <v>South</v>
      </c>
      <c r="I1735" s="44">
        <f t="shared" si="57"/>
        <v>45444</v>
      </c>
      <c r="L1735" t="str">
        <f>Orders!K1735</f>
        <v>Delhi</v>
      </c>
      <c r="M1735">
        <f>Orders!G1735</f>
        <v>2640</v>
      </c>
      <c r="N1735">
        <f>IFERROR(VLOOKUP(Orders!D1735,Products!$A$2:$D$61,4,FALSE),"")</f>
        <v>1149</v>
      </c>
      <c r="O1735">
        <f t="shared" si="58"/>
        <v>0.56477272727272732</v>
      </c>
      <c r="Q1735" t="str">
        <f>Orders!D1735</f>
        <v>PROD-010</v>
      </c>
    </row>
    <row r="1736" spans="1:17" x14ac:dyDescent="0.3">
      <c r="A1736" t="str">
        <f>Orders!A1736</f>
        <v>ORD-01735</v>
      </c>
      <c r="B1736">
        <f>Orders!B1736</f>
        <v>45564</v>
      </c>
      <c r="C1736">
        <f>Orders!I1736</f>
        <v>20598.48</v>
      </c>
      <c r="D1736" t="str">
        <f>Orders!E1736</f>
        <v>R004</v>
      </c>
      <c r="E1736" t="str">
        <f>IFERROR(VLOOKUP(Orders!D1736,Products!$A$2:$C$61,3,FALSE),"Unknown")</f>
        <v>Grocery</v>
      </c>
      <c r="F1736" t="str">
        <f>IFERROR(VLOOKUP(Orders!C1736,Customers!$A$2:$E$301,5,FALSE),"Unknown")</f>
        <v>SMB</v>
      </c>
      <c r="G1736">
        <f>IFERROR(VLOOKUP(Orders!C1736,Customers!$A$2:$C$301,3,FALSE),"")</f>
        <v>57</v>
      </c>
      <c r="H1736" t="str">
        <f>VLOOKUP(D1736,Sales_Reps!$A$2:$C$31,3,FALSE)</f>
        <v>North</v>
      </c>
      <c r="I1736" s="44">
        <f t="shared" si="57"/>
        <v>45536</v>
      </c>
      <c r="L1736" t="str">
        <f>Orders!K1736</f>
        <v>Chennai</v>
      </c>
      <c r="M1736">
        <f>Orders!G1736</f>
        <v>3660</v>
      </c>
      <c r="N1736">
        <f>IFERROR(VLOOKUP(Orders!D1736,Products!$A$2:$D$61,4,FALSE),"")</f>
        <v>2214</v>
      </c>
      <c r="O1736">
        <f t="shared" si="58"/>
        <v>0.39508196721311473</v>
      </c>
      <c r="Q1736" t="str">
        <f>Orders!D1736</f>
        <v>PROD-028</v>
      </c>
    </row>
    <row r="1737" spans="1:17" x14ac:dyDescent="0.3">
      <c r="A1737" t="str">
        <f>Orders!A1737</f>
        <v>ORD-01736</v>
      </c>
      <c r="B1737">
        <f>Orders!B1737</f>
        <v>45507</v>
      </c>
      <c r="C1737">
        <f>Orders!I1737</f>
        <v>1223.44</v>
      </c>
      <c r="D1737" t="str">
        <f>Orders!E1737</f>
        <v>R020</v>
      </c>
      <c r="E1737" t="str">
        <f>IFERROR(VLOOKUP(Orders!D1737,Products!$A$2:$C$61,3,FALSE),"Unknown")</f>
        <v>Apparel</v>
      </c>
      <c r="F1737" t="str">
        <f>IFERROR(VLOOKUP(Orders!C1737,Customers!$A$2:$E$301,5,FALSE),"Unknown")</f>
        <v>Retail</v>
      </c>
      <c r="G1737">
        <f>IFERROR(VLOOKUP(Orders!C1737,Customers!$A$2:$C$301,3,FALSE),"")</f>
        <v>50</v>
      </c>
      <c r="H1737" t="str">
        <f>VLOOKUP(D1737,Sales_Reps!$A$2:$C$31,3,FALSE)</f>
        <v>East</v>
      </c>
      <c r="I1737" s="44">
        <f t="shared" si="57"/>
        <v>45505</v>
      </c>
      <c r="L1737" t="str">
        <f>Orders!K1737</f>
        <v>Hyderabad</v>
      </c>
      <c r="M1737">
        <f>Orders!G1737</f>
        <v>820</v>
      </c>
      <c r="N1737">
        <f>IFERROR(VLOOKUP(Orders!D1737,Products!$A$2:$D$61,4,FALSE),"")</f>
        <v>391</v>
      </c>
      <c r="O1737">
        <f t="shared" si="58"/>
        <v>0.52317073170731709</v>
      </c>
      <c r="Q1737" t="str">
        <f>Orders!D1737</f>
        <v>PROD-020</v>
      </c>
    </row>
    <row r="1738" spans="1:17" x14ac:dyDescent="0.3">
      <c r="A1738" t="str">
        <f>Orders!A1738</f>
        <v>ORD-01737</v>
      </c>
      <c r="B1738">
        <f>Orders!B1738</f>
        <v>45596</v>
      </c>
      <c r="C1738">
        <f>Orders!I1738</f>
        <v>5304.72</v>
      </c>
      <c r="D1738" t="str">
        <f>Orders!E1738</f>
        <v>R021</v>
      </c>
      <c r="E1738" t="str">
        <f>IFERROR(VLOOKUP(Orders!D1738,Products!$A$2:$C$61,3,FALSE),"Unknown")</f>
        <v>Apparel</v>
      </c>
      <c r="F1738" t="str">
        <f>IFERROR(VLOOKUP(Orders!C1738,Customers!$A$2:$E$301,5,FALSE),"Unknown")</f>
        <v>Retail</v>
      </c>
      <c r="G1738">
        <f>IFERROR(VLOOKUP(Orders!C1738,Customers!$A$2:$C$301,3,FALSE),"")</f>
        <v>29</v>
      </c>
      <c r="H1738" t="str">
        <f>VLOOKUP(D1738,Sales_Reps!$A$2:$C$31,3,FALSE)</f>
        <v>East</v>
      </c>
      <c r="I1738" s="44">
        <f t="shared" si="57"/>
        <v>45566</v>
      </c>
      <c r="L1738" t="str">
        <f>Orders!K1738</f>
        <v>Mumbai</v>
      </c>
      <c r="M1738">
        <f>Orders!G1738</f>
        <v>2480</v>
      </c>
      <c r="N1738">
        <f>IFERROR(VLOOKUP(Orders!D1738,Products!$A$2:$D$61,4,FALSE),"")</f>
        <v>1173</v>
      </c>
      <c r="O1738">
        <f t="shared" si="58"/>
        <v>0.52701612903225803</v>
      </c>
      <c r="Q1738" t="str">
        <f>Orders!D1738</f>
        <v>PROD-019</v>
      </c>
    </row>
    <row r="1739" spans="1:17" x14ac:dyDescent="0.3">
      <c r="A1739" t="str">
        <f>Orders!A1739</f>
        <v>ORD-01738</v>
      </c>
      <c r="B1739">
        <f>Orders!B1739</f>
        <v>45534</v>
      </c>
      <c r="C1739">
        <f>Orders!I1739</f>
        <v>49308.800000000003</v>
      </c>
      <c r="D1739" t="str">
        <f>Orders!E1739</f>
        <v>R028</v>
      </c>
      <c r="E1739" t="str">
        <f>IFERROR(VLOOKUP(Orders!D1739,Products!$A$2:$C$61,3,FALSE),"Unknown")</f>
        <v>Beauty</v>
      </c>
      <c r="F1739" t="str">
        <f>IFERROR(VLOOKUP(Orders!C1739,Customers!$A$2:$E$301,5,FALSE),"Unknown")</f>
        <v>Retail</v>
      </c>
      <c r="G1739">
        <f>IFERROR(VLOOKUP(Orders!C1739,Customers!$A$2:$C$301,3,FALSE),"")</f>
        <v>32</v>
      </c>
      <c r="H1739" t="str">
        <f>VLOOKUP(D1739,Sales_Reps!$A$2:$C$31,3,FALSE)</f>
        <v>West</v>
      </c>
      <c r="I1739" s="44">
        <f t="shared" si="57"/>
        <v>45505</v>
      </c>
      <c r="L1739" t="str">
        <f>Orders!K1739</f>
        <v>Chennai</v>
      </c>
      <c r="M1739">
        <f>Orders!G1739</f>
        <v>6080</v>
      </c>
      <c r="N1739">
        <f>IFERROR(VLOOKUP(Orders!D1739,Products!$A$2:$D$61,4,FALSE),"")</f>
        <v>2617</v>
      </c>
      <c r="O1739">
        <f t="shared" si="58"/>
        <v>0.56957236842105263</v>
      </c>
      <c r="Q1739" t="str">
        <f>Orders!D1739</f>
        <v>PROD-050</v>
      </c>
    </row>
    <row r="1740" spans="1:17" x14ac:dyDescent="0.3">
      <c r="A1740" t="str">
        <f>Orders!A1740</f>
        <v>ORD-01739</v>
      </c>
      <c r="B1740">
        <f>Orders!B1740</f>
        <v>45336</v>
      </c>
      <c r="C1740">
        <f>Orders!I1740</f>
        <v>179.17</v>
      </c>
      <c r="D1740" t="str">
        <f>Orders!E1740</f>
        <v>R022</v>
      </c>
      <c r="E1740" t="str">
        <f>IFERROR(VLOOKUP(Orders!D1740,Products!$A$2:$C$61,3,FALSE),"Unknown")</f>
        <v>Sports</v>
      </c>
      <c r="F1740" t="str">
        <f>IFERROR(VLOOKUP(Orders!C1740,Customers!$A$2:$E$301,5,FALSE),"Unknown")</f>
        <v>SMB</v>
      </c>
      <c r="G1740">
        <f>IFERROR(VLOOKUP(Orders!C1740,Customers!$A$2:$C$301,3,FALSE),"")</f>
        <v>39</v>
      </c>
      <c r="H1740" t="str">
        <f>VLOOKUP(D1740,Sales_Reps!$A$2:$C$31,3,FALSE)</f>
        <v>East</v>
      </c>
      <c r="I1740" s="44">
        <f t="shared" si="57"/>
        <v>45323</v>
      </c>
      <c r="L1740" t="str">
        <f>Orders!K1740</f>
        <v>Pune</v>
      </c>
      <c r="M1740">
        <f>Orders!G1740</f>
        <v>190</v>
      </c>
      <c r="N1740">
        <f>IFERROR(VLOOKUP(Orders!D1740,Products!$A$2:$D$61,4,FALSE),"")</f>
        <v>147</v>
      </c>
      <c r="O1740">
        <f t="shared" si="58"/>
        <v>0.22631578947368422</v>
      </c>
      <c r="Q1740" t="str">
        <f>Orders!D1740</f>
        <v>PROD-060</v>
      </c>
    </row>
    <row r="1741" spans="1:17" x14ac:dyDescent="0.3">
      <c r="A1741" t="str">
        <f>Orders!A1741</f>
        <v>ORD-01740</v>
      </c>
      <c r="B1741">
        <f>Orders!B1741</f>
        <v>45463</v>
      </c>
      <c r="C1741">
        <f>Orders!I1741</f>
        <v>6667.92</v>
      </c>
      <c r="D1741" t="str">
        <f>Orders!E1741</f>
        <v>R026</v>
      </c>
      <c r="E1741" t="str">
        <f>IFERROR(VLOOKUP(Orders!D1741,Products!$A$2:$C$61,3,FALSE),"Unknown")</f>
        <v>Sports</v>
      </c>
      <c r="F1741" t="str">
        <f>IFERROR(VLOOKUP(Orders!C1741,Customers!$A$2:$E$301,5,FALSE),"Unknown")</f>
        <v>Retail</v>
      </c>
      <c r="G1741">
        <f>IFERROR(VLOOKUP(Orders!C1741,Customers!$A$2:$C$301,3,FALSE),"")</f>
        <v>41</v>
      </c>
      <c r="H1741" t="str">
        <f>VLOOKUP(D1741,Sales_Reps!$A$2:$C$31,3,FALSE)</f>
        <v>West</v>
      </c>
      <c r="I1741" s="44">
        <f t="shared" si="57"/>
        <v>45444</v>
      </c>
      <c r="L1741" t="str">
        <f>Orders!K1741</f>
        <v>Delhi</v>
      </c>
      <c r="M1741">
        <f>Orders!G1741</f>
        <v>3780</v>
      </c>
      <c r="N1741">
        <f>IFERROR(VLOOKUP(Orders!D1741,Products!$A$2:$D$61,4,FALSE),"")</f>
        <v>1860</v>
      </c>
      <c r="O1741">
        <f t="shared" si="58"/>
        <v>0.50793650793650791</v>
      </c>
      <c r="Q1741" t="str">
        <f>Orders!D1741</f>
        <v>PROD-059</v>
      </c>
    </row>
    <row r="1742" spans="1:17" x14ac:dyDescent="0.3">
      <c r="A1742" t="str">
        <f>Orders!A1742</f>
        <v>ORD-01741</v>
      </c>
      <c r="B1742">
        <f>Orders!B1742</f>
        <v>45602</v>
      </c>
      <c r="C1742">
        <f>Orders!I1742</f>
        <v>13016.25</v>
      </c>
      <c r="D1742" t="str">
        <f>Orders!E1742</f>
        <v>R001</v>
      </c>
      <c r="E1742" t="str">
        <f>IFERROR(VLOOKUP(Orders!D1742,Products!$A$2:$C$61,3,FALSE),"Unknown")</f>
        <v>Home</v>
      </c>
      <c r="F1742" t="str">
        <f>IFERROR(VLOOKUP(Orders!C1742,Customers!$A$2:$E$301,5,FALSE),"Unknown")</f>
        <v>Retail</v>
      </c>
      <c r="G1742">
        <f>IFERROR(VLOOKUP(Orders!C1742,Customers!$A$2:$C$301,3,FALSE),"")</f>
        <v>34</v>
      </c>
      <c r="H1742" t="str">
        <f>VLOOKUP(D1742,Sales_Reps!$A$2:$C$31,3,FALSE)</f>
        <v>North</v>
      </c>
      <c r="I1742" s="44">
        <f t="shared" si="57"/>
        <v>45597</v>
      </c>
      <c r="L1742" t="str">
        <f>Orders!K1742</f>
        <v>Bengaluru</v>
      </c>
      <c r="M1742">
        <f>Orders!G1742</f>
        <v>3250</v>
      </c>
      <c r="N1742">
        <f>IFERROR(VLOOKUP(Orders!D1742,Products!$A$2:$D$61,4,FALSE),"")</f>
        <v>1556</v>
      </c>
      <c r="O1742">
        <f t="shared" si="58"/>
        <v>0.52123076923076928</v>
      </c>
      <c r="Q1742" t="str">
        <f>Orders!D1742</f>
        <v>PROD-036</v>
      </c>
    </row>
    <row r="1743" spans="1:17" x14ac:dyDescent="0.3">
      <c r="A1743" t="str">
        <f>Orders!A1743</f>
        <v>ORD-01742</v>
      </c>
      <c r="B1743">
        <f>Orders!B1743</f>
        <v>45365</v>
      </c>
      <c r="C1743">
        <f>Orders!I1743</f>
        <v>13627.39</v>
      </c>
      <c r="D1743" t="str">
        <f>Orders!E1743</f>
        <v>R008</v>
      </c>
      <c r="E1743" t="str">
        <f>IFERROR(VLOOKUP(Orders!D1743,Products!$A$2:$C$61,3,FALSE),"Unknown")</f>
        <v>Home</v>
      </c>
      <c r="F1743" t="str">
        <f>IFERROR(VLOOKUP(Orders!C1743,Customers!$A$2:$E$301,5,FALSE),"Unknown")</f>
        <v>SMB</v>
      </c>
      <c r="G1743">
        <f>IFERROR(VLOOKUP(Orders!C1743,Customers!$A$2:$C$301,3,FALSE),"")</f>
        <v>34</v>
      </c>
      <c r="H1743" t="str">
        <f>VLOOKUP(D1743,Sales_Reps!$A$2:$C$31,3,FALSE)</f>
        <v>North</v>
      </c>
      <c r="I1743" s="44">
        <f t="shared" si="57"/>
        <v>45352</v>
      </c>
      <c r="L1743" t="str">
        <f>Orders!K1743</f>
        <v>Hyderabad</v>
      </c>
      <c r="M1743">
        <f>Orders!G1743</f>
        <v>2030</v>
      </c>
      <c r="N1743">
        <f>IFERROR(VLOOKUP(Orders!D1743,Products!$A$2:$D$61,4,FALSE),"")</f>
        <v>1143</v>
      </c>
      <c r="O1743">
        <f t="shared" si="58"/>
        <v>0.43694581280788175</v>
      </c>
      <c r="Q1743" t="str">
        <f>Orders!D1743</f>
        <v>PROD-033</v>
      </c>
    </row>
    <row r="1744" spans="1:17" x14ac:dyDescent="0.3">
      <c r="A1744" t="str">
        <f>Orders!A1744</f>
        <v>ORD-01743</v>
      </c>
      <c r="B1744">
        <f>Orders!B1744</f>
        <v>45651</v>
      </c>
      <c r="C1744">
        <f>Orders!I1744</f>
        <v>18812.400000000001</v>
      </c>
      <c r="D1744" t="str">
        <f>Orders!E1744</f>
        <v>R012</v>
      </c>
      <c r="E1744" t="str">
        <f>IFERROR(VLOOKUP(Orders!D1744,Products!$A$2:$C$61,3,FALSE),"Unknown")</f>
        <v>Beauty</v>
      </c>
      <c r="F1744" t="str">
        <f>IFERROR(VLOOKUP(Orders!C1744,Customers!$A$2:$E$301,5,FALSE),"Unknown")</f>
        <v>Retail</v>
      </c>
      <c r="G1744">
        <f>IFERROR(VLOOKUP(Orders!C1744,Customers!$A$2:$C$301,3,FALSE),"")</f>
        <v>65</v>
      </c>
      <c r="H1744" t="str">
        <f>VLOOKUP(D1744,Sales_Reps!$A$2:$C$31,3,FALSE)</f>
        <v>South</v>
      </c>
      <c r="I1744" s="44">
        <f t="shared" si="57"/>
        <v>45627</v>
      </c>
      <c r="L1744" t="str">
        <f>Orders!K1744</f>
        <v>Hyderabad</v>
      </c>
      <c r="M1744">
        <f>Orders!G1744</f>
        <v>4880</v>
      </c>
      <c r="N1744">
        <f>IFERROR(VLOOKUP(Orders!D1744,Products!$A$2:$D$61,4,FALSE),"")</f>
        <v>2768</v>
      </c>
      <c r="O1744">
        <f t="shared" si="58"/>
        <v>0.43278688524590164</v>
      </c>
      <c r="Q1744" t="str">
        <f>Orders!D1744</f>
        <v>PROD-046</v>
      </c>
    </row>
    <row r="1745" spans="1:17" x14ac:dyDescent="0.3">
      <c r="A1745" t="str">
        <f>Orders!A1745</f>
        <v>ORD-01744</v>
      </c>
      <c r="B1745">
        <f>Orders!B1745</f>
        <v>45297</v>
      </c>
      <c r="C1745">
        <f>Orders!I1745</f>
        <v>8522.4</v>
      </c>
      <c r="D1745" t="str">
        <f>Orders!E1745</f>
        <v>R020</v>
      </c>
      <c r="E1745" t="str">
        <f>IFERROR(VLOOKUP(Orders!D1745,Products!$A$2:$C$61,3,FALSE),"Unknown")</f>
        <v>Beauty</v>
      </c>
      <c r="F1745" t="str">
        <f>IFERROR(VLOOKUP(Orders!C1745,Customers!$A$2:$E$301,5,FALSE),"Unknown")</f>
        <v>SMB</v>
      </c>
      <c r="G1745">
        <f>IFERROR(VLOOKUP(Orders!C1745,Customers!$A$2:$C$301,3,FALSE),"")</f>
        <v>29</v>
      </c>
      <c r="H1745" t="str">
        <f>VLOOKUP(D1745,Sales_Reps!$A$2:$C$31,3,FALSE)</f>
        <v>East</v>
      </c>
      <c r="I1745" s="44">
        <f t="shared" si="57"/>
        <v>45292</v>
      </c>
      <c r="L1745" t="str">
        <f>Orders!K1745</f>
        <v>Hyderabad</v>
      </c>
      <c r="M1745">
        <f>Orders!G1745</f>
        <v>3350</v>
      </c>
      <c r="N1745">
        <f>IFERROR(VLOOKUP(Orders!D1745,Products!$A$2:$D$61,4,FALSE),"")</f>
        <v>1728</v>
      </c>
      <c r="O1745">
        <f t="shared" si="58"/>
        <v>0.48417910447761192</v>
      </c>
      <c r="Q1745" t="str">
        <f>Orders!D1745</f>
        <v>PROD-043</v>
      </c>
    </row>
    <row r="1746" spans="1:17" x14ac:dyDescent="0.3">
      <c r="A1746" t="str">
        <f>Orders!A1746</f>
        <v>ORD-01745</v>
      </c>
      <c r="B1746">
        <f>Orders!B1746</f>
        <v>45425</v>
      </c>
      <c r="C1746">
        <f>Orders!I1746</f>
        <v>24310</v>
      </c>
      <c r="D1746" t="str">
        <f>Orders!E1746</f>
        <v>R029</v>
      </c>
      <c r="E1746" t="str">
        <f>IFERROR(VLOOKUP(Orders!D1746,Products!$A$2:$C$61,3,FALSE),"Unknown")</f>
        <v>Sports</v>
      </c>
      <c r="F1746" t="str">
        <f>IFERROR(VLOOKUP(Orders!C1746,Customers!$A$2:$E$301,5,FALSE),"Unknown")</f>
        <v>Retail</v>
      </c>
      <c r="G1746">
        <f>IFERROR(VLOOKUP(Orders!C1746,Customers!$A$2:$C$301,3,FALSE),"")</f>
        <v>59</v>
      </c>
      <c r="H1746" t="str">
        <f>VLOOKUP(D1746,Sales_Reps!$A$2:$C$31,3,FALSE)</f>
        <v>West</v>
      </c>
      <c r="I1746" s="44">
        <f t="shared" si="57"/>
        <v>45413</v>
      </c>
      <c r="L1746" t="str">
        <f>Orders!K1746</f>
        <v>Pune</v>
      </c>
      <c r="M1746">
        <f>Orders!G1746</f>
        <v>2860</v>
      </c>
      <c r="N1746">
        <f>IFERROR(VLOOKUP(Orders!D1746,Products!$A$2:$D$61,4,FALSE),"")</f>
        <v>2028</v>
      </c>
      <c r="O1746">
        <f t="shared" si="58"/>
        <v>0.29090909090909089</v>
      </c>
      <c r="Q1746" t="str">
        <f>Orders!D1746</f>
        <v>PROD-055</v>
      </c>
    </row>
    <row r="1747" spans="1:17" x14ac:dyDescent="0.3">
      <c r="A1747" t="str">
        <f>Orders!A1747</f>
        <v>ORD-01746</v>
      </c>
      <c r="B1747">
        <f>Orders!B1747</f>
        <v>45444</v>
      </c>
      <c r="C1747">
        <f>Orders!I1747</f>
        <v>16853.25</v>
      </c>
      <c r="D1747" t="str">
        <f>Orders!E1747</f>
        <v>R018</v>
      </c>
      <c r="E1747" t="str">
        <f>IFERROR(VLOOKUP(Orders!D1747,Products!$A$2:$C$61,3,FALSE),"Unknown")</f>
        <v>Beauty</v>
      </c>
      <c r="F1747" t="str">
        <f>IFERROR(VLOOKUP(Orders!C1747,Customers!$A$2:$E$301,5,FALSE),"Unknown")</f>
        <v>Retail</v>
      </c>
      <c r="G1747">
        <f>IFERROR(VLOOKUP(Orders!C1747,Customers!$A$2:$C$301,3,FALSE),"")</f>
        <v>42</v>
      </c>
      <c r="H1747" t="str">
        <f>VLOOKUP(D1747,Sales_Reps!$A$2:$C$31,3,FALSE)</f>
        <v>East</v>
      </c>
      <c r="I1747" s="44">
        <f t="shared" si="57"/>
        <v>45444</v>
      </c>
      <c r="L1747" t="str">
        <f>Orders!K1747</f>
        <v>Bengaluru</v>
      </c>
      <c r="M1747">
        <f>Orders!G1747</f>
        <v>3450</v>
      </c>
      <c r="N1747">
        <f>IFERROR(VLOOKUP(Orders!D1747,Products!$A$2:$D$61,4,FALSE),"")</f>
        <v>2420</v>
      </c>
      <c r="O1747">
        <f t="shared" si="58"/>
        <v>0.29855072463768118</v>
      </c>
      <c r="Q1747" t="str">
        <f>Orders!D1747</f>
        <v>PROD-047</v>
      </c>
    </row>
    <row r="1748" spans="1:17" x14ac:dyDescent="0.3">
      <c r="A1748" t="str">
        <f>Orders!A1748</f>
        <v>ORD-01747</v>
      </c>
      <c r="B1748">
        <f>Orders!B1748</f>
        <v>45397</v>
      </c>
      <c r="C1748">
        <f>Orders!I1748</f>
        <v>6619.32</v>
      </c>
      <c r="D1748" t="str">
        <f>Orders!E1748</f>
        <v>R015</v>
      </c>
      <c r="E1748" t="str">
        <f>IFERROR(VLOOKUP(Orders!D1748,Products!$A$2:$C$61,3,FALSE),"Unknown")</f>
        <v>Grocery</v>
      </c>
      <c r="F1748" t="str">
        <f>IFERROR(VLOOKUP(Orders!C1748,Customers!$A$2:$E$301,5,FALSE),"Unknown")</f>
        <v>SMB</v>
      </c>
      <c r="G1748">
        <f>IFERROR(VLOOKUP(Orders!C1748,Customers!$A$2:$C$301,3,FALSE),"")</f>
        <v>44</v>
      </c>
      <c r="H1748" t="str">
        <f>VLOOKUP(D1748,Sales_Reps!$A$2:$C$31,3,FALSE)</f>
        <v>South</v>
      </c>
      <c r="I1748" s="44">
        <f t="shared" si="57"/>
        <v>45383</v>
      </c>
      <c r="L1748" t="str">
        <f>Orders!K1748</f>
        <v>Pune</v>
      </c>
      <c r="M1748">
        <f>Orders!G1748</f>
        <v>2270</v>
      </c>
      <c r="N1748">
        <f>IFERROR(VLOOKUP(Orders!D1748,Products!$A$2:$D$61,4,FALSE),"")</f>
        <v>1203</v>
      </c>
      <c r="O1748">
        <f t="shared" si="58"/>
        <v>0.47004405286343615</v>
      </c>
      <c r="Q1748" t="str">
        <f>Orders!D1748</f>
        <v>PROD-024</v>
      </c>
    </row>
    <row r="1749" spans="1:17" x14ac:dyDescent="0.3">
      <c r="A1749" t="str">
        <f>Orders!A1749</f>
        <v>ORD-01748</v>
      </c>
      <c r="B1749">
        <f>Orders!B1749</f>
        <v>45354</v>
      </c>
      <c r="C1749">
        <f>Orders!I1749</f>
        <v>24360.959999999999</v>
      </c>
      <c r="D1749" t="str">
        <f>Orders!E1749</f>
        <v>R007</v>
      </c>
      <c r="E1749" t="str">
        <f>IFERROR(VLOOKUP(Orders!D1749,Products!$A$2:$C$61,3,FALSE),"Unknown")</f>
        <v>Grocery</v>
      </c>
      <c r="F1749" t="str">
        <f>IFERROR(VLOOKUP(Orders!C1749,Customers!$A$2:$E$301,5,FALSE),"Unknown")</f>
        <v>SMB</v>
      </c>
      <c r="G1749">
        <f>IFERROR(VLOOKUP(Orders!C1749,Customers!$A$2:$C$301,3,FALSE),"")</f>
        <v>29</v>
      </c>
      <c r="H1749" t="str">
        <f>VLOOKUP(D1749,Sales_Reps!$A$2:$C$31,3,FALSE)</f>
        <v>North</v>
      </c>
      <c r="I1749" s="44">
        <f t="shared" si="57"/>
        <v>45352</v>
      </c>
      <c r="L1749" t="str">
        <f>Orders!K1749</f>
        <v>Delhi</v>
      </c>
      <c r="M1749">
        <f>Orders!G1749</f>
        <v>3660</v>
      </c>
      <c r="N1749">
        <f>IFERROR(VLOOKUP(Orders!D1749,Products!$A$2:$D$61,4,FALSE),"")</f>
        <v>2214</v>
      </c>
      <c r="O1749">
        <f t="shared" si="58"/>
        <v>0.39508196721311473</v>
      </c>
      <c r="Q1749" t="str">
        <f>Orders!D1749</f>
        <v>PROD-028</v>
      </c>
    </row>
    <row r="1750" spans="1:17" x14ac:dyDescent="0.3">
      <c r="A1750" t="str">
        <f>Orders!A1750</f>
        <v>ORD-01749</v>
      </c>
      <c r="B1750">
        <f>Orders!B1750</f>
        <v>45469</v>
      </c>
      <c r="C1750">
        <f>Orders!I1750</f>
        <v>17377.080000000002</v>
      </c>
      <c r="D1750" t="str">
        <f>Orders!E1750</f>
        <v>R008</v>
      </c>
      <c r="E1750" t="str">
        <f>IFERROR(VLOOKUP(Orders!D1750,Products!$A$2:$C$61,3,FALSE),"Unknown")</f>
        <v>Beauty</v>
      </c>
      <c r="F1750" t="str">
        <f>IFERROR(VLOOKUP(Orders!C1750,Customers!$A$2:$E$301,5,FALSE),"Unknown")</f>
        <v>Retail</v>
      </c>
      <c r="G1750">
        <f>IFERROR(VLOOKUP(Orders!C1750,Customers!$A$2:$C$301,3,FALSE),"")</f>
        <v>53</v>
      </c>
      <c r="H1750" t="str">
        <f>VLOOKUP(D1750,Sales_Reps!$A$2:$C$31,3,FALSE)</f>
        <v>North</v>
      </c>
      <c r="I1750" s="44">
        <f t="shared" si="57"/>
        <v>45444</v>
      </c>
      <c r="L1750" t="str">
        <f>Orders!K1750</f>
        <v>Mumbai</v>
      </c>
      <c r="M1750">
        <f>Orders!G1750</f>
        <v>3020</v>
      </c>
      <c r="N1750">
        <f>IFERROR(VLOOKUP(Orders!D1750,Products!$A$2:$D$61,4,FALSE),"")</f>
        <v>1626</v>
      </c>
      <c r="O1750">
        <f t="shared" si="58"/>
        <v>0.46158940397350995</v>
      </c>
      <c r="Q1750" t="str">
        <f>Orders!D1750</f>
        <v>PROD-045</v>
      </c>
    </row>
    <row r="1751" spans="1:17" x14ac:dyDescent="0.3">
      <c r="A1751" t="str">
        <f>Orders!A1751</f>
        <v>ORD-01750</v>
      </c>
      <c r="B1751">
        <f>Orders!B1751</f>
        <v>45587</v>
      </c>
      <c r="C1751">
        <f>Orders!I1751</f>
        <v>6584.76</v>
      </c>
      <c r="D1751" t="str">
        <f>Orders!E1751</f>
        <v>R014</v>
      </c>
      <c r="E1751" t="str">
        <f>IFERROR(VLOOKUP(Orders!D1751,Products!$A$2:$C$61,3,FALSE),"Unknown")</f>
        <v>Home</v>
      </c>
      <c r="F1751" t="str">
        <f>IFERROR(VLOOKUP(Orders!C1751,Customers!$A$2:$E$301,5,FALSE),"Unknown")</f>
        <v>Retail</v>
      </c>
      <c r="G1751">
        <f>IFERROR(VLOOKUP(Orders!C1751,Customers!$A$2:$C$301,3,FALSE),"")</f>
        <v>54</v>
      </c>
      <c r="H1751" t="str">
        <f>VLOOKUP(D1751,Sales_Reps!$A$2:$C$31,3,FALSE)</f>
        <v>South</v>
      </c>
      <c r="I1751" s="44">
        <f t="shared" si="57"/>
        <v>45566</v>
      </c>
      <c r="L1751" t="str">
        <f>Orders!K1751</f>
        <v>Bengaluru</v>
      </c>
      <c r="M1751">
        <f>Orders!G1751</f>
        <v>1080</v>
      </c>
      <c r="N1751">
        <f>IFERROR(VLOOKUP(Orders!D1751,Products!$A$2:$D$61,4,FALSE),"")</f>
        <v>519</v>
      </c>
      <c r="O1751">
        <f t="shared" si="58"/>
        <v>0.51944444444444449</v>
      </c>
      <c r="Q1751" t="str">
        <f>Orders!D1751</f>
        <v>PROD-040</v>
      </c>
    </row>
    <row r="1752" spans="1:17" x14ac:dyDescent="0.3">
      <c r="A1752" t="str">
        <f>Orders!A1752</f>
        <v>ORD-01751</v>
      </c>
      <c r="B1752">
        <f>Orders!B1752</f>
        <v>45494</v>
      </c>
      <c r="C1752">
        <f>Orders!I1752</f>
        <v>4149.5600000000004</v>
      </c>
      <c r="D1752" t="str">
        <f>Orders!E1752</f>
        <v>R012</v>
      </c>
      <c r="E1752" t="str">
        <f>IFERROR(VLOOKUP(Orders!D1752,Products!$A$2:$C$61,3,FALSE),"Unknown")</f>
        <v>Grocery</v>
      </c>
      <c r="F1752" t="str">
        <f>IFERROR(VLOOKUP(Orders!C1752,Customers!$A$2:$E$301,5,FALSE),"Unknown")</f>
        <v>SMB</v>
      </c>
      <c r="G1752">
        <f>IFERROR(VLOOKUP(Orders!C1752,Customers!$A$2:$C$301,3,FALSE),"")</f>
        <v>61</v>
      </c>
      <c r="H1752" t="str">
        <f>VLOOKUP(D1752,Sales_Reps!$A$2:$C$31,3,FALSE)</f>
        <v>South</v>
      </c>
      <c r="I1752" s="44">
        <f t="shared" si="57"/>
        <v>45474</v>
      </c>
      <c r="L1752" t="str">
        <f>Orders!K1752</f>
        <v>Mumbai</v>
      </c>
      <c r="M1752">
        <f>Orders!G1752</f>
        <v>2270</v>
      </c>
      <c r="N1752">
        <f>IFERROR(VLOOKUP(Orders!D1752,Products!$A$2:$D$61,4,FALSE),"")</f>
        <v>1412</v>
      </c>
      <c r="O1752">
        <f t="shared" si="58"/>
        <v>0.37797356828193834</v>
      </c>
      <c r="Q1752" t="str">
        <f>Orders!D1752</f>
        <v>PROD-022</v>
      </c>
    </row>
    <row r="1753" spans="1:17" x14ac:dyDescent="0.3">
      <c r="A1753" t="str">
        <f>Orders!A1753</f>
        <v>ORD-01752</v>
      </c>
      <c r="B1753">
        <f>Orders!B1753</f>
        <v>45445</v>
      </c>
      <c r="C1753">
        <f>Orders!I1753</f>
        <v>4581.8</v>
      </c>
      <c r="D1753" t="str">
        <f>Orders!E1753</f>
        <v>R012</v>
      </c>
      <c r="E1753" t="str">
        <f>IFERROR(VLOOKUP(Orders!D1753,Products!$A$2:$C$61,3,FALSE),"Unknown")</f>
        <v>Apparel</v>
      </c>
      <c r="F1753" t="str">
        <f>IFERROR(VLOOKUP(Orders!C1753,Customers!$A$2:$E$301,5,FALSE),"Unknown")</f>
        <v>SMB</v>
      </c>
      <c r="G1753">
        <f>IFERROR(VLOOKUP(Orders!C1753,Customers!$A$2:$C$301,3,FALSE),"")</f>
        <v>54</v>
      </c>
      <c r="H1753" t="str">
        <f>VLOOKUP(D1753,Sales_Reps!$A$2:$C$31,3,FALSE)</f>
        <v>South</v>
      </c>
      <c r="I1753" s="44">
        <f t="shared" si="57"/>
        <v>45444</v>
      </c>
      <c r="L1753" t="str">
        <f>Orders!K1753</f>
        <v>Pune</v>
      </c>
      <c r="M1753">
        <f>Orders!G1753</f>
        <v>620</v>
      </c>
      <c r="N1753">
        <f>IFERROR(VLOOKUP(Orders!D1753,Products!$A$2:$D$61,4,FALSE),"")</f>
        <v>396</v>
      </c>
      <c r="O1753">
        <f t="shared" si="58"/>
        <v>0.36129032258064514</v>
      </c>
      <c r="Q1753" t="str">
        <f>Orders!D1753</f>
        <v>PROD-016</v>
      </c>
    </row>
    <row r="1754" spans="1:17" x14ac:dyDescent="0.3">
      <c r="A1754" t="str">
        <f>Orders!A1754</f>
        <v>ORD-01753</v>
      </c>
      <c r="B1754">
        <f>Orders!B1754</f>
        <v>45561</v>
      </c>
      <c r="C1754">
        <f>Orders!I1754</f>
        <v>7811.44</v>
      </c>
      <c r="D1754" t="str">
        <f>Orders!E1754</f>
        <v>R015</v>
      </c>
      <c r="E1754" t="str">
        <f>IFERROR(VLOOKUP(Orders!D1754,Products!$A$2:$C$61,3,FALSE),"Unknown")</f>
        <v>Grocery</v>
      </c>
      <c r="F1754" t="str">
        <f>IFERROR(VLOOKUP(Orders!C1754,Customers!$A$2:$E$301,5,FALSE),"Unknown")</f>
        <v>Retail</v>
      </c>
      <c r="G1754">
        <f>IFERROR(VLOOKUP(Orders!C1754,Customers!$A$2:$C$301,3,FALSE),"")</f>
        <v>52</v>
      </c>
      <c r="H1754" t="str">
        <f>VLOOKUP(D1754,Sales_Reps!$A$2:$C$31,3,FALSE)</f>
        <v>South</v>
      </c>
      <c r="I1754" s="44">
        <f t="shared" si="57"/>
        <v>45536</v>
      </c>
      <c r="L1754" t="str">
        <f>Orders!K1754</f>
        <v>Mumbai</v>
      </c>
      <c r="M1754">
        <f>Orders!G1754</f>
        <v>4060</v>
      </c>
      <c r="N1754">
        <f>IFERROR(VLOOKUP(Orders!D1754,Products!$A$2:$D$61,4,FALSE),"")</f>
        <v>2911</v>
      </c>
      <c r="O1754">
        <f t="shared" si="58"/>
        <v>0.28300492610837441</v>
      </c>
      <c r="Q1754" t="str">
        <f>Orders!D1754</f>
        <v>PROD-025</v>
      </c>
    </row>
    <row r="1755" spans="1:17" x14ac:dyDescent="0.3">
      <c r="A1755" t="str">
        <f>Orders!A1755</f>
        <v>ORD-01754</v>
      </c>
      <c r="B1755">
        <f>Orders!B1755</f>
        <v>45488</v>
      </c>
      <c r="C1755">
        <f>Orders!I1755</f>
        <v>2725.38</v>
      </c>
      <c r="D1755" t="str">
        <f>Orders!E1755</f>
        <v>R012</v>
      </c>
      <c r="E1755" t="str">
        <f>IFERROR(VLOOKUP(Orders!D1755,Products!$A$2:$C$61,3,FALSE),"Unknown")</f>
        <v>Grocery</v>
      </c>
      <c r="F1755" t="str">
        <f>IFERROR(VLOOKUP(Orders!C1755,Customers!$A$2:$E$301,5,FALSE),"Unknown")</f>
        <v>Corporate</v>
      </c>
      <c r="G1755">
        <f>IFERROR(VLOOKUP(Orders!C1755,Customers!$A$2:$C$301,3,FALSE),"")</f>
        <v>29</v>
      </c>
      <c r="H1755" t="str">
        <f>VLOOKUP(D1755,Sales_Reps!$A$2:$C$31,3,FALSE)</f>
        <v>South</v>
      </c>
      <c r="I1755" s="44">
        <f t="shared" si="57"/>
        <v>45474</v>
      </c>
      <c r="L1755" t="str">
        <f>Orders!K1755</f>
        <v>Hyderabad</v>
      </c>
      <c r="M1755">
        <f>Orders!G1755</f>
        <v>3780</v>
      </c>
      <c r="N1755">
        <f>IFERROR(VLOOKUP(Orders!D1755,Products!$A$2:$D$61,4,FALSE),"")</f>
        <v>2436</v>
      </c>
      <c r="O1755">
        <f t="shared" si="58"/>
        <v>0.35555555555555557</v>
      </c>
      <c r="Q1755" t="str">
        <f>Orders!D1755</f>
        <v>PROD-027</v>
      </c>
    </row>
    <row r="1756" spans="1:17" x14ac:dyDescent="0.3">
      <c r="A1756" t="str">
        <f>Orders!A1756</f>
        <v>ORD-01755</v>
      </c>
      <c r="B1756">
        <f>Orders!B1756</f>
        <v>45617</v>
      </c>
      <c r="C1756">
        <f>Orders!I1756</f>
        <v>18316.48</v>
      </c>
      <c r="D1756" t="str">
        <f>Orders!E1756</f>
        <v>R022</v>
      </c>
      <c r="E1756" t="str">
        <f>IFERROR(VLOOKUP(Orders!D1756,Products!$A$2:$C$61,3,FALSE),"Unknown")</f>
        <v>Grocery</v>
      </c>
      <c r="F1756" t="str">
        <f>IFERROR(VLOOKUP(Orders!C1756,Customers!$A$2:$E$301,5,FALSE),"Unknown")</f>
        <v>SMB</v>
      </c>
      <c r="G1756">
        <f>IFERROR(VLOOKUP(Orders!C1756,Customers!$A$2:$C$301,3,FALSE),"")</f>
        <v>55</v>
      </c>
      <c r="H1756" t="str">
        <f>VLOOKUP(D1756,Sales_Reps!$A$2:$C$31,3,FALSE)</f>
        <v>East</v>
      </c>
      <c r="I1756" s="44">
        <f t="shared" si="57"/>
        <v>45597</v>
      </c>
      <c r="L1756" t="str">
        <f>Orders!K1756</f>
        <v>Delhi</v>
      </c>
      <c r="M1756">
        <f>Orders!G1756</f>
        <v>2380</v>
      </c>
      <c r="N1756">
        <f>IFERROR(VLOOKUP(Orders!D1756,Products!$A$2:$D$61,4,FALSE),"")</f>
        <v>1182</v>
      </c>
      <c r="O1756">
        <f t="shared" si="58"/>
        <v>0.50336134453781511</v>
      </c>
      <c r="Q1756" t="str">
        <f>Orders!D1756</f>
        <v>PROD-023</v>
      </c>
    </row>
    <row r="1757" spans="1:17" x14ac:dyDescent="0.3">
      <c r="A1757" t="str">
        <f>Orders!A1757</f>
        <v>ORD-01756</v>
      </c>
      <c r="B1757">
        <f>Orders!B1757</f>
        <v>45378</v>
      </c>
      <c r="C1757">
        <f>Orders!I1757</f>
        <v>28404.53</v>
      </c>
      <c r="D1757" t="str">
        <f>Orders!E1757</f>
        <v>R024</v>
      </c>
      <c r="E1757" t="str">
        <f>IFERROR(VLOOKUP(Orders!D1757,Products!$A$2:$C$61,3,FALSE),"Unknown")</f>
        <v>Grocery</v>
      </c>
      <c r="F1757" t="str">
        <f>IFERROR(VLOOKUP(Orders!C1757,Customers!$A$2:$E$301,5,FALSE),"Unknown")</f>
        <v>Retail</v>
      </c>
      <c r="G1757">
        <f>IFERROR(VLOOKUP(Orders!C1757,Customers!$A$2:$C$301,3,FALSE),"")</f>
        <v>38</v>
      </c>
      <c r="H1757" t="str">
        <f>VLOOKUP(D1757,Sales_Reps!$A$2:$C$31,3,FALSE)</f>
        <v>West</v>
      </c>
      <c r="I1757" s="44">
        <f t="shared" si="57"/>
        <v>45352</v>
      </c>
      <c r="L1757" t="str">
        <f>Orders!K1757</f>
        <v>Chennai</v>
      </c>
      <c r="M1757">
        <f>Orders!G1757</f>
        <v>4070</v>
      </c>
      <c r="N1757">
        <f>IFERROR(VLOOKUP(Orders!D1757,Products!$A$2:$D$61,4,FALSE),"")</f>
        <v>2027</v>
      </c>
      <c r="O1757">
        <f t="shared" si="58"/>
        <v>0.50196560196560192</v>
      </c>
      <c r="Q1757" t="str">
        <f>Orders!D1757</f>
        <v>PROD-026</v>
      </c>
    </row>
    <row r="1758" spans="1:17" x14ac:dyDescent="0.3">
      <c r="A1758" t="str">
        <f>Orders!A1758</f>
        <v>ORD-01757</v>
      </c>
      <c r="B1758">
        <f>Orders!B1758</f>
        <v>45459</v>
      </c>
      <c r="C1758">
        <f>Orders!I1758</f>
        <v>15301.44</v>
      </c>
      <c r="D1758" t="str">
        <f>Orders!E1758</f>
        <v>R020</v>
      </c>
      <c r="E1758" t="str">
        <f>IFERROR(VLOOKUP(Orders!D1758,Products!$A$2:$C$61,3,FALSE),"Unknown")</f>
        <v>Electronics</v>
      </c>
      <c r="F1758" t="str">
        <f>IFERROR(VLOOKUP(Orders!C1758,Customers!$A$2:$E$301,5,FALSE),"Unknown")</f>
        <v>Retail</v>
      </c>
      <c r="G1758">
        <f>IFERROR(VLOOKUP(Orders!C1758,Customers!$A$2:$C$301,3,FALSE),"")</f>
        <v>29</v>
      </c>
      <c r="H1758" t="str">
        <f>VLOOKUP(D1758,Sales_Reps!$A$2:$C$31,3,FALSE)</f>
        <v>East</v>
      </c>
      <c r="I1758" s="44">
        <f t="shared" si="57"/>
        <v>45444</v>
      </c>
      <c r="L1758" t="str">
        <f>Orders!K1758</f>
        <v>Mumbai</v>
      </c>
      <c r="M1758">
        <f>Orders!G1758</f>
        <v>2640</v>
      </c>
      <c r="N1758">
        <f>IFERROR(VLOOKUP(Orders!D1758,Products!$A$2:$D$61,4,FALSE),"")</f>
        <v>1149</v>
      </c>
      <c r="O1758">
        <f t="shared" si="58"/>
        <v>0.56477272727272732</v>
      </c>
      <c r="Q1758" t="str">
        <f>Orders!D1758</f>
        <v>PROD-010</v>
      </c>
    </row>
    <row r="1759" spans="1:17" x14ac:dyDescent="0.3">
      <c r="A1759" t="str">
        <f>Orders!A1759</f>
        <v>ORD-01758</v>
      </c>
      <c r="B1759">
        <f>Orders!B1759</f>
        <v>45377</v>
      </c>
      <c r="C1759">
        <f>Orders!I1759</f>
        <v>32772.6</v>
      </c>
      <c r="D1759" t="str">
        <f>Orders!E1759</f>
        <v>R030</v>
      </c>
      <c r="E1759" t="str">
        <f>IFERROR(VLOOKUP(Orders!D1759,Products!$A$2:$C$61,3,FALSE),"Unknown")</f>
        <v>Sports</v>
      </c>
      <c r="F1759" t="str">
        <f>IFERROR(VLOOKUP(Orders!C1759,Customers!$A$2:$E$301,5,FALSE),"Unknown")</f>
        <v>Retail</v>
      </c>
      <c r="G1759">
        <f>IFERROR(VLOOKUP(Orders!C1759,Customers!$A$2:$C$301,3,FALSE),"")</f>
        <v>31</v>
      </c>
      <c r="H1759" t="str">
        <f>VLOOKUP(D1759,Sales_Reps!$A$2:$C$31,3,FALSE)</f>
        <v>West</v>
      </c>
      <c r="I1759" s="44">
        <f t="shared" si="57"/>
        <v>45352</v>
      </c>
      <c r="L1759" t="str">
        <f>Orders!K1759</f>
        <v>Delhi</v>
      </c>
      <c r="M1759">
        <f>Orders!G1759</f>
        <v>3780</v>
      </c>
      <c r="N1759">
        <f>IFERROR(VLOOKUP(Orders!D1759,Products!$A$2:$D$61,4,FALSE),"")</f>
        <v>1860</v>
      </c>
      <c r="O1759">
        <f t="shared" si="58"/>
        <v>0.50793650793650791</v>
      </c>
      <c r="Q1759" t="str">
        <f>Orders!D1759</f>
        <v>PROD-059</v>
      </c>
    </row>
    <row r="1760" spans="1:17" x14ac:dyDescent="0.3">
      <c r="A1760" t="str">
        <f>Orders!A1760</f>
        <v>ORD-01759</v>
      </c>
      <c r="B1760">
        <f>Orders!B1760</f>
        <v>45302</v>
      </c>
      <c r="C1760">
        <f>Orders!I1760</f>
        <v>26290.799999999999</v>
      </c>
      <c r="D1760" t="str">
        <f>Orders!E1760</f>
        <v>R009</v>
      </c>
      <c r="E1760" t="str">
        <f>IFERROR(VLOOKUP(Orders!D1760,Products!$A$2:$C$61,3,FALSE),"Unknown")</f>
        <v>Beauty</v>
      </c>
      <c r="F1760" t="str">
        <f>IFERROR(VLOOKUP(Orders!C1760,Customers!$A$2:$E$301,5,FALSE),"Unknown")</f>
        <v>Corporate</v>
      </c>
      <c r="G1760">
        <f>IFERROR(VLOOKUP(Orders!C1760,Customers!$A$2:$C$301,3,FALSE),"")</f>
        <v>62</v>
      </c>
      <c r="H1760" t="str">
        <f>VLOOKUP(D1760,Sales_Reps!$A$2:$C$31,3,FALSE)</f>
        <v>South</v>
      </c>
      <c r="I1760" s="44">
        <f t="shared" si="57"/>
        <v>45292</v>
      </c>
      <c r="L1760" t="str">
        <f>Orders!K1760</f>
        <v>Mumbai</v>
      </c>
      <c r="M1760">
        <f>Orders!G1760</f>
        <v>3350</v>
      </c>
      <c r="N1760">
        <f>IFERROR(VLOOKUP(Orders!D1760,Products!$A$2:$D$61,4,FALSE),"")</f>
        <v>1728</v>
      </c>
      <c r="O1760">
        <f t="shared" si="58"/>
        <v>0.48417910447761192</v>
      </c>
      <c r="Q1760" t="str">
        <f>Orders!D1760</f>
        <v>PROD-043</v>
      </c>
    </row>
    <row r="1761" spans="1:17" x14ac:dyDescent="0.3">
      <c r="A1761" t="str">
        <f>Orders!A1761</f>
        <v>ORD-01760</v>
      </c>
      <c r="B1761">
        <f>Orders!B1761</f>
        <v>45459</v>
      </c>
      <c r="C1761">
        <f>Orders!I1761</f>
        <v>18735.64</v>
      </c>
      <c r="D1761" t="str">
        <f>Orders!E1761</f>
        <v>R024</v>
      </c>
      <c r="E1761" t="str">
        <f>IFERROR(VLOOKUP(Orders!D1761,Products!$A$2:$C$61,3,FALSE),"Unknown")</f>
        <v>Apparel</v>
      </c>
      <c r="F1761" t="str">
        <f>IFERROR(VLOOKUP(Orders!C1761,Customers!$A$2:$E$301,5,FALSE),"Unknown")</f>
        <v>SMB</v>
      </c>
      <c r="G1761">
        <f>IFERROR(VLOOKUP(Orders!C1761,Customers!$A$2:$C$301,3,FALSE),"")</f>
        <v>35</v>
      </c>
      <c r="H1761" t="str">
        <f>VLOOKUP(D1761,Sales_Reps!$A$2:$C$31,3,FALSE)</f>
        <v>West</v>
      </c>
      <c r="I1761" s="44">
        <f t="shared" si="57"/>
        <v>45444</v>
      </c>
      <c r="L1761" t="str">
        <f>Orders!K1761</f>
        <v>Pune</v>
      </c>
      <c r="M1761">
        <f>Orders!G1761</f>
        <v>3160</v>
      </c>
      <c r="N1761">
        <f>IFERROR(VLOOKUP(Orders!D1761,Products!$A$2:$D$61,4,FALSE),"")</f>
        <v>1886</v>
      </c>
      <c r="O1761">
        <f t="shared" si="58"/>
        <v>0.4031645569620253</v>
      </c>
      <c r="Q1761" t="str">
        <f>Orders!D1761</f>
        <v>PROD-012</v>
      </c>
    </row>
    <row r="1762" spans="1:17" x14ac:dyDescent="0.3">
      <c r="A1762" t="str">
        <f>Orders!A1762</f>
        <v>ORD-01761</v>
      </c>
      <c r="B1762">
        <f>Orders!B1762</f>
        <v>45428</v>
      </c>
      <c r="C1762">
        <f>Orders!I1762</f>
        <v>14157</v>
      </c>
      <c r="D1762" t="str">
        <f>Orders!E1762</f>
        <v>R004</v>
      </c>
      <c r="E1762" t="str">
        <f>IFERROR(VLOOKUP(Orders!D1762,Products!$A$2:$C$61,3,FALSE),"Unknown")</f>
        <v>Sports</v>
      </c>
      <c r="F1762" t="str">
        <f>IFERROR(VLOOKUP(Orders!C1762,Customers!$A$2:$E$301,5,FALSE),"Unknown")</f>
        <v>SMB</v>
      </c>
      <c r="G1762">
        <f>IFERROR(VLOOKUP(Orders!C1762,Customers!$A$2:$C$301,3,FALSE),"")</f>
        <v>36</v>
      </c>
      <c r="H1762" t="str">
        <f>VLOOKUP(D1762,Sales_Reps!$A$2:$C$31,3,FALSE)</f>
        <v>North</v>
      </c>
      <c r="I1762" s="44">
        <f t="shared" si="57"/>
        <v>45413</v>
      </c>
      <c r="L1762" t="str">
        <f>Orders!K1762</f>
        <v>Bengaluru</v>
      </c>
      <c r="M1762">
        <f>Orders!G1762</f>
        <v>2860</v>
      </c>
      <c r="N1762">
        <f>IFERROR(VLOOKUP(Orders!D1762,Products!$A$2:$D$61,4,FALSE),"")</f>
        <v>2028</v>
      </c>
      <c r="O1762">
        <f t="shared" si="58"/>
        <v>0.29090909090909089</v>
      </c>
      <c r="Q1762" t="str">
        <f>Orders!D1762</f>
        <v>PROD-055</v>
      </c>
    </row>
    <row r="1763" spans="1:17" x14ac:dyDescent="0.3">
      <c r="A1763" t="str">
        <f>Orders!A1763</f>
        <v>ORD-01762</v>
      </c>
      <c r="B1763">
        <f>Orders!B1763</f>
        <v>45341</v>
      </c>
      <c r="C1763">
        <f>Orders!I1763</f>
        <v>2019.6</v>
      </c>
      <c r="D1763" t="str">
        <f>Orders!E1763</f>
        <v>R010</v>
      </c>
      <c r="E1763" t="str">
        <f>IFERROR(VLOOKUP(Orders!D1763,Products!$A$2:$C$61,3,FALSE),"Unknown")</f>
        <v>Electronics</v>
      </c>
      <c r="F1763" t="str">
        <f>IFERROR(VLOOKUP(Orders!C1763,Customers!$A$2:$E$301,5,FALSE),"Unknown")</f>
        <v>Corporate</v>
      </c>
      <c r="G1763">
        <f>IFERROR(VLOOKUP(Orders!C1763,Customers!$A$2:$C$301,3,FALSE),"")</f>
        <v>43</v>
      </c>
      <c r="H1763" t="str">
        <f>VLOOKUP(D1763,Sales_Reps!$A$2:$C$31,3,FALSE)</f>
        <v>South</v>
      </c>
      <c r="I1763" s="44">
        <f t="shared" si="57"/>
        <v>45323</v>
      </c>
      <c r="L1763" t="str">
        <f>Orders!K1763</f>
        <v>Bengaluru</v>
      </c>
      <c r="M1763">
        <f>Orders!G1763</f>
        <v>300</v>
      </c>
      <c r="N1763">
        <f>IFERROR(VLOOKUP(Orders!D1763,Products!$A$2:$D$61,4,FALSE),"")</f>
        <v>128</v>
      </c>
      <c r="O1763">
        <f t="shared" si="58"/>
        <v>0.57333333333333336</v>
      </c>
      <c r="Q1763" t="str">
        <f>Orders!D1763</f>
        <v>PROD-005</v>
      </c>
    </row>
    <row r="1764" spans="1:17" x14ac:dyDescent="0.3">
      <c r="A1764" t="str">
        <f>Orders!A1764</f>
        <v>ORD-01763</v>
      </c>
      <c r="B1764">
        <f>Orders!B1764</f>
        <v>45296</v>
      </c>
      <c r="C1764">
        <f>Orders!I1764</f>
        <v>932.9</v>
      </c>
      <c r="D1764" t="str">
        <f>Orders!E1764</f>
        <v>R020</v>
      </c>
      <c r="E1764" t="str">
        <f>IFERROR(VLOOKUP(Orders!D1764,Products!$A$2:$C$61,3,FALSE),"Unknown")</f>
        <v>Sports</v>
      </c>
      <c r="F1764" t="str">
        <f>IFERROR(VLOOKUP(Orders!C1764,Customers!$A$2:$E$301,5,FALSE),"Unknown")</f>
        <v>Corporate</v>
      </c>
      <c r="G1764">
        <f>IFERROR(VLOOKUP(Orders!C1764,Customers!$A$2:$C$301,3,FALSE),"")</f>
        <v>29</v>
      </c>
      <c r="H1764" t="str">
        <f>VLOOKUP(D1764,Sales_Reps!$A$2:$C$31,3,FALSE)</f>
        <v>East</v>
      </c>
      <c r="I1764" s="44">
        <f t="shared" si="57"/>
        <v>45292</v>
      </c>
      <c r="L1764" t="str">
        <f>Orders!K1764</f>
        <v>Pune</v>
      </c>
      <c r="M1764">
        <f>Orders!G1764</f>
        <v>190</v>
      </c>
      <c r="N1764">
        <f>IFERROR(VLOOKUP(Orders!D1764,Products!$A$2:$D$61,4,FALSE),"")</f>
        <v>147</v>
      </c>
      <c r="O1764">
        <f t="shared" si="58"/>
        <v>0.22631578947368422</v>
      </c>
      <c r="Q1764" t="str">
        <f>Orders!D1764</f>
        <v>PROD-060</v>
      </c>
    </row>
    <row r="1765" spans="1:17" x14ac:dyDescent="0.3">
      <c r="A1765" t="str">
        <f>Orders!A1765</f>
        <v>ORD-01764</v>
      </c>
      <c r="B1765">
        <f>Orders!B1765</f>
        <v>45533</v>
      </c>
      <c r="C1765">
        <f>Orders!I1765</f>
        <v>6278.16</v>
      </c>
      <c r="D1765" t="str">
        <f>Orders!E1765</f>
        <v>R021</v>
      </c>
      <c r="E1765" t="str">
        <f>IFERROR(VLOOKUP(Orders!D1765,Products!$A$2:$C$61,3,FALSE),"Unknown")</f>
        <v>Sports</v>
      </c>
      <c r="F1765" t="str">
        <f>IFERROR(VLOOKUP(Orders!C1765,Customers!$A$2:$E$301,5,FALSE),"Unknown")</f>
        <v>Retail</v>
      </c>
      <c r="G1765">
        <f>IFERROR(VLOOKUP(Orders!C1765,Customers!$A$2:$C$301,3,FALSE),"")</f>
        <v>65</v>
      </c>
      <c r="H1765" t="str">
        <f>VLOOKUP(D1765,Sales_Reps!$A$2:$C$31,3,FALSE)</f>
        <v>East</v>
      </c>
      <c r="I1765" s="44">
        <f t="shared" si="57"/>
        <v>45505</v>
      </c>
      <c r="L1765" t="str">
        <f>Orders!K1765</f>
        <v>Pune</v>
      </c>
      <c r="M1765">
        <f>Orders!G1765</f>
        <v>1010</v>
      </c>
      <c r="N1765">
        <f>IFERROR(VLOOKUP(Orders!D1765,Products!$A$2:$D$61,4,FALSE),"")</f>
        <v>516</v>
      </c>
      <c r="O1765">
        <f t="shared" si="58"/>
        <v>0.4891089108910891</v>
      </c>
      <c r="Q1765" t="str">
        <f>Orders!D1765</f>
        <v>PROD-054</v>
      </c>
    </row>
    <row r="1766" spans="1:17" x14ac:dyDescent="0.3">
      <c r="A1766" t="str">
        <f>Orders!A1766</f>
        <v>ORD-01765</v>
      </c>
      <c r="B1766">
        <f>Orders!B1766</f>
        <v>45515</v>
      </c>
      <c r="C1766">
        <f>Orders!I1766</f>
        <v>25281.599999999999</v>
      </c>
      <c r="D1766" t="str">
        <f>Orders!E1766</f>
        <v>R001</v>
      </c>
      <c r="E1766" t="str">
        <f>IFERROR(VLOOKUP(Orders!D1766,Products!$A$2:$C$61,3,FALSE),"Unknown")</f>
        <v>Sports</v>
      </c>
      <c r="F1766" t="str">
        <f>IFERROR(VLOOKUP(Orders!C1766,Customers!$A$2:$E$301,5,FALSE),"Unknown")</f>
        <v>SMB</v>
      </c>
      <c r="G1766">
        <f>IFERROR(VLOOKUP(Orders!C1766,Customers!$A$2:$C$301,3,FALSE),"")</f>
        <v>50</v>
      </c>
      <c r="H1766" t="str">
        <f>VLOOKUP(D1766,Sales_Reps!$A$2:$C$31,3,FALSE)</f>
        <v>North</v>
      </c>
      <c r="I1766" s="44">
        <f t="shared" si="57"/>
        <v>45505</v>
      </c>
      <c r="L1766" t="str">
        <f>Orders!K1766</f>
        <v>Delhi</v>
      </c>
      <c r="M1766">
        <f>Orders!G1766</f>
        <v>3450</v>
      </c>
      <c r="N1766">
        <f>IFERROR(VLOOKUP(Orders!D1766,Products!$A$2:$D$61,4,FALSE),"")</f>
        <v>2467</v>
      </c>
      <c r="O1766">
        <f t="shared" si="58"/>
        <v>0.28492753623188405</v>
      </c>
      <c r="Q1766" t="str">
        <f>Orders!D1766</f>
        <v>PROD-051</v>
      </c>
    </row>
    <row r="1767" spans="1:17" x14ac:dyDescent="0.3">
      <c r="A1767" t="str">
        <f>Orders!A1767</f>
        <v>ORD-01766</v>
      </c>
      <c r="B1767">
        <f>Orders!B1767</f>
        <v>45597</v>
      </c>
      <c r="C1767">
        <f>Orders!I1767</f>
        <v>832.5</v>
      </c>
      <c r="D1767" t="str">
        <f>Orders!E1767</f>
        <v>R001</v>
      </c>
      <c r="E1767" t="str">
        <f>IFERROR(VLOOKUP(Orders!D1767,Products!$A$2:$C$61,3,FALSE),"Unknown")</f>
        <v>Electronics</v>
      </c>
      <c r="F1767" t="str">
        <f>IFERROR(VLOOKUP(Orders!C1767,Customers!$A$2:$E$301,5,FALSE),"Unknown")</f>
        <v>Corporate</v>
      </c>
      <c r="G1767">
        <f>IFERROR(VLOOKUP(Orders!C1767,Customers!$A$2:$C$301,3,FALSE),"")</f>
        <v>52</v>
      </c>
      <c r="H1767" t="str">
        <f>VLOOKUP(D1767,Sales_Reps!$A$2:$C$31,3,FALSE)</f>
        <v>North</v>
      </c>
      <c r="I1767" s="44">
        <f t="shared" si="57"/>
        <v>45597</v>
      </c>
      <c r="L1767" t="str">
        <f>Orders!K1767</f>
        <v>Chennai</v>
      </c>
      <c r="M1767">
        <f>Orders!G1767</f>
        <v>300</v>
      </c>
      <c r="N1767">
        <f>IFERROR(VLOOKUP(Orders!D1767,Products!$A$2:$D$61,4,FALSE),"")</f>
        <v>128</v>
      </c>
      <c r="O1767">
        <f t="shared" si="58"/>
        <v>0.57333333333333336</v>
      </c>
      <c r="Q1767" t="str">
        <f>Orders!D1767</f>
        <v>PROD-005</v>
      </c>
    </row>
    <row r="1768" spans="1:17" x14ac:dyDescent="0.3">
      <c r="A1768" t="str">
        <f>Orders!A1768</f>
        <v>ORD-01767</v>
      </c>
      <c r="B1768">
        <f>Orders!B1768</f>
        <v>45370</v>
      </c>
      <c r="C1768">
        <f>Orders!I1768</f>
        <v>11219.84</v>
      </c>
      <c r="D1768" t="str">
        <f>Orders!E1768</f>
        <v>R018</v>
      </c>
      <c r="E1768" t="str">
        <f>IFERROR(VLOOKUP(Orders!D1768,Products!$A$2:$C$61,3,FALSE),"Unknown")</f>
        <v>Home</v>
      </c>
      <c r="F1768" t="str">
        <f>IFERROR(VLOOKUP(Orders!C1768,Customers!$A$2:$E$301,5,FALSE),"Unknown")</f>
        <v>SMB</v>
      </c>
      <c r="G1768">
        <f>IFERROR(VLOOKUP(Orders!C1768,Customers!$A$2:$C$301,3,FALSE),"")</f>
        <v>54</v>
      </c>
      <c r="H1768" t="str">
        <f>VLOOKUP(D1768,Sales_Reps!$A$2:$C$31,3,FALSE)</f>
        <v>East</v>
      </c>
      <c r="I1768" s="44">
        <f t="shared" si="57"/>
        <v>45352</v>
      </c>
      <c r="L1768" t="str">
        <f>Orders!K1768</f>
        <v>Mumbai</v>
      </c>
      <c r="M1768">
        <f>Orders!G1768</f>
        <v>3730</v>
      </c>
      <c r="N1768">
        <f>IFERROR(VLOOKUP(Orders!D1768,Products!$A$2:$D$61,4,FALSE),"")</f>
        <v>2135</v>
      </c>
      <c r="O1768">
        <f t="shared" si="58"/>
        <v>0.42761394101876676</v>
      </c>
      <c r="Q1768" t="str">
        <f>Orders!D1768</f>
        <v>PROD-031</v>
      </c>
    </row>
    <row r="1769" spans="1:17" x14ac:dyDescent="0.3">
      <c r="A1769" t="str">
        <f>Orders!A1769</f>
        <v>ORD-01768</v>
      </c>
      <c r="B1769">
        <f>Orders!B1769</f>
        <v>45462</v>
      </c>
      <c r="C1769">
        <f>Orders!I1769</f>
        <v>10896</v>
      </c>
      <c r="D1769" t="str">
        <f>Orders!E1769</f>
        <v>R020</v>
      </c>
      <c r="E1769" t="str">
        <f>IFERROR(VLOOKUP(Orders!D1769,Products!$A$2:$C$61,3,FALSE),"Unknown")</f>
        <v>Sports</v>
      </c>
      <c r="F1769" t="str">
        <f>IFERROR(VLOOKUP(Orders!C1769,Customers!$A$2:$E$301,5,FALSE),"Unknown")</f>
        <v>Corporate</v>
      </c>
      <c r="G1769">
        <f>IFERROR(VLOOKUP(Orders!C1769,Customers!$A$2:$C$301,3,FALSE),"")</f>
        <v>55</v>
      </c>
      <c r="H1769" t="str">
        <f>VLOOKUP(D1769,Sales_Reps!$A$2:$C$31,3,FALSE)</f>
        <v>East</v>
      </c>
      <c r="I1769" s="44">
        <f t="shared" si="57"/>
        <v>45444</v>
      </c>
      <c r="L1769" t="str">
        <f>Orders!K1769</f>
        <v>Chennai</v>
      </c>
      <c r="M1769">
        <f>Orders!G1769</f>
        <v>2400</v>
      </c>
      <c r="N1769">
        <f>IFERROR(VLOOKUP(Orders!D1769,Products!$A$2:$D$61,4,FALSE),"")</f>
        <v>974</v>
      </c>
      <c r="O1769">
        <f t="shared" si="58"/>
        <v>0.59416666666666662</v>
      </c>
      <c r="Q1769" t="str">
        <f>Orders!D1769</f>
        <v>PROD-058</v>
      </c>
    </row>
    <row r="1770" spans="1:17" x14ac:dyDescent="0.3">
      <c r="A1770" t="str">
        <f>Orders!A1770</f>
        <v>ORD-01769</v>
      </c>
      <c r="B1770">
        <f>Orders!B1770</f>
        <v>45609</v>
      </c>
      <c r="C1770">
        <f>Orders!I1770</f>
        <v>8081.28</v>
      </c>
      <c r="D1770" t="str">
        <f>Orders!E1770</f>
        <v>R001</v>
      </c>
      <c r="E1770" t="str">
        <f>IFERROR(VLOOKUP(Orders!D1770,Products!$A$2:$C$61,3,FALSE),"Unknown")</f>
        <v>Grocery</v>
      </c>
      <c r="F1770" t="str">
        <f>IFERROR(VLOOKUP(Orders!C1770,Customers!$A$2:$E$301,5,FALSE),"Unknown")</f>
        <v>Retail</v>
      </c>
      <c r="G1770">
        <f>IFERROR(VLOOKUP(Orders!C1770,Customers!$A$2:$C$301,3,FALSE),"")</f>
        <v>59</v>
      </c>
      <c r="H1770" t="str">
        <f>VLOOKUP(D1770,Sales_Reps!$A$2:$C$31,3,FALSE)</f>
        <v>North</v>
      </c>
      <c r="I1770" s="44">
        <f t="shared" si="57"/>
        <v>45597</v>
      </c>
      <c r="L1770" t="str">
        <f>Orders!K1770</f>
        <v>Bengaluru</v>
      </c>
      <c r="M1770">
        <f>Orders!G1770</f>
        <v>2760</v>
      </c>
      <c r="N1770">
        <f>IFERROR(VLOOKUP(Orders!D1770,Products!$A$2:$D$61,4,FALSE),"")</f>
        <v>1435</v>
      </c>
      <c r="O1770">
        <f t="shared" si="58"/>
        <v>0.48007246376811596</v>
      </c>
      <c r="Q1770" t="str">
        <f>Orders!D1770</f>
        <v>PROD-021</v>
      </c>
    </row>
    <row r="1771" spans="1:17" x14ac:dyDescent="0.3">
      <c r="A1771" t="str">
        <f>Orders!A1771</f>
        <v>ORD-01770</v>
      </c>
      <c r="B1771">
        <f>Orders!B1771</f>
        <v>45548</v>
      </c>
      <c r="C1771">
        <f>Orders!I1771</f>
        <v>2827.52</v>
      </c>
      <c r="D1771" t="str">
        <f>Orders!E1771</f>
        <v>R009</v>
      </c>
      <c r="E1771" t="str">
        <f>IFERROR(VLOOKUP(Orders!D1771,Products!$A$2:$C$61,3,FALSE),"Unknown")</f>
        <v>Sports</v>
      </c>
      <c r="F1771" t="str">
        <f>IFERROR(VLOOKUP(Orders!C1771,Customers!$A$2:$E$301,5,FALSE),"Unknown")</f>
        <v>Retail</v>
      </c>
      <c r="G1771">
        <f>IFERROR(VLOOKUP(Orders!C1771,Customers!$A$2:$C$301,3,FALSE),"")</f>
        <v>26</v>
      </c>
      <c r="H1771" t="str">
        <f>VLOOKUP(D1771,Sales_Reps!$A$2:$C$31,3,FALSE)</f>
        <v>South</v>
      </c>
      <c r="I1771" s="44">
        <f t="shared" si="57"/>
        <v>45536</v>
      </c>
      <c r="L1771" t="str">
        <f>Orders!K1771</f>
        <v>Hyderabad</v>
      </c>
      <c r="M1771">
        <f>Orders!G1771</f>
        <v>470</v>
      </c>
      <c r="N1771">
        <f>IFERROR(VLOOKUP(Orders!D1771,Products!$A$2:$D$61,4,FALSE),"")</f>
        <v>302</v>
      </c>
      <c r="O1771">
        <f t="shared" si="58"/>
        <v>0.35744680851063831</v>
      </c>
      <c r="Q1771" t="str">
        <f>Orders!D1771</f>
        <v>PROD-053</v>
      </c>
    </row>
    <row r="1772" spans="1:17" x14ac:dyDescent="0.3">
      <c r="A1772" t="str">
        <f>Orders!A1772</f>
        <v>ORD-01771</v>
      </c>
      <c r="B1772">
        <f>Orders!B1772</f>
        <v>45633</v>
      </c>
      <c r="C1772">
        <f>Orders!I1772</f>
        <v>1147.74</v>
      </c>
      <c r="D1772" t="str">
        <f>Orders!E1772</f>
        <v>R027</v>
      </c>
      <c r="E1772" t="str">
        <f>IFERROR(VLOOKUP(Orders!D1772,Products!$A$2:$C$61,3,FALSE),"Unknown")</f>
        <v>Sports</v>
      </c>
      <c r="F1772" t="str">
        <f>IFERROR(VLOOKUP(Orders!C1772,Customers!$A$2:$E$301,5,FALSE),"Unknown")</f>
        <v>Retail</v>
      </c>
      <c r="G1772">
        <f>IFERROR(VLOOKUP(Orders!C1772,Customers!$A$2:$C$301,3,FALSE),"")</f>
        <v>61</v>
      </c>
      <c r="H1772" t="str">
        <f>VLOOKUP(D1772,Sales_Reps!$A$2:$C$31,3,FALSE)</f>
        <v>West</v>
      </c>
      <c r="I1772" s="44">
        <f t="shared" si="57"/>
        <v>45627</v>
      </c>
      <c r="L1772" t="str">
        <f>Orders!K1772</f>
        <v>Chennai</v>
      </c>
      <c r="M1772">
        <f>Orders!G1772</f>
        <v>470</v>
      </c>
      <c r="N1772">
        <f>IFERROR(VLOOKUP(Orders!D1772,Products!$A$2:$D$61,4,FALSE),"")</f>
        <v>302</v>
      </c>
      <c r="O1772">
        <f t="shared" si="58"/>
        <v>0.35744680851063831</v>
      </c>
      <c r="Q1772" t="str">
        <f>Orders!D1772</f>
        <v>PROD-053</v>
      </c>
    </row>
    <row r="1773" spans="1:17" x14ac:dyDescent="0.3">
      <c r="A1773" t="str">
        <f>Orders!A1773</f>
        <v>ORD-01772</v>
      </c>
      <c r="B1773">
        <f>Orders!B1773</f>
        <v>45580</v>
      </c>
      <c r="C1773">
        <f>Orders!I1773</f>
        <v>562.4</v>
      </c>
      <c r="D1773" t="str">
        <f>Orders!E1773</f>
        <v>R028</v>
      </c>
      <c r="E1773" t="str">
        <f>IFERROR(VLOOKUP(Orders!D1773,Products!$A$2:$C$61,3,FALSE),"Unknown")</f>
        <v>Home</v>
      </c>
      <c r="F1773" t="str">
        <f>IFERROR(VLOOKUP(Orders!C1773,Customers!$A$2:$E$301,5,FALSE),"Unknown")</f>
        <v>Retail</v>
      </c>
      <c r="G1773">
        <f>IFERROR(VLOOKUP(Orders!C1773,Customers!$A$2:$C$301,3,FALSE),"")</f>
        <v>59</v>
      </c>
      <c r="H1773" t="str">
        <f>VLOOKUP(D1773,Sales_Reps!$A$2:$C$31,3,FALSE)</f>
        <v>West</v>
      </c>
      <c r="I1773" s="44">
        <f t="shared" si="57"/>
        <v>45566</v>
      </c>
      <c r="L1773" t="str">
        <f>Orders!K1773</f>
        <v>Pune</v>
      </c>
      <c r="M1773">
        <f>Orders!G1773</f>
        <v>370</v>
      </c>
      <c r="N1773">
        <f>IFERROR(VLOOKUP(Orders!D1773,Products!$A$2:$D$61,4,FALSE),"")</f>
        <v>288</v>
      </c>
      <c r="O1773">
        <f t="shared" si="58"/>
        <v>0.22162162162162163</v>
      </c>
      <c r="Q1773" t="str">
        <f>Orders!D1773</f>
        <v>PROD-032</v>
      </c>
    </row>
    <row r="1774" spans="1:17" x14ac:dyDescent="0.3">
      <c r="A1774" t="str">
        <f>Orders!A1774</f>
        <v>ORD-01773</v>
      </c>
      <c r="B1774">
        <f>Orders!B1774</f>
        <v>45329</v>
      </c>
      <c r="C1774">
        <f>Orders!I1774</f>
        <v>9507.42</v>
      </c>
      <c r="D1774" t="str">
        <f>Orders!E1774</f>
        <v>R001</v>
      </c>
      <c r="E1774" t="str">
        <f>IFERROR(VLOOKUP(Orders!D1774,Products!$A$2:$C$61,3,FALSE),"Unknown")</f>
        <v>Grocery</v>
      </c>
      <c r="F1774" t="str">
        <f>IFERROR(VLOOKUP(Orders!C1774,Customers!$A$2:$E$301,5,FALSE),"Unknown")</f>
        <v>Retail</v>
      </c>
      <c r="G1774">
        <f>IFERROR(VLOOKUP(Orders!C1774,Customers!$A$2:$C$301,3,FALSE),"")</f>
        <v>29</v>
      </c>
      <c r="H1774" t="str">
        <f>VLOOKUP(D1774,Sales_Reps!$A$2:$C$31,3,FALSE)</f>
        <v>North</v>
      </c>
      <c r="I1774" s="44">
        <f t="shared" si="57"/>
        <v>45323</v>
      </c>
      <c r="L1774" t="str">
        <f>Orders!K1774</f>
        <v>Mumbai</v>
      </c>
      <c r="M1774">
        <f>Orders!G1774</f>
        <v>2210</v>
      </c>
      <c r="N1774">
        <f>IFERROR(VLOOKUP(Orders!D1774,Products!$A$2:$D$61,4,FALSE),"")</f>
        <v>1010</v>
      </c>
      <c r="O1774">
        <f t="shared" si="58"/>
        <v>0.54298642533936647</v>
      </c>
      <c r="Q1774" t="str">
        <f>Orders!D1774</f>
        <v>PROD-029</v>
      </c>
    </row>
    <row r="1775" spans="1:17" x14ac:dyDescent="0.3">
      <c r="A1775" t="str">
        <f>Orders!A1775</f>
        <v>ORD-01774</v>
      </c>
      <c r="B1775">
        <f>Orders!B1775</f>
        <v>45549</v>
      </c>
      <c r="C1775">
        <f>Orders!I1775</f>
        <v>15156.96</v>
      </c>
      <c r="D1775" t="str">
        <f>Orders!E1775</f>
        <v>R002</v>
      </c>
      <c r="E1775" t="str">
        <f>IFERROR(VLOOKUP(Orders!D1775,Products!$A$2:$C$61,3,FALSE),"Unknown")</f>
        <v>Sports</v>
      </c>
      <c r="F1775" t="str">
        <f>IFERROR(VLOOKUP(Orders!C1775,Customers!$A$2:$E$301,5,FALSE),"Unknown")</f>
        <v>SMB</v>
      </c>
      <c r="G1775">
        <f>IFERROR(VLOOKUP(Orders!C1775,Customers!$A$2:$C$301,3,FALSE),"")</f>
        <v>43</v>
      </c>
      <c r="H1775" t="str">
        <f>VLOOKUP(D1775,Sales_Reps!$A$2:$C$31,3,FALSE)</f>
        <v>North</v>
      </c>
      <c r="I1775" s="44">
        <f t="shared" si="57"/>
        <v>45536</v>
      </c>
      <c r="L1775" t="str">
        <f>Orders!K1775</f>
        <v>Hyderabad</v>
      </c>
      <c r="M1775">
        <f>Orders!G1775</f>
        <v>6940</v>
      </c>
      <c r="N1775">
        <f>IFERROR(VLOOKUP(Orders!D1775,Products!$A$2:$D$61,4,FALSE),"")</f>
        <v>2827</v>
      </c>
      <c r="O1775">
        <f t="shared" si="58"/>
        <v>0.5926512968299712</v>
      </c>
      <c r="Q1775" t="str">
        <f>Orders!D1775</f>
        <v>PROD-056</v>
      </c>
    </row>
    <row r="1776" spans="1:17" x14ac:dyDescent="0.3">
      <c r="A1776" t="str">
        <f>Orders!A1776</f>
        <v>ORD-01775</v>
      </c>
      <c r="B1776">
        <f>Orders!B1776</f>
        <v>45423</v>
      </c>
      <c r="C1776">
        <f>Orders!I1776</f>
        <v>15103.2</v>
      </c>
      <c r="D1776" t="str">
        <f>Orders!E1776</f>
        <v>R018</v>
      </c>
      <c r="E1776" t="str">
        <f>IFERROR(VLOOKUP(Orders!D1776,Products!$A$2:$C$61,3,FALSE),"Unknown")</f>
        <v>Home</v>
      </c>
      <c r="F1776" t="str">
        <f>IFERROR(VLOOKUP(Orders!C1776,Customers!$A$2:$E$301,5,FALSE),"Unknown")</f>
        <v>Retail</v>
      </c>
      <c r="G1776">
        <f>IFERROR(VLOOKUP(Orders!C1776,Customers!$A$2:$C$301,3,FALSE),"")</f>
        <v>54</v>
      </c>
      <c r="H1776" t="str">
        <f>VLOOKUP(D1776,Sales_Reps!$A$2:$C$31,3,FALSE)</f>
        <v>East</v>
      </c>
      <c r="I1776" s="44">
        <f t="shared" si="57"/>
        <v>45413</v>
      </c>
      <c r="L1776" t="str">
        <f>Orders!K1776</f>
        <v>Pune</v>
      </c>
      <c r="M1776">
        <f>Orders!G1776</f>
        <v>2030</v>
      </c>
      <c r="N1776">
        <f>IFERROR(VLOOKUP(Orders!D1776,Products!$A$2:$D$61,4,FALSE),"")</f>
        <v>1143</v>
      </c>
      <c r="O1776">
        <f t="shared" si="58"/>
        <v>0.43694581280788175</v>
      </c>
      <c r="Q1776" t="str">
        <f>Orders!D1776</f>
        <v>PROD-033</v>
      </c>
    </row>
    <row r="1777" spans="1:17" x14ac:dyDescent="0.3">
      <c r="A1777" t="str">
        <f>Orders!A1777</f>
        <v>ORD-01776</v>
      </c>
      <c r="B1777">
        <f>Orders!B1777</f>
        <v>45533</v>
      </c>
      <c r="C1777">
        <f>Orders!I1777</f>
        <v>8244.6299999999992</v>
      </c>
      <c r="D1777" t="str">
        <f>Orders!E1777</f>
        <v>R017</v>
      </c>
      <c r="E1777" t="str">
        <f>IFERROR(VLOOKUP(Orders!D1777,Products!$A$2:$C$61,3,FALSE),"Unknown")</f>
        <v>Sports</v>
      </c>
      <c r="F1777" t="str">
        <f>IFERROR(VLOOKUP(Orders!C1777,Customers!$A$2:$E$301,5,FALSE),"Unknown")</f>
        <v>Retail</v>
      </c>
      <c r="G1777">
        <f>IFERROR(VLOOKUP(Orders!C1777,Customers!$A$2:$C$301,3,FALSE),"")</f>
        <v>54</v>
      </c>
      <c r="H1777" t="str">
        <f>VLOOKUP(D1777,Sales_Reps!$A$2:$C$31,3,FALSE)</f>
        <v>East</v>
      </c>
      <c r="I1777" s="44">
        <f t="shared" si="57"/>
        <v>45505</v>
      </c>
      <c r="L1777" t="str">
        <f>Orders!K1777</f>
        <v>Pune</v>
      </c>
      <c r="M1777">
        <f>Orders!G1777</f>
        <v>1010</v>
      </c>
      <c r="N1777">
        <f>IFERROR(VLOOKUP(Orders!D1777,Products!$A$2:$D$61,4,FALSE),"")</f>
        <v>516</v>
      </c>
      <c r="O1777">
        <f t="shared" si="58"/>
        <v>0.4891089108910891</v>
      </c>
      <c r="Q1777" t="str">
        <f>Orders!D1777</f>
        <v>PROD-054</v>
      </c>
    </row>
    <row r="1778" spans="1:17" x14ac:dyDescent="0.3">
      <c r="A1778" t="str">
        <f>Orders!A1778</f>
        <v>ORD-01777</v>
      </c>
      <c r="B1778">
        <f>Orders!B1778</f>
        <v>45571</v>
      </c>
      <c r="C1778">
        <f>Orders!I1778</f>
        <v>9763.9</v>
      </c>
      <c r="D1778" t="str">
        <f>Orders!E1778</f>
        <v>R002</v>
      </c>
      <c r="E1778" t="str">
        <f>IFERROR(VLOOKUP(Orders!D1778,Products!$A$2:$C$61,3,FALSE),"Unknown")</f>
        <v>Apparel</v>
      </c>
      <c r="F1778" t="str">
        <f>IFERROR(VLOOKUP(Orders!C1778,Customers!$A$2:$E$301,5,FALSE),"Unknown")</f>
        <v>Retail</v>
      </c>
      <c r="G1778">
        <f>IFERROR(VLOOKUP(Orders!C1778,Customers!$A$2:$C$301,3,FALSE),"")</f>
        <v>28</v>
      </c>
      <c r="H1778" t="str">
        <f>VLOOKUP(D1778,Sales_Reps!$A$2:$C$31,3,FALSE)</f>
        <v>North</v>
      </c>
      <c r="I1778" s="44">
        <f t="shared" si="57"/>
        <v>45566</v>
      </c>
      <c r="L1778" t="str">
        <f>Orders!K1778</f>
        <v>Chennai</v>
      </c>
      <c r="M1778">
        <f>Orders!G1778</f>
        <v>2510</v>
      </c>
      <c r="N1778">
        <f>IFERROR(VLOOKUP(Orders!D1778,Products!$A$2:$D$61,4,FALSE),"")</f>
        <v>1075</v>
      </c>
      <c r="O1778">
        <f t="shared" si="58"/>
        <v>0.57171314741035861</v>
      </c>
      <c r="Q1778" t="str">
        <f>Orders!D1778</f>
        <v>PROD-017</v>
      </c>
    </row>
    <row r="1779" spans="1:17" x14ac:dyDescent="0.3">
      <c r="A1779" t="str">
        <f>Orders!A1779</f>
        <v>ORD-01778</v>
      </c>
      <c r="B1779">
        <f>Orders!B1779</f>
        <v>45441</v>
      </c>
      <c r="C1779">
        <f>Orders!I1779</f>
        <v>2627</v>
      </c>
      <c r="D1779" t="str">
        <f>Orders!E1779</f>
        <v>R002</v>
      </c>
      <c r="E1779" t="str">
        <f>IFERROR(VLOOKUP(Orders!D1779,Products!$A$2:$C$61,3,FALSE),"Unknown")</f>
        <v>Home</v>
      </c>
      <c r="F1779" t="str">
        <f>IFERROR(VLOOKUP(Orders!C1779,Customers!$A$2:$E$301,5,FALSE),"Unknown")</f>
        <v>Retail</v>
      </c>
      <c r="G1779">
        <f>IFERROR(VLOOKUP(Orders!C1779,Customers!$A$2:$C$301,3,FALSE),"")</f>
        <v>29</v>
      </c>
      <c r="H1779" t="str">
        <f>VLOOKUP(D1779,Sales_Reps!$A$2:$C$31,3,FALSE)</f>
        <v>North</v>
      </c>
      <c r="I1779" s="44">
        <f t="shared" si="57"/>
        <v>45413</v>
      </c>
      <c r="L1779" t="str">
        <f>Orders!K1779</f>
        <v>Bengaluru</v>
      </c>
      <c r="M1779">
        <f>Orders!G1779</f>
        <v>370</v>
      </c>
      <c r="N1779">
        <f>IFERROR(VLOOKUP(Orders!D1779,Products!$A$2:$D$61,4,FALSE),"")</f>
        <v>288</v>
      </c>
      <c r="O1779">
        <f t="shared" si="58"/>
        <v>0.22162162162162163</v>
      </c>
      <c r="Q1779" t="str">
        <f>Orders!D1779</f>
        <v>PROD-032</v>
      </c>
    </row>
    <row r="1780" spans="1:17" x14ac:dyDescent="0.3">
      <c r="A1780" t="str">
        <f>Orders!A1780</f>
        <v>ORD-01779</v>
      </c>
      <c r="B1780">
        <f>Orders!B1780</f>
        <v>45403</v>
      </c>
      <c r="C1780">
        <f>Orders!I1780</f>
        <v>6725.76</v>
      </c>
      <c r="D1780" t="str">
        <f>Orders!E1780</f>
        <v>R021</v>
      </c>
      <c r="E1780" t="str">
        <f>IFERROR(VLOOKUP(Orders!D1780,Products!$A$2:$C$61,3,FALSE),"Unknown")</f>
        <v>Apparel</v>
      </c>
      <c r="F1780" t="str">
        <f>IFERROR(VLOOKUP(Orders!C1780,Customers!$A$2:$E$301,5,FALSE),"Unknown")</f>
        <v>Retail</v>
      </c>
      <c r="G1780">
        <f>IFERROR(VLOOKUP(Orders!C1780,Customers!$A$2:$C$301,3,FALSE),"")</f>
        <v>25</v>
      </c>
      <c r="H1780" t="str">
        <f>VLOOKUP(D1780,Sales_Reps!$A$2:$C$31,3,FALSE)</f>
        <v>East</v>
      </c>
      <c r="I1780" s="44">
        <f t="shared" si="57"/>
        <v>45383</v>
      </c>
      <c r="L1780" t="str">
        <f>Orders!K1780</f>
        <v>Hyderabad</v>
      </c>
      <c r="M1780">
        <f>Orders!G1780</f>
        <v>2480</v>
      </c>
      <c r="N1780">
        <f>IFERROR(VLOOKUP(Orders!D1780,Products!$A$2:$D$61,4,FALSE),"")</f>
        <v>1173</v>
      </c>
      <c r="O1780">
        <f t="shared" si="58"/>
        <v>0.52701612903225803</v>
      </c>
      <c r="Q1780" t="str">
        <f>Orders!D1780</f>
        <v>PROD-019</v>
      </c>
    </row>
    <row r="1781" spans="1:17" x14ac:dyDescent="0.3">
      <c r="A1781" t="str">
        <f>Orders!A1781</f>
        <v>ORD-01780</v>
      </c>
      <c r="B1781">
        <f>Orders!B1781</f>
        <v>45644</v>
      </c>
      <c r="C1781">
        <f>Orders!I1781</f>
        <v>7112.16</v>
      </c>
      <c r="D1781" t="str">
        <f>Orders!E1781</f>
        <v>R017</v>
      </c>
      <c r="E1781" t="str">
        <f>IFERROR(VLOOKUP(Orders!D1781,Products!$A$2:$C$61,3,FALSE),"Unknown")</f>
        <v>Electronics</v>
      </c>
      <c r="F1781" t="str">
        <f>IFERROR(VLOOKUP(Orders!C1781,Customers!$A$2:$E$301,5,FALSE),"Unknown")</f>
        <v>Retail</v>
      </c>
      <c r="G1781">
        <f>IFERROR(VLOOKUP(Orders!C1781,Customers!$A$2:$C$301,3,FALSE),"")</f>
        <v>22</v>
      </c>
      <c r="H1781" t="str">
        <f>VLOOKUP(D1781,Sales_Reps!$A$2:$C$31,3,FALSE)</f>
        <v>East</v>
      </c>
      <c r="I1781" s="44">
        <f t="shared" si="57"/>
        <v>45627</v>
      </c>
      <c r="L1781" t="str">
        <f>Orders!K1781</f>
        <v>Chennai</v>
      </c>
      <c r="M1781">
        <f>Orders!G1781</f>
        <v>2640</v>
      </c>
      <c r="N1781">
        <f>IFERROR(VLOOKUP(Orders!D1781,Products!$A$2:$D$61,4,FALSE),"")</f>
        <v>1149</v>
      </c>
      <c r="O1781">
        <f t="shared" si="58"/>
        <v>0.56477272727272732</v>
      </c>
      <c r="Q1781" t="str">
        <f>Orders!D1781</f>
        <v>PROD-010</v>
      </c>
    </row>
    <row r="1782" spans="1:17" x14ac:dyDescent="0.3">
      <c r="A1782" t="str">
        <f>Orders!A1782</f>
        <v>ORD-01781</v>
      </c>
      <c r="B1782">
        <f>Orders!B1782</f>
        <v>45504</v>
      </c>
      <c r="C1782">
        <f>Orders!I1782</f>
        <v>854.56</v>
      </c>
      <c r="D1782" t="str">
        <f>Orders!E1782</f>
        <v>R020</v>
      </c>
      <c r="E1782" t="str">
        <f>IFERROR(VLOOKUP(Orders!D1782,Products!$A$2:$C$61,3,FALSE),"Unknown")</f>
        <v>Home</v>
      </c>
      <c r="F1782" t="str">
        <f>IFERROR(VLOOKUP(Orders!C1782,Customers!$A$2:$E$301,5,FALSE),"Unknown")</f>
        <v>Retail</v>
      </c>
      <c r="G1782">
        <f>IFERROR(VLOOKUP(Orders!C1782,Customers!$A$2:$C$301,3,FALSE),"")</f>
        <v>26</v>
      </c>
      <c r="H1782" t="str">
        <f>VLOOKUP(D1782,Sales_Reps!$A$2:$C$31,3,FALSE)</f>
        <v>East</v>
      </c>
      <c r="I1782" s="44">
        <f t="shared" si="57"/>
        <v>45474</v>
      </c>
      <c r="L1782" t="str">
        <f>Orders!K1782</f>
        <v>Chennai</v>
      </c>
      <c r="M1782">
        <f>Orders!G1782</f>
        <v>1090</v>
      </c>
      <c r="N1782">
        <f>IFERROR(VLOOKUP(Orders!D1782,Products!$A$2:$D$61,4,FALSE),"")</f>
        <v>464</v>
      </c>
      <c r="O1782">
        <f t="shared" si="58"/>
        <v>0.57431192660550456</v>
      </c>
      <c r="Q1782" t="str">
        <f>Orders!D1782</f>
        <v>PROD-035</v>
      </c>
    </row>
    <row r="1783" spans="1:17" x14ac:dyDescent="0.3">
      <c r="A1783" t="str">
        <f>Orders!A1783</f>
        <v>ORD-01782</v>
      </c>
      <c r="B1783">
        <f>Orders!B1783</f>
        <v>45606</v>
      </c>
      <c r="C1783">
        <f>Orders!I1783</f>
        <v>29446.5</v>
      </c>
      <c r="D1783" t="str">
        <f>Orders!E1783</f>
        <v>R002</v>
      </c>
      <c r="E1783" t="str">
        <f>IFERROR(VLOOKUP(Orders!D1783,Products!$A$2:$C$61,3,FALSE),"Unknown")</f>
        <v>Beauty</v>
      </c>
      <c r="F1783" t="str">
        <f>IFERROR(VLOOKUP(Orders!C1783,Customers!$A$2:$E$301,5,FALSE),"Unknown")</f>
        <v>Retail</v>
      </c>
      <c r="G1783">
        <f>IFERROR(VLOOKUP(Orders!C1783,Customers!$A$2:$C$301,3,FALSE),"")</f>
        <v>38</v>
      </c>
      <c r="H1783" t="str">
        <f>VLOOKUP(D1783,Sales_Reps!$A$2:$C$31,3,FALSE)</f>
        <v>North</v>
      </c>
      <c r="I1783" s="44">
        <f t="shared" si="57"/>
        <v>45597</v>
      </c>
      <c r="L1783" t="str">
        <f>Orders!K1783</f>
        <v>Mumbai</v>
      </c>
      <c r="M1783">
        <f>Orders!G1783</f>
        <v>3350</v>
      </c>
      <c r="N1783">
        <f>IFERROR(VLOOKUP(Orders!D1783,Products!$A$2:$D$61,4,FALSE),"")</f>
        <v>1728</v>
      </c>
      <c r="O1783">
        <f t="shared" si="58"/>
        <v>0.48417910447761192</v>
      </c>
      <c r="Q1783" t="str">
        <f>Orders!D1783</f>
        <v>PROD-043</v>
      </c>
    </row>
    <row r="1784" spans="1:17" x14ac:dyDescent="0.3">
      <c r="A1784" t="str">
        <f>Orders!A1784</f>
        <v>ORD-01783</v>
      </c>
      <c r="B1784">
        <f>Orders!B1784</f>
        <v>45562</v>
      </c>
      <c r="C1784">
        <f>Orders!I1784</f>
        <v>17826.560000000001</v>
      </c>
      <c r="D1784" t="str">
        <f>Orders!E1784</f>
        <v>R015</v>
      </c>
      <c r="E1784" t="str">
        <f>IFERROR(VLOOKUP(Orders!D1784,Products!$A$2:$C$61,3,FALSE),"Unknown")</f>
        <v>Beauty</v>
      </c>
      <c r="F1784" t="str">
        <f>IFERROR(VLOOKUP(Orders!C1784,Customers!$A$2:$E$301,5,FALSE),"Unknown")</f>
        <v>Retail</v>
      </c>
      <c r="G1784">
        <f>IFERROR(VLOOKUP(Orders!C1784,Customers!$A$2:$C$301,3,FALSE),"")</f>
        <v>26</v>
      </c>
      <c r="H1784" t="str">
        <f>VLOOKUP(D1784,Sales_Reps!$A$2:$C$31,3,FALSE)</f>
        <v>South</v>
      </c>
      <c r="I1784" s="44">
        <f t="shared" si="57"/>
        <v>45536</v>
      </c>
      <c r="L1784" t="str">
        <f>Orders!K1784</f>
        <v>Chennai</v>
      </c>
      <c r="M1784">
        <f>Orders!G1784</f>
        <v>6080</v>
      </c>
      <c r="N1784">
        <f>IFERROR(VLOOKUP(Orders!D1784,Products!$A$2:$D$61,4,FALSE),"")</f>
        <v>2617</v>
      </c>
      <c r="O1784">
        <f t="shared" si="58"/>
        <v>0.56957236842105263</v>
      </c>
      <c r="Q1784" t="str">
        <f>Orders!D1784</f>
        <v>PROD-050</v>
      </c>
    </row>
    <row r="1785" spans="1:17" x14ac:dyDescent="0.3">
      <c r="A1785" t="str">
        <f>Orders!A1785</f>
        <v>ORD-01784</v>
      </c>
      <c r="B1785">
        <f>Orders!B1785</f>
        <v>45372</v>
      </c>
      <c r="C1785">
        <f>Orders!I1785</f>
        <v>2499.84</v>
      </c>
      <c r="D1785" t="str">
        <f>Orders!E1785</f>
        <v>R002</v>
      </c>
      <c r="E1785" t="str">
        <f>IFERROR(VLOOKUP(Orders!D1785,Products!$A$2:$C$61,3,FALSE),"Unknown")</f>
        <v>Beauty</v>
      </c>
      <c r="F1785" t="str">
        <f>IFERROR(VLOOKUP(Orders!C1785,Customers!$A$2:$E$301,5,FALSE),"Unknown")</f>
        <v>Retail</v>
      </c>
      <c r="G1785">
        <f>IFERROR(VLOOKUP(Orders!C1785,Customers!$A$2:$C$301,3,FALSE),"")</f>
        <v>65</v>
      </c>
      <c r="H1785" t="str">
        <f>VLOOKUP(D1785,Sales_Reps!$A$2:$C$31,3,FALSE)</f>
        <v>North</v>
      </c>
      <c r="I1785" s="44">
        <f t="shared" si="57"/>
        <v>45352</v>
      </c>
      <c r="L1785" t="str">
        <f>Orders!K1785</f>
        <v>Hyderabad</v>
      </c>
      <c r="M1785">
        <f>Orders!G1785</f>
        <v>960</v>
      </c>
      <c r="N1785">
        <f>IFERROR(VLOOKUP(Orders!D1785,Products!$A$2:$D$61,4,FALSE),"")</f>
        <v>675</v>
      </c>
      <c r="O1785">
        <f t="shared" si="58"/>
        <v>0.296875</v>
      </c>
      <c r="Q1785" t="str">
        <f>Orders!D1785</f>
        <v>PROD-049</v>
      </c>
    </row>
    <row r="1786" spans="1:17" x14ac:dyDescent="0.3">
      <c r="A1786" t="str">
        <f>Orders!A1786</f>
        <v>ORD-01785</v>
      </c>
      <c r="B1786">
        <f>Orders!B1786</f>
        <v>45610</v>
      </c>
      <c r="C1786">
        <f>Orders!I1786</f>
        <v>29876.58</v>
      </c>
      <c r="D1786" t="str">
        <f>Orders!E1786</f>
        <v>R007</v>
      </c>
      <c r="E1786" t="str">
        <f>IFERROR(VLOOKUP(Orders!D1786,Products!$A$2:$C$61,3,FALSE),"Unknown")</f>
        <v>Grocery</v>
      </c>
      <c r="F1786" t="str">
        <f>IFERROR(VLOOKUP(Orders!C1786,Customers!$A$2:$E$301,5,FALSE),"Unknown")</f>
        <v>SMB</v>
      </c>
      <c r="G1786">
        <f>IFERROR(VLOOKUP(Orders!C1786,Customers!$A$2:$C$301,3,FALSE),"")</f>
        <v>24</v>
      </c>
      <c r="H1786" t="str">
        <f>VLOOKUP(D1786,Sales_Reps!$A$2:$C$31,3,FALSE)</f>
        <v>North</v>
      </c>
      <c r="I1786" s="44">
        <f t="shared" si="57"/>
        <v>45597</v>
      </c>
      <c r="L1786" t="str">
        <f>Orders!K1786</f>
        <v>Pune</v>
      </c>
      <c r="M1786">
        <f>Orders!G1786</f>
        <v>3660</v>
      </c>
      <c r="N1786">
        <f>IFERROR(VLOOKUP(Orders!D1786,Products!$A$2:$D$61,4,FALSE),"")</f>
        <v>2214</v>
      </c>
      <c r="O1786">
        <f t="shared" si="58"/>
        <v>0.39508196721311473</v>
      </c>
      <c r="Q1786" t="str">
        <f>Orders!D1786</f>
        <v>PROD-028</v>
      </c>
    </row>
    <row r="1787" spans="1:17" x14ac:dyDescent="0.3">
      <c r="A1787" t="str">
        <f>Orders!A1787</f>
        <v>ORD-01786</v>
      </c>
      <c r="B1787">
        <f>Orders!B1787</f>
        <v>45388</v>
      </c>
      <c r="C1787">
        <f>Orders!I1787</f>
        <v>19002.599999999999</v>
      </c>
      <c r="D1787" t="str">
        <f>Orders!E1787</f>
        <v>R019</v>
      </c>
      <c r="E1787" t="str">
        <f>IFERROR(VLOOKUP(Orders!D1787,Products!$A$2:$C$61,3,FALSE),"Unknown")</f>
        <v>Beauty</v>
      </c>
      <c r="F1787" t="str">
        <f>IFERROR(VLOOKUP(Orders!C1787,Customers!$A$2:$E$301,5,FALSE),"Unknown")</f>
        <v>Corporate</v>
      </c>
      <c r="G1787">
        <f>IFERROR(VLOOKUP(Orders!C1787,Customers!$A$2:$C$301,3,FALSE),"")</f>
        <v>24</v>
      </c>
      <c r="H1787" t="str">
        <f>VLOOKUP(D1787,Sales_Reps!$A$2:$C$31,3,FALSE)</f>
        <v>East</v>
      </c>
      <c r="I1787" s="44">
        <f t="shared" si="57"/>
        <v>45383</v>
      </c>
      <c r="L1787" t="str">
        <f>Orders!K1787</f>
        <v>Chennai</v>
      </c>
      <c r="M1787">
        <f>Orders!G1787</f>
        <v>3450</v>
      </c>
      <c r="N1787">
        <f>IFERROR(VLOOKUP(Orders!D1787,Products!$A$2:$D$61,4,FALSE),"")</f>
        <v>2420</v>
      </c>
      <c r="O1787">
        <f t="shared" si="58"/>
        <v>0.29855072463768118</v>
      </c>
      <c r="Q1787" t="str">
        <f>Orders!D1787</f>
        <v>PROD-047</v>
      </c>
    </row>
    <row r="1788" spans="1:17" x14ac:dyDescent="0.3">
      <c r="A1788" t="str">
        <f>Orders!A1788</f>
        <v>ORD-01787</v>
      </c>
      <c r="B1788">
        <f>Orders!B1788</f>
        <v>45421</v>
      </c>
      <c r="C1788">
        <f>Orders!I1788</f>
        <v>28913.919999999998</v>
      </c>
      <c r="D1788" t="str">
        <f>Orders!E1788</f>
        <v>R020</v>
      </c>
      <c r="E1788" t="str">
        <f>IFERROR(VLOOKUP(Orders!D1788,Products!$A$2:$C$61,3,FALSE),"Unknown")</f>
        <v>Home</v>
      </c>
      <c r="F1788" t="str">
        <f>IFERROR(VLOOKUP(Orders!C1788,Customers!$A$2:$E$301,5,FALSE),"Unknown")</f>
        <v>Retail</v>
      </c>
      <c r="G1788">
        <f>IFERROR(VLOOKUP(Orders!C1788,Customers!$A$2:$C$301,3,FALSE),"")</f>
        <v>35</v>
      </c>
      <c r="H1788" t="str">
        <f>VLOOKUP(D1788,Sales_Reps!$A$2:$C$31,3,FALSE)</f>
        <v>East</v>
      </c>
      <c r="I1788" s="44">
        <f t="shared" si="57"/>
        <v>45413</v>
      </c>
      <c r="L1788" t="str">
        <f>Orders!K1788</f>
        <v>Mumbai</v>
      </c>
      <c r="M1788">
        <f>Orders!G1788</f>
        <v>4610</v>
      </c>
      <c r="N1788">
        <f>IFERROR(VLOOKUP(Orders!D1788,Products!$A$2:$D$61,4,FALSE),"")</f>
        <v>1850</v>
      </c>
      <c r="O1788">
        <f t="shared" si="58"/>
        <v>0.59869848156182215</v>
      </c>
      <c r="Q1788" t="str">
        <f>Orders!D1788</f>
        <v>PROD-039</v>
      </c>
    </row>
    <row r="1789" spans="1:17" x14ac:dyDescent="0.3">
      <c r="A1789" t="str">
        <f>Orders!A1789</f>
        <v>ORD-01788</v>
      </c>
      <c r="B1789">
        <f>Orders!B1789</f>
        <v>45529</v>
      </c>
      <c r="C1789">
        <f>Orders!I1789</f>
        <v>1603.2</v>
      </c>
      <c r="D1789" t="str">
        <f>Orders!E1789</f>
        <v>R009</v>
      </c>
      <c r="E1789" t="str">
        <f>IFERROR(VLOOKUP(Orders!D1789,Products!$A$2:$C$61,3,FALSE),"Unknown")</f>
        <v>Sports</v>
      </c>
      <c r="F1789" t="str">
        <f>IFERROR(VLOOKUP(Orders!C1789,Customers!$A$2:$E$301,5,FALSE),"Unknown")</f>
        <v>Retail</v>
      </c>
      <c r="G1789">
        <f>IFERROR(VLOOKUP(Orders!C1789,Customers!$A$2:$C$301,3,FALSE),"")</f>
        <v>55</v>
      </c>
      <c r="H1789" t="str">
        <f>VLOOKUP(D1789,Sales_Reps!$A$2:$C$31,3,FALSE)</f>
        <v>South</v>
      </c>
      <c r="I1789" s="44">
        <f t="shared" si="57"/>
        <v>45505</v>
      </c>
      <c r="L1789" t="str">
        <f>Orders!K1789</f>
        <v>Bengaluru</v>
      </c>
      <c r="M1789">
        <f>Orders!G1789</f>
        <v>960</v>
      </c>
      <c r="N1789">
        <f>IFERROR(VLOOKUP(Orders!D1789,Products!$A$2:$D$61,4,FALSE),"")</f>
        <v>705</v>
      </c>
      <c r="O1789">
        <f t="shared" si="58"/>
        <v>0.265625</v>
      </c>
      <c r="Q1789" t="str">
        <f>Orders!D1789</f>
        <v>PROD-057</v>
      </c>
    </row>
    <row r="1790" spans="1:17" x14ac:dyDescent="0.3">
      <c r="A1790" t="str">
        <f>Orders!A1790</f>
        <v>ORD-01789</v>
      </c>
      <c r="B1790">
        <f>Orders!B1790</f>
        <v>45553</v>
      </c>
      <c r="C1790">
        <f>Orders!I1790</f>
        <v>2553.7399999999998</v>
      </c>
      <c r="D1790" t="str">
        <f>Orders!E1790</f>
        <v>R023</v>
      </c>
      <c r="E1790" t="str">
        <f>IFERROR(VLOOKUP(Orders!D1790,Products!$A$2:$C$61,3,FALSE),"Unknown")</f>
        <v>Home</v>
      </c>
      <c r="F1790" t="str">
        <f>IFERROR(VLOOKUP(Orders!C1790,Customers!$A$2:$E$301,5,FALSE),"Unknown")</f>
        <v>SMB</v>
      </c>
      <c r="G1790">
        <f>IFERROR(VLOOKUP(Orders!C1790,Customers!$A$2:$C$301,3,FALSE),"")</f>
        <v>64</v>
      </c>
      <c r="H1790" t="str">
        <f>VLOOKUP(D1790,Sales_Reps!$A$2:$C$31,3,FALSE)</f>
        <v>East</v>
      </c>
      <c r="I1790" s="44">
        <f t="shared" si="57"/>
        <v>45536</v>
      </c>
      <c r="L1790" t="str">
        <f>Orders!K1790</f>
        <v>Chennai</v>
      </c>
      <c r="M1790">
        <f>Orders!G1790</f>
        <v>370</v>
      </c>
      <c r="N1790">
        <f>IFERROR(VLOOKUP(Orders!D1790,Products!$A$2:$D$61,4,FALSE),"")</f>
        <v>288</v>
      </c>
      <c r="O1790">
        <f t="shared" si="58"/>
        <v>0.22162162162162163</v>
      </c>
      <c r="Q1790" t="str">
        <f>Orders!D1790</f>
        <v>PROD-032</v>
      </c>
    </row>
    <row r="1791" spans="1:17" x14ac:dyDescent="0.3">
      <c r="A1791" t="str">
        <f>Orders!A1791</f>
        <v>ORD-01790</v>
      </c>
      <c r="B1791">
        <f>Orders!B1791</f>
        <v>45535</v>
      </c>
      <c r="C1791">
        <f>Orders!I1791</f>
        <v>5951.94</v>
      </c>
      <c r="D1791" t="str">
        <f>Orders!E1791</f>
        <v>R004</v>
      </c>
      <c r="E1791" t="str">
        <f>IFERROR(VLOOKUP(Orders!D1791,Products!$A$2:$C$61,3,FALSE),"Unknown")</f>
        <v>Grocery</v>
      </c>
      <c r="F1791" t="str">
        <f>IFERROR(VLOOKUP(Orders!C1791,Customers!$A$2:$E$301,5,FALSE),"Unknown")</f>
        <v>Corporate</v>
      </c>
      <c r="G1791">
        <f>IFERROR(VLOOKUP(Orders!C1791,Customers!$A$2:$C$301,3,FALSE),"")</f>
        <v>22</v>
      </c>
      <c r="H1791" t="str">
        <f>VLOOKUP(D1791,Sales_Reps!$A$2:$C$31,3,FALSE)</f>
        <v>North</v>
      </c>
      <c r="I1791" s="44">
        <f t="shared" si="57"/>
        <v>45505</v>
      </c>
      <c r="L1791" t="str">
        <f>Orders!K1791</f>
        <v>Chennai</v>
      </c>
      <c r="M1791">
        <f>Orders!G1791</f>
        <v>2270</v>
      </c>
      <c r="N1791">
        <f>IFERROR(VLOOKUP(Orders!D1791,Products!$A$2:$D$61,4,FALSE),"")</f>
        <v>1203</v>
      </c>
      <c r="O1791">
        <f t="shared" si="58"/>
        <v>0.47004405286343615</v>
      </c>
      <c r="Q1791" t="str">
        <f>Orders!D1791</f>
        <v>PROD-024</v>
      </c>
    </row>
    <row r="1792" spans="1:17" x14ac:dyDescent="0.3">
      <c r="A1792" t="str">
        <f>Orders!A1792</f>
        <v>ORD-00268</v>
      </c>
      <c r="B1792">
        <f>Orders!B1792</f>
        <v>45301</v>
      </c>
      <c r="C1792">
        <f>Orders!I1792</f>
        <v>2671.5</v>
      </c>
      <c r="D1792" t="str">
        <f>Orders!E1792</f>
        <v>R014</v>
      </c>
      <c r="E1792" t="str">
        <f>IFERROR(VLOOKUP(Orders!D1792,Products!$A$2:$C$61,3,FALSE),"Unknown")</f>
        <v>Home</v>
      </c>
      <c r="F1792" t="str">
        <f>IFERROR(VLOOKUP(Orders!C1792,Customers!$A$2:$E$301,5,FALSE),"Unknown")</f>
        <v>Corporate</v>
      </c>
      <c r="G1792">
        <f>IFERROR(VLOOKUP(Orders!C1792,Customers!$A$2:$C$301,3,FALSE),"")</f>
        <v>42</v>
      </c>
      <c r="H1792" t="str">
        <f>VLOOKUP(D1792,Sales_Reps!$A$2:$C$31,3,FALSE)</f>
        <v>South</v>
      </c>
      <c r="I1792" s="44">
        <f t="shared" si="57"/>
        <v>45292</v>
      </c>
      <c r="L1792" t="str">
        <f>Orders!K1792</f>
        <v>Mumbai</v>
      </c>
      <c r="M1792">
        <f>Orders!G1792</f>
        <v>3250</v>
      </c>
      <c r="N1792">
        <f>IFERROR(VLOOKUP(Orders!D1792,Products!$A$2:$D$61,4,FALSE),"")</f>
        <v>1556</v>
      </c>
      <c r="O1792">
        <f t="shared" si="58"/>
        <v>0.52123076923076928</v>
      </c>
      <c r="Q1792" t="str">
        <f>Orders!D1792</f>
        <v>PROD-036</v>
      </c>
    </row>
    <row r="1793" spans="1:17" x14ac:dyDescent="0.3">
      <c r="A1793" t="str">
        <f>Orders!A1793</f>
        <v>ORD-01792</v>
      </c>
      <c r="B1793">
        <f>Orders!B1793</f>
        <v>45404</v>
      </c>
      <c r="C1793">
        <f>Orders!I1793</f>
        <v>2498.6</v>
      </c>
      <c r="D1793" t="str">
        <f>Orders!E1793</f>
        <v>R018</v>
      </c>
      <c r="E1793" t="str">
        <f>IFERROR(VLOOKUP(Orders!D1793,Products!$A$2:$C$61,3,FALSE),"Unknown")</f>
        <v>Apparel</v>
      </c>
      <c r="F1793" t="str">
        <f>IFERROR(VLOOKUP(Orders!C1793,Customers!$A$2:$E$301,5,FALSE),"Unknown")</f>
        <v>Corporate</v>
      </c>
      <c r="G1793">
        <f>IFERROR(VLOOKUP(Orders!C1793,Customers!$A$2:$C$301,3,FALSE),"")</f>
        <v>54</v>
      </c>
      <c r="H1793" t="str">
        <f>VLOOKUP(D1793,Sales_Reps!$A$2:$C$31,3,FALSE)</f>
        <v>East</v>
      </c>
      <c r="I1793" s="44">
        <f t="shared" si="57"/>
        <v>45383</v>
      </c>
      <c r="L1793" t="str">
        <f>Orders!K1793</f>
        <v>Chennai</v>
      </c>
      <c r="M1793">
        <f>Orders!G1793</f>
        <v>620</v>
      </c>
      <c r="N1793">
        <f>IFERROR(VLOOKUP(Orders!D1793,Products!$A$2:$D$61,4,FALSE),"")</f>
        <v>396</v>
      </c>
      <c r="O1793">
        <f t="shared" si="58"/>
        <v>0.36129032258064514</v>
      </c>
      <c r="Q1793" t="str">
        <f>Orders!D1793</f>
        <v>PROD-016</v>
      </c>
    </row>
    <row r="1794" spans="1:17" x14ac:dyDescent="0.3">
      <c r="A1794" t="str">
        <f>Orders!A1794</f>
        <v>ORD-01793</v>
      </c>
      <c r="B1794">
        <f>Orders!B1794</f>
        <v>45600</v>
      </c>
      <c r="C1794">
        <f>Orders!I1794</f>
        <v>13581.96</v>
      </c>
      <c r="D1794" t="str">
        <f>Orders!E1794</f>
        <v>R005</v>
      </c>
      <c r="E1794" t="str">
        <f>IFERROR(VLOOKUP(Orders!D1794,Products!$A$2:$C$61,3,FALSE),"Unknown")</f>
        <v>Electronics</v>
      </c>
      <c r="F1794" t="str">
        <f>IFERROR(VLOOKUP(Orders!C1794,Customers!$A$2:$E$301,5,FALSE),"Unknown")</f>
        <v>SMB</v>
      </c>
      <c r="G1794">
        <f>IFERROR(VLOOKUP(Orders!C1794,Customers!$A$2:$C$301,3,FALSE),"")</f>
        <v>54</v>
      </c>
      <c r="H1794" t="str">
        <f>VLOOKUP(D1794,Sales_Reps!$A$2:$C$31,3,FALSE)</f>
        <v>North</v>
      </c>
      <c r="I1794" s="44">
        <f t="shared" si="57"/>
        <v>45597</v>
      </c>
      <c r="L1794" t="str">
        <f>Orders!K1794</f>
        <v>Pune</v>
      </c>
      <c r="M1794">
        <f>Orders!G1794</f>
        <v>2660</v>
      </c>
      <c r="N1794">
        <f>IFERROR(VLOOKUP(Orders!D1794,Products!$A$2:$D$61,4,FALSE),"")</f>
        <v>1259</v>
      </c>
      <c r="O1794">
        <f t="shared" si="58"/>
        <v>0.52669172932330832</v>
      </c>
      <c r="Q1794" t="str">
        <f>Orders!D1794</f>
        <v>PROD-008</v>
      </c>
    </row>
    <row r="1795" spans="1:17" x14ac:dyDescent="0.3">
      <c r="A1795" t="str">
        <f>Orders!A1795</f>
        <v>ORD-01794</v>
      </c>
      <c r="B1795">
        <f>Orders!B1795</f>
        <v>45526</v>
      </c>
      <c r="C1795">
        <f>Orders!I1795</f>
        <v>14299</v>
      </c>
      <c r="D1795" t="str">
        <f>Orders!E1795</f>
        <v>R001</v>
      </c>
      <c r="E1795" t="str">
        <f>IFERROR(VLOOKUP(Orders!D1795,Products!$A$2:$C$61,3,FALSE),"Unknown")</f>
        <v>Apparel</v>
      </c>
      <c r="F1795" t="str">
        <f>IFERROR(VLOOKUP(Orders!C1795,Customers!$A$2:$E$301,5,FALSE),"Unknown")</f>
        <v>Retail</v>
      </c>
      <c r="G1795">
        <f>IFERROR(VLOOKUP(Orders!C1795,Customers!$A$2:$C$301,3,FALSE),"")</f>
        <v>47</v>
      </c>
      <c r="H1795" t="str">
        <f>VLOOKUP(D1795,Sales_Reps!$A$2:$C$31,3,FALSE)</f>
        <v>North</v>
      </c>
      <c r="I1795" s="44">
        <f t="shared" ref="I1795:I1858" si="59">DATE(YEAR(B1795),MONTH(B1795),1)</f>
        <v>45505</v>
      </c>
      <c r="L1795" t="str">
        <f>Orders!K1795</f>
        <v>Bengaluru</v>
      </c>
      <c r="M1795">
        <f>Orders!G1795</f>
        <v>3620</v>
      </c>
      <c r="N1795">
        <f>IFERROR(VLOOKUP(Orders!D1795,Products!$A$2:$D$61,4,FALSE),"")</f>
        <v>2509</v>
      </c>
      <c r="O1795">
        <f t="shared" ref="O1795:O1858" si="60">IF(OR(N1795="",M1795&lt;=0),"",(M1795-N1795)/M1795)</f>
        <v>0.3069060773480663</v>
      </c>
      <c r="Q1795" t="str">
        <f>Orders!D1795</f>
        <v>PROD-014</v>
      </c>
    </row>
    <row r="1796" spans="1:17" x14ac:dyDescent="0.3">
      <c r="A1796" t="str">
        <f>Orders!A1796</f>
        <v>ORD-01795</v>
      </c>
      <c r="B1796">
        <f>Orders!B1796</f>
        <v>45580</v>
      </c>
      <c r="C1796">
        <f>Orders!I1796</f>
        <v>3064.88</v>
      </c>
      <c r="D1796" t="str">
        <f>Orders!E1796</f>
        <v>R021</v>
      </c>
      <c r="E1796" t="str">
        <f>IFERROR(VLOOKUP(Orders!D1796,Products!$A$2:$C$61,3,FALSE),"Unknown")</f>
        <v>Apparel</v>
      </c>
      <c r="F1796" t="str">
        <f>IFERROR(VLOOKUP(Orders!C1796,Customers!$A$2:$E$301,5,FALSE),"Unknown")</f>
        <v>Retail</v>
      </c>
      <c r="G1796">
        <f>IFERROR(VLOOKUP(Orders!C1796,Customers!$A$2:$C$301,3,FALSE),"")</f>
        <v>48</v>
      </c>
      <c r="H1796" t="str">
        <f>VLOOKUP(D1796,Sales_Reps!$A$2:$C$31,3,FALSE)</f>
        <v>East</v>
      </c>
      <c r="I1796" s="44">
        <f t="shared" si="59"/>
        <v>45566</v>
      </c>
      <c r="L1796" t="str">
        <f>Orders!K1796</f>
        <v>Bengaluru</v>
      </c>
      <c r="M1796">
        <f>Orders!G1796</f>
        <v>3640</v>
      </c>
      <c r="N1796">
        <f>IFERROR(VLOOKUP(Orders!D1796,Products!$A$2:$D$61,4,FALSE),"")</f>
        <v>2611</v>
      </c>
      <c r="O1796">
        <f t="shared" si="60"/>
        <v>0.28269230769230769</v>
      </c>
      <c r="Q1796" t="str">
        <f>Orders!D1796</f>
        <v>PROD-013</v>
      </c>
    </row>
    <row r="1797" spans="1:17" x14ac:dyDescent="0.3">
      <c r="A1797" t="str">
        <f>Orders!A1797</f>
        <v>ORD-01796</v>
      </c>
      <c r="B1797">
        <f>Orders!B1797</f>
        <v>45444</v>
      </c>
      <c r="C1797">
        <f>Orders!I1797</f>
        <v>1212.68</v>
      </c>
      <c r="D1797" t="str">
        <f>Orders!E1797</f>
        <v>R007</v>
      </c>
      <c r="E1797" t="str">
        <f>IFERROR(VLOOKUP(Orders!D1797,Products!$A$2:$C$61,3,FALSE),"Unknown")</f>
        <v>Electronics</v>
      </c>
      <c r="F1797" t="str">
        <f>IFERROR(VLOOKUP(Orders!C1797,Customers!$A$2:$E$301,5,FALSE),"Unknown")</f>
        <v>Retail</v>
      </c>
      <c r="G1797">
        <f>IFERROR(VLOOKUP(Orders!C1797,Customers!$A$2:$C$301,3,FALSE),"")</f>
        <v>52</v>
      </c>
      <c r="H1797" t="str">
        <f>VLOOKUP(D1797,Sales_Reps!$A$2:$C$31,3,FALSE)</f>
        <v>North</v>
      </c>
      <c r="I1797" s="44">
        <f t="shared" si="59"/>
        <v>45444</v>
      </c>
      <c r="L1797" t="str">
        <f>Orders!K1797</f>
        <v>Hyderabad</v>
      </c>
      <c r="M1797">
        <f>Orders!G1797</f>
        <v>1220</v>
      </c>
      <c r="N1797">
        <f>IFERROR(VLOOKUP(Orders!D1797,Products!$A$2:$D$61,4,FALSE),"")</f>
        <v>517</v>
      </c>
      <c r="O1797">
        <f t="shared" si="60"/>
        <v>0.57622950819672136</v>
      </c>
      <c r="Q1797" t="str">
        <f>Orders!D1797</f>
        <v>PROD-009</v>
      </c>
    </row>
    <row r="1798" spans="1:17" x14ac:dyDescent="0.3">
      <c r="A1798" t="str">
        <f>Orders!A1798</f>
        <v>ORD-01797</v>
      </c>
      <c r="B1798">
        <f>Orders!B1798</f>
        <v>45350</v>
      </c>
      <c r="C1798">
        <f>Orders!I1798</f>
        <v>24651.200000000001</v>
      </c>
      <c r="D1798" t="str">
        <f>Orders!E1798</f>
        <v>R002</v>
      </c>
      <c r="E1798" t="str">
        <f>IFERROR(VLOOKUP(Orders!D1798,Products!$A$2:$C$61,3,FALSE),"Unknown")</f>
        <v>Apparel</v>
      </c>
      <c r="F1798" t="str">
        <f>IFERROR(VLOOKUP(Orders!C1798,Customers!$A$2:$E$301,5,FALSE),"Unknown")</f>
        <v>SMB</v>
      </c>
      <c r="G1798">
        <f>IFERROR(VLOOKUP(Orders!C1798,Customers!$A$2:$C$301,3,FALSE),"")</f>
        <v>46</v>
      </c>
      <c r="H1798" t="str">
        <f>VLOOKUP(D1798,Sales_Reps!$A$2:$C$31,3,FALSE)</f>
        <v>North</v>
      </c>
      <c r="I1798" s="44">
        <f t="shared" si="59"/>
        <v>45323</v>
      </c>
      <c r="L1798" t="str">
        <f>Orders!K1798</f>
        <v>Bengaluru</v>
      </c>
      <c r="M1798">
        <f>Orders!G1798</f>
        <v>2480</v>
      </c>
      <c r="N1798">
        <f>IFERROR(VLOOKUP(Orders!D1798,Products!$A$2:$D$61,4,FALSE),"")</f>
        <v>1173</v>
      </c>
      <c r="O1798">
        <f t="shared" si="60"/>
        <v>0.52701612903225803</v>
      </c>
      <c r="Q1798" t="str">
        <f>Orders!D1798</f>
        <v>PROD-019</v>
      </c>
    </row>
    <row r="1799" spans="1:17" x14ac:dyDescent="0.3">
      <c r="A1799" t="str">
        <f>Orders!A1799</f>
        <v>ORD-01798</v>
      </c>
      <c r="B1799">
        <f>Orders!B1799</f>
        <v>45634</v>
      </c>
      <c r="C1799">
        <f>Orders!I1799</f>
        <v>10870.2</v>
      </c>
      <c r="D1799" t="str">
        <f>Orders!E1799</f>
        <v>R027</v>
      </c>
      <c r="E1799" t="str">
        <f>IFERROR(VLOOKUP(Orders!D1799,Products!$A$2:$C$61,3,FALSE),"Unknown")</f>
        <v>Beauty</v>
      </c>
      <c r="F1799" t="str">
        <f>IFERROR(VLOOKUP(Orders!C1799,Customers!$A$2:$E$301,5,FALSE),"Unknown")</f>
        <v>Retail</v>
      </c>
      <c r="G1799">
        <f>IFERROR(VLOOKUP(Orders!C1799,Customers!$A$2:$C$301,3,FALSE),"")</f>
        <v>61</v>
      </c>
      <c r="H1799" t="str">
        <f>VLOOKUP(D1799,Sales_Reps!$A$2:$C$31,3,FALSE)</f>
        <v>West</v>
      </c>
      <c r="I1799" s="44">
        <f t="shared" si="59"/>
        <v>45627</v>
      </c>
      <c r="L1799" t="str">
        <f>Orders!K1799</f>
        <v>Chennai</v>
      </c>
      <c r="M1799">
        <f>Orders!G1799</f>
        <v>1650</v>
      </c>
      <c r="N1799">
        <f>IFERROR(VLOOKUP(Orders!D1799,Products!$A$2:$D$61,4,FALSE),"")</f>
        <v>1222</v>
      </c>
      <c r="O1799">
        <f t="shared" si="60"/>
        <v>0.2593939393939394</v>
      </c>
      <c r="Q1799" t="str">
        <f>Orders!D1799</f>
        <v>PROD-044</v>
      </c>
    </row>
    <row r="1800" spans="1:17" x14ac:dyDescent="0.3">
      <c r="A1800" t="str">
        <f>Orders!A1800</f>
        <v>ORD-01799</v>
      </c>
      <c r="B1800">
        <f>Orders!B1800</f>
        <v>45560</v>
      </c>
      <c r="C1800">
        <f>Orders!I1800</f>
        <v>29414.799999999999</v>
      </c>
      <c r="D1800" t="str">
        <f>Orders!E1800</f>
        <v>R008</v>
      </c>
      <c r="E1800" t="str">
        <f>IFERROR(VLOOKUP(Orders!D1800,Products!$A$2:$C$61,3,FALSE),"Unknown")</f>
        <v>Beauty</v>
      </c>
      <c r="F1800" t="str">
        <f>IFERROR(VLOOKUP(Orders!C1800,Customers!$A$2:$E$301,5,FALSE),"Unknown")</f>
        <v>Retail</v>
      </c>
      <c r="G1800">
        <f>IFERROR(VLOOKUP(Orders!C1800,Customers!$A$2:$C$301,3,FALSE),"")</f>
        <v>24</v>
      </c>
      <c r="H1800" t="str">
        <f>VLOOKUP(D1800,Sales_Reps!$A$2:$C$31,3,FALSE)</f>
        <v>North</v>
      </c>
      <c r="I1800" s="44">
        <f t="shared" si="59"/>
        <v>45536</v>
      </c>
      <c r="L1800" t="str">
        <f>Orders!K1800</f>
        <v>Chennai</v>
      </c>
      <c r="M1800">
        <f>Orders!G1800</f>
        <v>3020</v>
      </c>
      <c r="N1800">
        <f>IFERROR(VLOOKUP(Orders!D1800,Products!$A$2:$D$61,4,FALSE),"")</f>
        <v>1626</v>
      </c>
      <c r="O1800">
        <f t="shared" si="60"/>
        <v>0.46158940397350995</v>
      </c>
      <c r="Q1800" t="str">
        <f>Orders!D1800</f>
        <v>PROD-045</v>
      </c>
    </row>
    <row r="1801" spans="1:17" x14ac:dyDescent="0.3">
      <c r="A1801" t="str">
        <f>Orders!A1801</f>
        <v>ORD-01800</v>
      </c>
      <c r="B1801">
        <f>Orders!B1801</f>
        <v>45544</v>
      </c>
      <c r="C1801">
        <f>Orders!I1801</f>
        <v>12885.75</v>
      </c>
      <c r="D1801" t="str">
        <f>Orders!E1801</f>
        <v>R014</v>
      </c>
      <c r="E1801" t="str">
        <f>IFERROR(VLOOKUP(Orders!D1801,Products!$A$2:$C$61,3,FALSE),"Unknown")</f>
        <v>Apparel</v>
      </c>
      <c r="F1801" t="str">
        <f>IFERROR(VLOOKUP(Orders!C1801,Customers!$A$2:$E$301,5,FALSE),"Unknown")</f>
        <v>Retail</v>
      </c>
      <c r="G1801">
        <f>IFERROR(VLOOKUP(Orders!C1801,Customers!$A$2:$C$301,3,FALSE),"")</f>
        <v>47</v>
      </c>
      <c r="H1801" t="str">
        <f>VLOOKUP(D1801,Sales_Reps!$A$2:$C$31,3,FALSE)</f>
        <v>South</v>
      </c>
      <c r="I1801" s="44">
        <f t="shared" si="59"/>
        <v>45536</v>
      </c>
      <c r="L1801" t="str">
        <f>Orders!K1801</f>
        <v>Bengaluru</v>
      </c>
      <c r="M1801">
        <f>Orders!G1801</f>
        <v>3450</v>
      </c>
      <c r="N1801">
        <f>IFERROR(VLOOKUP(Orders!D1801,Products!$A$2:$D$61,4,FALSE),"")</f>
        <v>1748</v>
      </c>
      <c r="O1801">
        <f t="shared" si="60"/>
        <v>0.49333333333333335</v>
      </c>
      <c r="Q1801" t="str">
        <f>Orders!D1801</f>
        <v>PROD-011</v>
      </c>
    </row>
    <row r="1802" spans="1:17" x14ac:dyDescent="0.3">
      <c r="A1802" t="str">
        <f>Orders!A1802</f>
        <v>ORD-01801</v>
      </c>
      <c r="B1802">
        <f>Orders!B1802</f>
        <v>45457</v>
      </c>
      <c r="C1802">
        <f>Orders!I1802</f>
        <v>7421.26</v>
      </c>
      <c r="D1802" t="str">
        <f>Orders!E1802</f>
        <v>R019</v>
      </c>
      <c r="E1802" t="str">
        <f>IFERROR(VLOOKUP(Orders!D1802,Products!$A$2:$C$61,3,FALSE),"Unknown")</f>
        <v>Electronics</v>
      </c>
      <c r="F1802" t="str">
        <f>IFERROR(VLOOKUP(Orders!C1802,Customers!$A$2:$E$301,5,FALSE),"Unknown")</f>
        <v>Retail</v>
      </c>
      <c r="G1802">
        <f>IFERROR(VLOOKUP(Orders!C1802,Customers!$A$2:$C$301,3,FALSE),"")</f>
        <v>26</v>
      </c>
      <c r="H1802" t="str">
        <f>VLOOKUP(D1802,Sales_Reps!$A$2:$C$31,3,FALSE)</f>
        <v>East</v>
      </c>
      <c r="I1802" s="44">
        <f t="shared" si="59"/>
        <v>45444</v>
      </c>
      <c r="L1802" t="str">
        <f>Orders!K1802</f>
        <v>Hyderabad</v>
      </c>
      <c r="M1802">
        <f>Orders!G1802</f>
        <v>1220</v>
      </c>
      <c r="N1802">
        <f>IFERROR(VLOOKUP(Orders!D1802,Products!$A$2:$D$61,4,FALSE),"")</f>
        <v>517</v>
      </c>
      <c r="O1802">
        <f t="shared" si="60"/>
        <v>0.57622950819672136</v>
      </c>
      <c r="Q1802" t="str">
        <f>Orders!D1802</f>
        <v>PROD-009</v>
      </c>
    </row>
    <row r="1803" spans="1:17" x14ac:dyDescent="0.3">
      <c r="A1803" t="str">
        <f>Orders!A1803</f>
        <v>ORD-01802</v>
      </c>
      <c r="B1803">
        <f>Orders!B1803</f>
        <v>45578</v>
      </c>
      <c r="C1803">
        <f>Orders!I1803</f>
        <v>28841.4</v>
      </c>
      <c r="D1803" t="str">
        <f>Orders!E1803</f>
        <v>R005</v>
      </c>
      <c r="E1803" t="str">
        <f>IFERROR(VLOOKUP(Orders!D1803,Products!$A$2:$C$61,3,FALSE),"Unknown")</f>
        <v>Grocery</v>
      </c>
      <c r="F1803" t="str">
        <f>IFERROR(VLOOKUP(Orders!C1803,Customers!$A$2:$E$301,5,FALSE),"Unknown")</f>
        <v>SMB</v>
      </c>
      <c r="G1803">
        <f>IFERROR(VLOOKUP(Orders!C1803,Customers!$A$2:$C$301,3,FALSE),"")</f>
        <v>40</v>
      </c>
      <c r="H1803" t="str">
        <f>VLOOKUP(D1803,Sales_Reps!$A$2:$C$31,3,FALSE)</f>
        <v>North</v>
      </c>
      <c r="I1803" s="44">
        <f t="shared" si="59"/>
        <v>45566</v>
      </c>
      <c r="L1803" t="str">
        <f>Orders!K1803</f>
        <v>Hyderabad</v>
      </c>
      <c r="M1803">
        <f>Orders!G1803</f>
        <v>3780</v>
      </c>
      <c r="N1803">
        <f>IFERROR(VLOOKUP(Orders!D1803,Products!$A$2:$D$61,4,FALSE),"")</f>
        <v>2436</v>
      </c>
      <c r="O1803">
        <f t="shared" si="60"/>
        <v>0.35555555555555557</v>
      </c>
      <c r="Q1803" t="str">
        <f>Orders!D1803</f>
        <v>PROD-027</v>
      </c>
    </row>
    <row r="1804" spans="1:17" x14ac:dyDescent="0.3">
      <c r="A1804" t="str">
        <f>Orders!A1804</f>
        <v>ORD-01803</v>
      </c>
      <c r="B1804">
        <f>Orders!B1804</f>
        <v>45405</v>
      </c>
      <c r="C1804">
        <f>Orders!I1804</f>
        <v>17853.919999999998</v>
      </c>
      <c r="D1804" t="str">
        <f>Orders!E1804</f>
        <v>R002</v>
      </c>
      <c r="E1804" t="str">
        <f>IFERROR(VLOOKUP(Orders!D1804,Products!$A$2:$C$61,3,FALSE),"Unknown")</f>
        <v>Electronics</v>
      </c>
      <c r="F1804" t="str">
        <f>IFERROR(VLOOKUP(Orders!C1804,Customers!$A$2:$E$301,5,FALSE),"Unknown")</f>
        <v>Retail</v>
      </c>
      <c r="G1804">
        <f>IFERROR(VLOOKUP(Orders!C1804,Customers!$A$2:$C$301,3,FALSE),"")</f>
        <v>44</v>
      </c>
      <c r="H1804" t="str">
        <f>VLOOKUP(D1804,Sales_Reps!$A$2:$C$31,3,FALSE)</f>
        <v>North</v>
      </c>
      <c r="I1804" s="44">
        <f t="shared" si="59"/>
        <v>45383</v>
      </c>
      <c r="L1804" t="str">
        <f>Orders!K1804</f>
        <v>Delhi</v>
      </c>
      <c r="M1804">
        <f>Orders!G1804</f>
        <v>2660</v>
      </c>
      <c r="N1804">
        <f>IFERROR(VLOOKUP(Orders!D1804,Products!$A$2:$D$61,4,FALSE),"")</f>
        <v>1259</v>
      </c>
      <c r="O1804">
        <f t="shared" si="60"/>
        <v>0.52669172932330832</v>
      </c>
      <c r="Q1804" t="str">
        <f>Orders!D1804</f>
        <v>PROD-008</v>
      </c>
    </row>
    <row r="1805" spans="1:17" x14ac:dyDescent="0.3">
      <c r="A1805" t="str">
        <f>Orders!A1805</f>
        <v>ORD-01804</v>
      </c>
      <c r="B1805">
        <f>Orders!B1805</f>
        <v>45338</v>
      </c>
      <c r="C1805">
        <f>Orders!I1805</f>
        <v>5232</v>
      </c>
      <c r="D1805" t="str">
        <f>Orders!E1805</f>
        <v>R008</v>
      </c>
      <c r="E1805" t="str">
        <f>IFERROR(VLOOKUP(Orders!D1805,Products!$A$2:$C$61,3,FALSE),"Unknown")</f>
        <v>Home</v>
      </c>
      <c r="F1805" t="str">
        <f>IFERROR(VLOOKUP(Orders!C1805,Customers!$A$2:$E$301,5,FALSE),"Unknown")</f>
        <v>Retail</v>
      </c>
      <c r="G1805">
        <f>IFERROR(VLOOKUP(Orders!C1805,Customers!$A$2:$C$301,3,FALSE),"")</f>
        <v>46</v>
      </c>
      <c r="H1805" t="str">
        <f>VLOOKUP(D1805,Sales_Reps!$A$2:$C$31,3,FALSE)</f>
        <v>North</v>
      </c>
      <c r="I1805" s="44">
        <f t="shared" si="59"/>
        <v>45323</v>
      </c>
      <c r="L1805" t="str">
        <f>Orders!K1805</f>
        <v>Hyderabad</v>
      </c>
      <c r="M1805">
        <f>Orders!G1805</f>
        <v>1090</v>
      </c>
      <c r="N1805">
        <f>IFERROR(VLOOKUP(Orders!D1805,Products!$A$2:$D$61,4,FALSE),"")</f>
        <v>464</v>
      </c>
      <c r="O1805">
        <f t="shared" si="60"/>
        <v>0.57431192660550456</v>
      </c>
      <c r="Q1805" t="str">
        <f>Orders!D1805</f>
        <v>PROD-035</v>
      </c>
    </row>
    <row r="1806" spans="1:17" x14ac:dyDescent="0.3">
      <c r="A1806" t="str">
        <f>Orders!A1806</f>
        <v>ORD-01805</v>
      </c>
      <c r="B1806">
        <f>Orders!B1806</f>
        <v>45324</v>
      </c>
      <c r="C1806">
        <f>Orders!I1806</f>
        <v>1073.1600000000001</v>
      </c>
      <c r="D1806" t="str">
        <f>Orders!E1806</f>
        <v>R016</v>
      </c>
      <c r="E1806" t="str">
        <f>IFERROR(VLOOKUP(Orders!D1806,Products!$A$2:$C$61,3,FALSE),"Unknown")</f>
        <v>Home</v>
      </c>
      <c r="F1806" t="str">
        <f>IFERROR(VLOOKUP(Orders!C1806,Customers!$A$2:$E$301,5,FALSE),"Unknown")</f>
        <v>Unknown</v>
      </c>
      <c r="G1806" t="str">
        <f>IFERROR(VLOOKUP(Orders!C1806,Customers!$A$2:$C$301,3,FALSE),"")</f>
        <v/>
      </c>
      <c r="H1806" t="str">
        <f>VLOOKUP(D1806,Sales_Reps!$A$2:$C$31,3,FALSE)</f>
        <v>South</v>
      </c>
      <c r="I1806" s="44">
        <f t="shared" si="59"/>
        <v>45323</v>
      </c>
      <c r="L1806" t="str">
        <f>Orders!K1806</f>
        <v>Mumbai</v>
      </c>
      <c r="M1806">
        <f>Orders!G1806</f>
        <v>660</v>
      </c>
      <c r="N1806">
        <f>IFERROR(VLOOKUP(Orders!D1806,Products!$A$2:$D$61,4,FALSE),"")</f>
        <v>329</v>
      </c>
      <c r="O1806">
        <f t="shared" si="60"/>
        <v>0.50151515151515147</v>
      </c>
      <c r="Q1806" t="str">
        <f>Orders!D1806</f>
        <v>PROD-037</v>
      </c>
    </row>
    <row r="1807" spans="1:17" x14ac:dyDescent="0.3">
      <c r="A1807" t="str">
        <f>Orders!A1807</f>
        <v>ORD-01806</v>
      </c>
      <c r="B1807">
        <f>Orders!B1807</f>
        <v>45332</v>
      </c>
      <c r="C1807">
        <f>Orders!I1807</f>
        <v>6149.78</v>
      </c>
      <c r="D1807" t="str">
        <f>Orders!E1807</f>
        <v>R015</v>
      </c>
      <c r="E1807" t="str">
        <f>IFERROR(VLOOKUP(Orders!D1807,Products!$A$2:$C$61,3,FALSE),"Unknown")</f>
        <v>Home</v>
      </c>
      <c r="F1807" t="str">
        <f>IFERROR(VLOOKUP(Orders!C1807,Customers!$A$2:$E$301,5,FALSE),"Unknown")</f>
        <v>SMB</v>
      </c>
      <c r="G1807">
        <f>IFERROR(VLOOKUP(Orders!C1807,Customers!$A$2:$C$301,3,FALSE),"")</f>
        <v>53</v>
      </c>
      <c r="H1807" t="str">
        <f>VLOOKUP(D1807,Sales_Reps!$A$2:$C$31,3,FALSE)</f>
        <v>South</v>
      </c>
      <c r="I1807" s="44">
        <f t="shared" si="59"/>
        <v>45323</v>
      </c>
      <c r="L1807" t="str">
        <f>Orders!K1807</f>
        <v>Mumbai</v>
      </c>
      <c r="M1807">
        <f>Orders!G1807</f>
        <v>1090</v>
      </c>
      <c r="N1807">
        <f>IFERROR(VLOOKUP(Orders!D1807,Products!$A$2:$D$61,4,FALSE),"")</f>
        <v>464</v>
      </c>
      <c r="O1807">
        <f t="shared" si="60"/>
        <v>0.57431192660550456</v>
      </c>
      <c r="Q1807" t="str">
        <f>Orders!D1807</f>
        <v>PROD-035</v>
      </c>
    </row>
    <row r="1808" spans="1:17" x14ac:dyDescent="0.3">
      <c r="A1808" t="str">
        <f>Orders!A1808</f>
        <v>ORD-01807</v>
      </c>
      <c r="B1808">
        <f>Orders!B1808</f>
        <v>45429</v>
      </c>
      <c r="C1808">
        <f>Orders!I1808</f>
        <v>5900.7</v>
      </c>
      <c r="D1808" t="str">
        <f>Orders!E1808</f>
        <v>R015</v>
      </c>
      <c r="E1808" t="str">
        <f>IFERROR(VLOOKUP(Orders!D1808,Products!$A$2:$C$61,3,FALSE),"Unknown")</f>
        <v>Grocery</v>
      </c>
      <c r="F1808" t="str">
        <f>IFERROR(VLOOKUP(Orders!C1808,Customers!$A$2:$E$301,5,FALSE),"Unknown")</f>
        <v>Retail</v>
      </c>
      <c r="G1808">
        <f>IFERROR(VLOOKUP(Orders!C1808,Customers!$A$2:$C$301,3,FALSE),"")</f>
        <v>42</v>
      </c>
      <c r="H1808" t="str">
        <f>VLOOKUP(D1808,Sales_Reps!$A$2:$C$31,3,FALSE)</f>
        <v>South</v>
      </c>
      <c r="I1808" s="44">
        <f t="shared" si="59"/>
        <v>45413</v>
      </c>
      <c r="L1808" t="str">
        <f>Orders!K1808</f>
        <v>Bengaluru</v>
      </c>
      <c r="M1808">
        <f>Orders!G1808</f>
        <v>2210</v>
      </c>
      <c r="N1808">
        <f>IFERROR(VLOOKUP(Orders!D1808,Products!$A$2:$D$61,4,FALSE),"")</f>
        <v>1010</v>
      </c>
      <c r="O1808">
        <f t="shared" si="60"/>
        <v>0.54298642533936647</v>
      </c>
      <c r="Q1808" t="str">
        <f>Orders!D1808</f>
        <v>PROD-029</v>
      </c>
    </row>
    <row r="1809" spans="1:17" x14ac:dyDescent="0.3">
      <c r="A1809" t="str">
        <f>Orders!A1809</f>
        <v>ORD-01808</v>
      </c>
      <c r="B1809">
        <f>Orders!B1809</f>
        <v>45420</v>
      </c>
      <c r="C1809">
        <f>Orders!I1809</f>
        <v>5962.94</v>
      </c>
      <c r="D1809" t="str">
        <f>Orders!E1809</f>
        <v>R029</v>
      </c>
      <c r="E1809" t="str">
        <f>IFERROR(VLOOKUP(Orders!D1809,Products!$A$2:$C$61,3,FALSE),"Unknown")</f>
        <v>Electronics</v>
      </c>
      <c r="F1809" t="str">
        <f>IFERROR(VLOOKUP(Orders!C1809,Customers!$A$2:$E$301,5,FALSE),"Unknown")</f>
        <v>Corporate</v>
      </c>
      <c r="G1809">
        <f>IFERROR(VLOOKUP(Orders!C1809,Customers!$A$2:$C$301,3,FALSE),"")</f>
        <v>55</v>
      </c>
      <c r="H1809" t="str">
        <f>VLOOKUP(D1809,Sales_Reps!$A$2:$C$31,3,FALSE)</f>
        <v>West</v>
      </c>
      <c r="I1809" s="44">
        <f t="shared" si="59"/>
        <v>45413</v>
      </c>
      <c r="L1809" t="str">
        <f>Orders!K1809</f>
        <v>Chennai</v>
      </c>
      <c r="M1809">
        <f>Orders!G1809</f>
        <v>3970</v>
      </c>
      <c r="N1809">
        <f>IFERROR(VLOOKUP(Orders!D1809,Products!$A$2:$D$61,4,FALSE),"")</f>
        <v>2865</v>
      </c>
      <c r="O1809">
        <f t="shared" si="60"/>
        <v>0.27833753148614609</v>
      </c>
      <c r="Q1809" t="str">
        <f>Orders!D1809</f>
        <v>PROD-006</v>
      </c>
    </row>
    <row r="1810" spans="1:17" x14ac:dyDescent="0.3">
      <c r="A1810" t="str">
        <f>Orders!A1810</f>
        <v>ORD-01809</v>
      </c>
      <c r="B1810">
        <f>Orders!B1810</f>
        <v>45403</v>
      </c>
      <c r="C1810">
        <f>Orders!I1810</f>
        <v>30236.99</v>
      </c>
      <c r="D1810" t="str">
        <f>Orders!E1810</f>
        <v>R021</v>
      </c>
      <c r="E1810" t="str">
        <f>IFERROR(VLOOKUP(Orders!D1810,Products!$A$2:$C$61,3,FALSE),"Unknown")</f>
        <v>Home</v>
      </c>
      <c r="F1810" t="str">
        <f>IFERROR(VLOOKUP(Orders!C1810,Customers!$A$2:$E$301,5,FALSE),"Unknown")</f>
        <v>Retail</v>
      </c>
      <c r="G1810">
        <f>IFERROR(VLOOKUP(Orders!C1810,Customers!$A$2:$C$301,3,FALSE),"")</f>
        <v>59</v>
      </c>
      <c r="H1810" t="str">
        <f>VLOOKUP(D1810,Sales_Reps!$A$2:$C$31,3,FALSE)</f>
        <v>East</v>
      </c>
      <c r="I1810" s="44">
        <f t="shared" si="59"/>
        <v>45383</v>
      </c>
      <c r="L1810" t="str">
        <f>Orders!K1810</f>
        <v>Pune</v>
      </c>
      <c r="M1810">
        <f>Orders!G1810</f>
        <v>4610</v>
      </c>
      <c r="N1810">
        <f>IFERROR(VLOOKUP(Orders!D1810,Products!$A$2:$D$61,4,FALSE),"")</f>
        <v>1850</v>
      </c>
      <c r="O1810">
        <f t="shared" si="60"/>
        <v>0.59869848156182215</v>
      </c>
      <c r="Q1810" t="str">
        <f>Orders!D1810</f>
        <v>PROD-039</v>
      </c>
    </row>
    <row r="1811" spans="1:17" x14ac:dyDescent="0.3">
      <c r="A1811" t="str">
        <f>Orders!A1811</f>
        <v>ORD-01810</v>
      </c>
      <c r="B1811">
        <f>Orders!B1811</f>
        <v>45403</v>
      </c>
      <c r="C1811">
        <f>Orders!I1811</f>
        <v>8198.4</v>
      </c>
      <c r="D1811" t="str">
        <f>Orders!E1811</f>
        <v>R026</v>
      </c>
      <c r="E1811" t="str">
        <f>IFERROR(VLOOKUP(Orders!D1811,Products!$A$2:$C$61,3,FALSE),"Unknown")</f>
        <v>Beauty</v>
      </c>
      <c r="F1811" t="str">
        <f>IFERROR(VLOOKUP(Orders!C1811,Customers!$A$2:$E$301,5,FALSE),"Unknown")</f>
        <v>SMB</v>
      </c>
      <c r="G1811">
        <f>IFERROR(VLOOKUP(Orders!C1811,Customers!$A$2:$C$301,3,FALSE),"")</f>
        <v>55</v>
      </c>
      <c r="H1811" t="str">
        <f>VLOOKUP(D1811,Sales_Reps!$A$2:$C$31,3,FALSE)</f>
        <v>West</v>
      </c>
      <c r="I1811" s="44">
        <f t="shared" si="59"/>
        <v>45383</v>
      </c>
      <c r="L1811" t="str">
        <f>Orders!K1811</f>
        <v>Delhi</v>
      </c>
      <c r="M1811">
        <f>Orders!G1811</f>
        <v>960</v>
      </c>
      <c r="N1811">
        <f>IFERROR(VLOOKUP(Orders!D1811,Products!$A$2:$D$61,4,FALSE),"")</f>
        <v>675</v>
      </c>
      <c r="O1811">
        <f t="shared" si="60"/>
        <v>0.296875</v>
      </c>
      <c r="Q1811" t="str">
        <f>Orders!D1811</f>
        <v>PROD-049</v>
      </c>
    </row>
    <row r="1812" spans="1:17" x14ac:dyDescent="0.3">
      <c r="A1812" t="str">
        <f>Orders!A1812</f>
        <v>ORD-01811</v>
      </c>
      <c r="B1812">
        <f>Orders!B1812</f>
        <v>45600</v>
      </c>
      <c r="C1812">
        <f>Orders!I1812</f>
        <v>20656.8</v>
      </c>
      <c r="D1812" t="str">
        <f>Orders!E1812</f>
        <v>R016</v>
      </c>
      <c r="E1812" t="str">
        <f>IFERROR(VLOOKUP(Orders!D1812,Products!$A$2:$C$61,3,FALSE),"Unknown")</f>
        <v>Beauty</v>
      </c>
      <c r="F1812" t="str">
        <f>IFERROR(VLOOKUP(Orders!C1812,Customers!$A$2:$E$301,5,FALSE),"Unknown")</f>
        <v>SMB</v>
      </c>
      <c r="G1812">
        <f>IFERROR(VLOOKUP(Orders!C1812,Customers!$A$2:$C$301,3,FALSE),"")</f>
        <v>64</v>
      </c>
      <c r="H1812" t="str">
        <f>VLOOKUP(D1812,Sales_Reps!$A$2:$C$31,3,FALSE)</f>
        <v>South</v>
      </c>
      <c r="I1812" s="44">
        <f t="shared" si="59"/>
        <v>45597</v>
      </c>
      <c r="L1812" t="str">
        <f>Orders!K1812</f>
        <v>Bengaluru</v>
      </c>
      <c r="M1812">
        <f>Orders!G1812</f>
        <v>3020</v>
      </c>
      <c r="N1812">
        <f>IFERROR(VLOOKUP(Orders!D1812,Products!$A$2:$D$61,4,FALSE),"")</f>
        <v>1626</v>
      </c>
      <c r="O1812">
        <f t="shared" si="60"/>
        <v>0.46158940397350995</v>
      </c>
      <c r="Q1812" t="str">
        <f>Orders!D1812</f>
        <v>PROD-045</v>
      </c>
    </row>
    <row r="1813" spans="1:17" x14ac:dyDescent="0.3">
      <c r="A1813" t="str">
        <f>Orders!A1813</f>
        <v>ORD-01812</v>
      </c>
      <c r="B1813">
        <f>Orders!B1813</f>
        <v>45629</v>
      </c>
      <c r="C1813">
        <f>Orders!I1813</f>
        <v>14356.72</v>
      </c>
      <c r="D1813" t="str">
        <f>Orders!E1813</f>
        <v>R026</v>
      </c>
      <c r="E1813" t="str">
        <f>IFERROR(VLOOKUP(Orders!D1813,Products!$A$2:$C$61,3,FALSE),"Unknown")</f>
        <v>Apparel</v>
      </c>
      <c r="F1813" t="str">
        <f>IFERROR(VLOOKUP(Orders!C1813,Customers!$A$2:$E$301,5,FALSE),"Unknown")</f>
        <v>SMB</v>
      </c>
      <c r="G1813">
        <f>IFERROR(VLOOKUP(Orders!C1813,Customers!$A$2:$C$301,3,FALSE),"")</f>
        <v>39</v>
      </c>
      <c r="H1813" t="str">
        <f>VLOOKUP(D1813,Sales_Reps!$A$2:$C$31,3,FALSE)</f>
        <v>West</v>
      </c>
      <c r="I1813" s="44">
        <f t="shared" si="59"/>
        <v>45627</v>
      </c>
      <c r="L1813" t="str">
        <f>Orders!K1813</f>
        <v>Pune</v>
      </c>
      <c r="M1813">
        <f>Orders!G1813</f>
        <v>2480</v>
      </c>
      <c r="N1813">
        <f>IFERROR(VLOOKUP(Orders!D1813,Products!$A$2:$D$61,4,FALSE),"")</f>
        <v>1173</v>
      </c>
      <c r="O1813">
        <f t="shared" si="60"/>
        <v>0.52701612903225803</v>
      </c>
      <c r="Q1813" t="str">
        <f>Orders!D1813</f>
        <v>PROD-019</v>
      </c>
    </row>
    <row r="1814" spans="1:17" x14ac:dyDescent="0.3">
      <c r="A1814" t="str">
        <f>Orders!A1814</f>
        <v>ORD-01813</v>
      </c>
      <c r="B1814">
        <f>Orders!B1814</f>
        <v>45330</v>
      </c>
      <c r="C1814">
        <f>Orders!I1814</f>
        <v>30031.200000000001</v>
      </c>
      <c r="D1814" t="str">
        <f>Orders!E1814</f>
        <v>R013</v>
      </c>
      <c r="E1814" t="str">
        <f>IFERROR(VLOOKUP(Orders!D1814,Products!$A$2:$C$61,3,FALSE),"Unknown")</f>
        <v>Electronics</v>
      </c>
      <c r="F1814" t="str">
        <f>IFERROR(VLOOKUP(Orders!C1814,Customers!$A$2:$E$301,5,FALSE),"Unknown")</f>
        <v>Retail</v>
      </c>
      <c r="G1814">
        <f>IFERROR(VLOOKUP(Orders!C1814,Customers!$A$2:$C$301,3,FALSE),"")</f>
        <v>22</v>
      </c>
      <c r="H1814" t="str">
        <f>VLOOKUP(D1814,Sales_Reps!$A$2:$C$31,3,FALSE)</f>
        <v>South</v>
      </c>
      <c r="I1814" s="44">
        <f t="shared" si="59"/>
        <v>45323</v>
      </c>
      <c r="L1814" t="str">
        <f>Orders!K1814</f>
        <v>Hyderabad</v>
      </c>
      <c r="M1814">
        <f>Orders!G1814</f>
        <v>3870</v>
      </c>
      <c r="N1814">
        <f>IFERROR(VLOOKUP(Orders!D1814,Products!$A$2:$D$61,4,FALSE),"")</f>
        <v>1559</v>
      </c>
      <c r="O1814">
        <f t="shared" si="60"/>
        <v>0.59715762273901807</v>
      </c>
      <c r="Q1814" t="str">
        <f>Orders!D1814</f>
        <v>PROD-004</v>
      </c>
    </row>
    <row r="1815" spans="1:17" x14ac:dyDescent="0.3">
      <c r="A1815" t="str">
        <f>Orders!A1815</f>
        <v>ORD-01814</v>
      </c>
      <c r="B1815">
        <f>Orders!B1815</f>
        <v>45551</v>
      </c>
      <c r="C1815">
        <f>Orders!I1815</f>
        <v>2878.92</v>
      </c>
      <c r="D1815" t="str">
        <f>Orders!E1815</f>
        <v>R022</v>
      </c>
      <c r="E1815" t="str">
        <f>IFERROR(VLOOKUP(Orders!D1815,Products!$A$2:$C$61,3,FALSE),"Unknown")</f>
        <v>Home</v>
      </c>
      <c r="F1815" t="str">
        <f>IFERROR(VLOOKUP(Orders!C1815,Customers!$A$2:$E$301,5,FALSE),"Unknown")</f>
        <v>Corporate</v>
      </c>
      <c r="G1815">
        <f>IFERROR(VLOOKUP(Orders!C1815,Customers!$A$2:$C$301,3,FALSE),"")</f>
        <v>62</v>
      </c>
      <c r="H1815" t="str">
        <f>VLOOKUP(D1815,Sales_Reps!$A$2:$C$31,3,FALSE)</f>
        <v>East</v>
      </c>
      <c r="I1815" s="44">
        <f t="shared" si="59"/>
        <v>45536</v>
      </c>
      <c r="L1815" t="str">
        <f>Orders!K1815</f>
        <v>Mumbai</v>
      </c>
      <c r="M1815">
        <f>Orders!G1815</f>
        <v>660</v>
      </c>
      <c r="N1815">
        <f>IFERROR(VLOOKUP(Orders!D1815,Products!$A$2:$D$61,4,FALSE),"")</f>
        <v>329</v>
      </c>
      <c r="O1815">
        <f t="shared" si="60"/>
        <v>0.50151515151515147</v>
      </c>
      <c r="Q1815" t="str">
        <f>Orders!D1815</f>
        <v>PROD-037</v>
      </c>
    </row>
    <row r="1816" spans="1:17" x14ac:dyDescent="0.3">
      <c r="A1816" t="str">
        <f>Orders!A1816</f>
        <v>ORD-01815</v>
      </c>
      <c r="B1816">
        <f>Orders!B1816</f>
        <v>45321</v>
      </c>
      <c r="C1816">
        <f>Orders!I1816</f>
        <v>10727.64</v>
      </c>
      <c r="D1816" t="str">
        <f>Orders!E1816</f>
        <v>R026</v>
      </c>
      <c r="E1816" t="str">
        <f>IFERROR(VLOOKUP(Orders!D1816,Products!$A$2:$C$61,3,FALSE),"Unknown")</f>
        <v>Electronics</v>
      </c>
      <c r="F1816" t="str">
        <f>IFERROR(VLOOKUP(Orders!C1816,Customers!$A$2:$E$301,5,FALSE),"Unknown")</f>
        <v>Unknown</v>
      </c>
      <c r="G1816" t="str">
        <f>IFERROR(VLOOKUP(Orders!C1816,Customers!$A$2:$C$301,3,FALSE),"")</f>
        <v/>
      </c>
      <c r="H1816" t="str">
        <f>VLOOKUP(D1816,Sales_Reps!$A$2:$C$31,3,FALSE)</f>
        <v>West</v>
      </c>
      <c r="I1816" s="44">
        <f t="shared" si="59"/>
        <v>45292</v>
      </c>
      <c r="L1816" t="str">
        <f>Orders!K1816</f>
        <v>Chennai</v>
      </c>
      <c r="M1816">
        <f>Orders!G1816</f>
        <v>3870</v>
      </c>
      <c r="N1816">
        <f>IFERROR(VLOOKUP(Orders!D1816,Products!$A$2:$D$61,4,FALSE),"")</f>
        <v>1559</v>
      </c>
      <c r="O1816">
        <f t="shared" si="60"/>
        <v>0.59715762273901807</v>
      </c>
      <c r="Q1816" t="str">
        <f>Orders!D1816</f>
        <v>PROD-004</v>
      </c>
    </row>
    <row r="1817" spans="1:17" x14ac:dyDescent="0.3">
      <c r="A1817" t="str">
        <f>Orders!A1817</f>
        <v>ORD-01816</v>
      </c>
      <c r="B1817">
        <f>Orders!B1817</f>
        <v>45542</v>
      </c>
      <c r="C1817">
        <f>Orders!I1817</f>
        <v>19468</v>
      </c>
      <c r="D1817" t="str">
        <f>Orders!E1817</f>
        <v>R006</v>
      </c>
      <c r="E1817" t="str">
        <f>IFERROR(VLOOKUP(Orders!D1817,Products!$A$2:$C$61,3,FALSE),"Unknown")</f>
        <v>Apparel</v>
      </c>
      <c r="F1817" t="str">
        <f>IFERROR(VLOOKUP(Orders!C1817,Customers!$A$2:$E$301,5,FALSE),"Unknown")</f>
        <v>SMB</v>
      </c>
      <c r="G1817">
        <f>IFERROR(VLOOKUP(Orders!C1817,Customers!$A$2:$C$301,3,FALSE),"")</f>
        <v>44</v>
      </c>
      <c r="H1817" t="str">
        <f>VLOOKUP(D1817,Sales_Reps!$A$2:$C$31,3,FALSE)</f>
        <v>North</v>
      </c>
      <c r="I1817" s="44">
        <f t="shared" si="59"/>
        <v>45536</v>
      </c>
      <c r="L1817" t="str">
        <f>Orders!K1817</f>
        <v>Pune</v>
      </c>
      <c r="M1817">
        <f>Orders!G1817</f>
        <v>2480</v>
      </c>
      <c r="N1817">
        <f>IFERROR(VLOOKUP(Orders!D1817,Products!$A$2:$D$61,4,FALSE),"")</f>
        <v>1173</v>
      </c>
      <c r="O1817">
        <f t="shared" si="60"/>
        <v>0.52701612903225803</v>
      </c>
      <c r="Q1817" t="str">
        <f>Orders!D1817</f>
        <v>PROD-019</v>
      </c>
    </row>
    <row r="1818" spans="1:17" x14ac:dyDescent="0.3">
      <c r="A1818" t="str">
        <f>Orders!A1818</f>
        <v>ORD-01817</v>
      </c>
      <c r="B1818">
        <f>Orders!B1818</f>
        <v>45643</v>
      </c>
      <c r="C1818">
        <f>Orders!I1818</f>
        <v>16410.240000000002</v>
      </c>
      <c r="D1818" t="str">
        <f>Orders!E1818</f>
        <v>R001</v>
      </c>
      <c r="E1818" t="str">
        <f>IFERROR(VLOOKUP(Orders!D1818,Products!$A$2:$C$61,3,FALSE),"Unknown")</f>
        <v>Electronics</v>
      </c>
      <c r="F1818" t="str">
        <f>IFERROR(VLOOKUP(Orders!C1818,Customers!$A$2:$E$301,5,FALSE),"Unknown")</f>
        <v>Retail</v>
      </c>
      <c r="G1818">
        <f>IFERROR(VLOOKUP(Orders!C1818,Customers!$A$2:$C$301,3,FALSE),"")</f>
        <v>61</v>
      </c>
      <c r="H1818" t="str">
        <f>VLOOKUP(D1818,Sales_Reps!$A$2:$C$31,3,FALSE)</f>
        <v>North</v>
      </c>
      <c r="I1818" s="44">
        <f t="shared" si="59"/>
        <v>45627</v>
      </c>
      <c r="L1818" t="str">
        <f>Orders!K1818</f>
        <v>Chennai</v>
      </c>
      <c r="M1818">
        <f>Orders!G1818</f>
        <v>2640</v>
      </c>
      <c r="N1818">
        <f>IFERROR(VLOOKUP(Orders!D1818,Products!$A$2:$D$61,4,FALSE),"")</f>
        <v>1149</v>
      </c>
      <c r="O1818">
        <f t="shared" si="60"/>
        <v>0.56477272727272732</v>
      </c>
      <c r="Q1818" t="str">
        <f>Orders!D1818</f>
        <v>PROD-010</v>
      </c>
    </row>
    <row r="1819" spans="1:17" x14ac:dyDescent="0.3">
      <c r="A1819" t="str">
        <f>Orders!A1819</f>
        <v>ORD-01818</v>
      </c>
      <c r="B1819">
        <f>Orders!B1819</f>
        <v>45559</v>
      </c>
      <c r="C1819">
        <f>Orders!I1819</f>
        <v>6743.44</v>
      </c>
      <c r="D1819" t="str">
        <f>Orders!E1819</f>
        <v>R001</v>
      </c>
      <c r="E1819" t="str">
        <f>IFERROR(VLOOKUP(Orders!D1819,Products!$A$2:$C$61,3,FALSE),"Unknown")</f>
        <v>Grocery</v>
      </c>
      <c r="F1819" t="str">
        <f>IFERROR(VLOOKUP(Orders!C1819,Customers!$A$2:$E$301,5,FALSE),"Unknown")</f>
        <v>SMB</v>
      </c>
      <c r="G1819">
        <f>IFERROR(VLOOKUP(Orders!C1819,Customers!$A$2:$C$301,3,FALSE),"")</f>
        <v>25</v>
      </c>
      <c r="H1819" t="str">
        <f>VLOOKUP(D1819,Sales_Reps!$A$2:$C$31,3,FALSE)</f>
        <v>North</v>
      </c>
      <c r="I1819" s="44">
        <f t="shared" si="59"/>
        <v>45536</v>
      </c>
      <c r="L1819" t="str">
        <f>Orders!K1819</f>
        <v>Hyderabad</v>
      </c>
      <c r="M1819">
        <f>Orders!G1819</f>
        <v>970</v>
      </c>
      <c r="N1819">
        <f>IFERROR(VLOOKUP(Orders!D1819,Products!$A$2:$D$61,4,FALSE),"")</f>
        <v>434</v>
      </c>
      <c r="O1819">
        <f t="shared" si="60"/>
        <v>0.5525773195876289</v>
      </c>
      <c r="Q1819" t="str">
        <f>Orders!D1819</f>
        <v>PROD-030</v>
      </c>
    </row>
    <row r="1820" spans="1:17" x14ac:dyDescent="0.3">
      <c r="A1820" t="str">
        <f>Orders!A1820</f>
        <v>ORD-01819</v>
      </c>
      <c r="B1820">
        <f>Orders!B1820</f>
        <v>45416</v>
      </c>
      <c r="C1820">
        <f>Orders!I1820</f>
        <v>5575.68</v>
      </c>
      <c r="D1820" t="str">
        <f>Orders!E1820</f>
        <v>R001</v>
      </c>
      <c r="E1820" t="str">
        <f>IFERROR(VLOOKUP(Orders!D1820,Products!$A$2:$C$61,3,FALSE),"Unknown")</f>
        <v>Sports</v>
      </c>
      <c r="F1820" t="str">
        <f>IFERROR(VLOOKUP(Orders!C1820,Customers!$A$2:$E$301,5,FALSE),"Unknown")</f>
        <v>Retail</v>
      </c>
      <c r="G1820">
        <f>IFERROR(VLOOKUP(Orders!C1820,Customers!$A$2:$C$301,3,FALSE),"")</f>
        <v>39</v>
      </c>
      <c r="H1820" t="str">
        <f>VLOOKUP(D1820,Sales_Reps!$A$2:$C$31,3,FALSE)</f>
        <v>North</v>
      </c>
      <c r="I1820" s="44">
        <f t="shared" si="59"/>
        <v>45413</v>
      </c>
      <c r="L1820" t="str">
        <f>Orders!K1820</f>
        <v>Mumbai</v>
      </c>
      <c r="M1820">
        <f>Orders!G1820</f>
        <v>960</v>
      </c>
      <c r="N1820">
        <f>IFERROR(VLOOKUP(Orders!D1820,Products!$A$2:$D$61,4,FALSE),"")</f>
        <v>705</v>
      </c>
      <c r="O1820">
        <f t="shared" si="60"/>
        <v>0.265625</v>
      </c>
      <c r="Q1820" t="str">
        <f>Orders!D1820</f>
        <v>PROD-057</v>
      </c>
    </row>
    <row r="1821" spans="1:17" x14ac:dyDescent="0.3">
      <c r="A1821" t="str">
        <f>Orders!A1821</f>
        <v>ORD-01820</v>
      </c>
      <c r="B1821">
        <f>Orders!B1821</f>
        <v>45469</v>
      </c>
      <c r="C1821">
        <f>Orders!I1821</f>
        <v>15967.98</v>
      </c>
      <c r="D1821" t="str">
        <f>Orders!E1821</f>
        <v>R008</v>
      </c>
      <c r="E1821" t="str">
        <f>IFERROR(VLOOKUP(Orders!D1821,Products!$A$2:$C$61,3,FALSE),"Unknown")</f>
        <v>Home</v>
      </c>
      <c r="F1821" t="str">
        <f>IFERROR(VLOOKUP(Orders!C1821,Customers!$A$2:$E$301,5,FALSE),"Unknown")</f>
        <v>Retail</v>
      </c>
      <c r="G1821">
        <f>IFERROR(VLOOKUP(Orders!C1821,Customers!$A$2:$C$301,3,FALSE),"")</f>
        <v>31</v>
      </c>
      <c r="H1821" t="str">
        <f>VLOOKUP(D1821,Sales_Reps!$A$2:$C$31,3,FALSE)</f>
        <v>North</v>
      </c>
      <c r="I1821" s="44">
        <f t="shared" si="59"/>
        <v>45444</v>
      </c>
      <c r="L1821" t="str">
        <f>Orders!K1821</f>
        <v>Chennai</v>
      </c>
      <c r="M1821">
        <f>Orders!G1821</f>
        <v>2030</v>
      </c>
      <c r="N1821">
        <f>IFERROR(VLOOKUP(Orders!D1821,Products!$A$2:$D$61,4,FALSE),"")</f>
        <v>1143</v>
      </c>
      <c r="O1821">
        <f t="shared" si="60"/>
        <v>0.43694581280788175</v>
      </c>
      <c r="Q1821" t="str">
        <f>Orders!D1821</f>
        <v>PROD-033</v>
      </c>
    </row>
    <row r="1822" spans="1:17" x14ac:dyDescent="0.3">
      <c r="A1822" t="str">
        <f>Orders!A1822</f>
        <v>ORD-01821</v>
      </c>
      <c r="B1822">
        <f>Orders!B1822</f>
        <v>45387</v>
      </c>
      <c r="C1822">
        <f>Orders!I1822</f>
        <v>17816.2</v>
      </c>
      <c r="D1822" t="str">
        <f>Orders!E1822</f>
        <v>R024</v>
      </c>
      <c r="E1822" t="str">
        <f>IFERROR(VLOOKUP(Orders!D1822,Products!$A$2:$C$61,3,FALSE),"Unknown")</f>
        <v>Beauty</v>
      </c>
      <c r="F1822" t="str">
        <f>IFERROR(VLOOKUP(Orders!C1822,Customers!$A$2:$E$301,5,FALSE),"Unknown")</f>
        <v>SMB</v>
      </c>
      <c r="G1822">
        <f>IFERROR(VLOOKUP(Orders!C1822,Customers!$A$2:$C$301,3,FALSE),"")</f>
        <v>29</v>
      </c>
      <c r="H1822" t="str">
        <f>VLOOKUP(D1822,Sales_Reps!$A$2:$C$31,3,FALSE)</f>
        <v>West</v>
      </c>
      <c r="I1822" s="44">
        <f t="shared" si="59"/>
        <v>45383</v>
      </c>
      <c r="L1822" t="str">
        <f>Orders!K1822</f>
        <v>Pune</v>
      </c>
      <c r="M1822">
        <f>Orders!G1822</f>
        <v>2290</v>
      </c>
      <c r="N1822">
        <f>IFERROR(VLOOKUP(Orders!D1822,Products!$A$2:$D$61,4,FALSE),"")</f>
        <v>1219</v>
      </c>
      <c r="O1822">
        <f t="shared" si="60"/>
        <v>0.46768558951965067</v>
      </c>
      <c r="Q1822" t="str">
        <f>Orders!D1822</f>
        <v>PROD-042</v>
      </c>
    </row>
    <row r="1823" spans="1:17" x14ac:dyDescent="0.3">
      <c r="A1823" t="str">
        <f>Orders!A1823</f>
        <v>ORD-01822</v>
      </c>
      <c r="B1823">
        <f>Orders!B1823</f>
        <v>45373</v>
      </c>
      <c r="C1823">
        <f>Orders!I1823</f>
        <v>5372.64</v>
      </c>
      <c r="D1823" t="str">
        <f>Orders!E1823</f>
        <v>R027</v>
      </c>
      <c r="E1823" t="str">
        <f>IFERROR(VLOOKUP(Orders!D1823,Products!$A$2:$C$61,3,FALSE),"Unknown")</f>
        <v>Apparel</v>
      </c>
      <c r="F1823" t="str">
        <f>IFERROR(VLOOKUP(Orders!C1823,Customers!$A$2:$E$301,5,FALSE),"Unknown")</f>
        <v>Retail</v>
      </c>
      <c r="G1823">
        <f>IFERROR(VLOOKUP(Orders!C1823,Customers!$A$2:$C$301,3,FALSE),"")</f>
        <v>26</v>
      </c>
      <c r="H1823" t="str">
        <f>VLOOKUP(D1823,Sales_Reps!$A$2:$C$31,3,FALSE)</f>
        <v>West</v>
      </c>
      <c r="I1823" s="44">
        <f t="shared" si="59"/>
        <v>45352</v>
      </c>
      <c r="L1823" t="str">
        <f>Orders!K1823</f>
        <v>Chennai</v>
      </c>
      <c r="M1823">
        <f>Orders!G1823</f>
        <v>820</v>
      </c>
      <c r="N1823">
        <f>IFERROR(VLOOKUP(Orders!D1823,Products!$A$2:$D$61,4,FALSE),"")</f>
        <v>391</v>
      </c>
      <c r="O1823">
        <f t="shared" si="60"/>
        <v>0.52317073170731709</v>
      </c>
      <c r="Q1823" t="str">
        <f>Orders!D1823</f>
        <v>PROD-020</v>
      </c>
    </row>
    <row r="1824" spans="1:17" x14ac:dyDescent="0.3">
      <c r="A1824" t="str">
        <f>Orders!A1824</f>
        <v>ORD-01823</v>
      </c>
      <c r="B1824">
        <f>Orders!B1824</f>
        <v>45614</v>
      </c>
      <c r="C1824">
        <f>Orders!I1824</f>
        <v>5076</v>
      </c>
      <c r="D1824" t="str">
        <f>Orders!E1824</f>
        <v>R030</v>
      </c>
      <c r="E1824" t="str">
        <f>IFERROR(VLOOKUP(Orders!D1824,Products!$A$2:$C$61,3,FALSE),"Unknown")</f>
        <v>Home</v>
      </c>
      <c r="F1824" t="str">
        <f>IFERROR(VLOOKUP(Orders!C1824,Customers!$A$2:$E$301,5,FALSE),"Unknown")</f>
        <v>SMB</v>
      </c>
      <c r="G1824">
        <f>IFERROR(VLOOKUP(Orders!C1824,Customers!$A$2:$C$301,3,FALSE),"")</f>
        <v>65</v>
      </c>
      <c r="H1824" t="str">
        <f>VLOOKUP(D1824,Sales_Reps!$A$2:$C$31,3,FALSE)</f>
        <v>West</v>
      </c>
      <c r="I1824" s="44">
        <f t="shared" si="59"/>
        <v>45597</v>
      </c>
      <c r="L1824" t="str">
        <f>Orders!K1824</f>
        <v>Hyderabad</v>
      </c>
      <c r="M1824">
        <f>Orders!G1824</f>
        <v>1080</v>
      </c>
      <c r="N1824">
        <f>IFERROR(VLOOKUP(Orders!D1824,Products!$A$2:$D$61,4,FALSE),"")</f>
        <v>519</v>
      </c>
      <c r="O1824">
        <f t="shared" si="60"/>
        <v>0.51944444444444449</v>
      </c>
      <c r="Q1824" t="str">
        <f>Orders!D1824</f>
        <v>PROD-040</v>
      </c>
    </row>
    <row r="1825" spans="1:17" x14ac:dyDescent="0.3">
      <c r="A1825" t="str">
        <f>Orders!A1825</f>
        <v>ORD-01824</v>
      </c>
      <c r="B1825">
        <f>Orders!B1825</f>
        <v>45310</v>
      </c>
      <c r="C1825">
        <f>Orders!I1825</f>
        <v>712.12</v>
      </c>
      <c r="D1825" t="str">
        <f>Orders!E1825</f>
        <v>R028</v>
      </c>
      <c r="E1825" t="str">
        <f>IFERROR(VLOOKUP(Orders!D1825,Products!$A$2:$C$61,3,FALSE),"Unknown")</f>
        <v>Sports</v>
      </c>
      <c r="F1825" t="str">
        <f>IFERROR(VLOOKUP(Orders!C1825,Customers!$A$2:$E$301,5,FALSE),"Unknown")</f>
        <v>SMB</v>
      </c>
      <c r="G1825">
        <f>IFERROR(VLOOKUP(Orders!C1825,Customers!$A$2:$C$301,3,FALSE),"")</f>
        <v>49</v>
      </c>
      <c r="H1825" t="str">
        <f>VLOOKUP(D1825,Sales_Reps!$A$2:$C$31,3,FALSE)</f>
        <v>West</v>
      </c>
      <c r="I1825" s="44">
        <f t="shared" si="59"/>
        <v>45292</v>
      </c>
      <c r="L1825" t="str">
        <f>Orders!K1825</f>
        <v>Pune</v>
      </c>
      <c r="M1825">
        <f>Orders!G1825</f>
        <v>190</v>
      </c>
      <c r="N1825">
        <f>IFERROR(VLOOKUP(Orders!D1825,Products!$A$2:$D$61,4,FALSE),"")</f>
        <v>147</v>
      </c>
      <c r="O1825">
        <f t="shared" si="60"/>
        <v>0.22631578947368422</v>
      </c>
      <c r="Q1825" t="str">
        <f>Orders!D1825</f>
        <v>PROD-060</v>
      </c>
    </row>
    <row r="1826" spans="1:17" x14ac:dyDescent="0.3">
      <c r="A1826" t="str">
        <f>Orders!A1826</f>
        <v>ORD-01825</v>
      </c>
      <c r="B1826">
        <f>Orders!B1826</f>
        <v>45319</v>
      </c>
      <c r="C1826">
        <f>Orders!I1826</f>
        <v>13328.1</v>
      </c>
      <c r="D1826" t="str">
        <f>Orders!E1826</f>
        <v>R029</v>
      </c>
      <c r="E1826" t="str">
        <f>IFERROR(VLOOKUP(Orders!D1826,Products!$A$2:$C$61,3,FALSE),"Unknown")</f>
        <v>Apparel</v>
      </c>
      <c r="F1826" t="str">
        <f>IFERROR(VLOOKUP(Orders!C1826,Customers!$A$2:$E$301,5,FALSE),"Unknown")</f>
        <v>SMB</v>
      </c>
      <c r="G1826">
        <f>IFERROR(VLOOKUP(Orders!C1826,Customers!$A$2:$C$301,3,FALSE),"")</f>
        <v>55</v>
      </c>
      <c r="H1826" t="str">
        <f>VLOOKUP(D1826,Sales_Reps!$A$2:$C$31,3,FALSE)</f>
        <v>West</v>
      </c>
      <c r="I1826" s="44">
        <f t="shared" si="59"/>
        <v>45292</v>
      </c>
      <c r="L1826" t="str">
        <f>Orders!K1826</f>
        <v>Chennai</v>
      </c>
      <c r="M1826">
        <f>Orders!G1826</f>
        <v>2510</v>
      </c>
      <c r="N1826">
        <f>IFERROR(VLOOKUP(Orders!D1826,Products!$A$2:$D$61,4,FALSE),"")</f>
        <v>1075</v>
      </c>
      <c r="O1826">
        <f t="shared" si="60"/>
        <v>0.57171314741035861</v>
      </c>
      <c r="Q1826" t="str">
        <f>Orders!D1826</f>
        <v>PROD-017</v>
      </c>
    </row>
    <row r="1827" spans="1:17" x14ac:dyDescent="0.3">
      <c r="A1827" t="str">
        <f>Orders!A1827</f>
        <v>ORD-01826</v>
      </c>
      <c r="B1827">
        <f>Orders!B1827</f>
        <v>45299</v>
      </c>
      <c r="C1827">
        <f>Orders!I1827</f>
        <v>6372.4</v>
      </c>
      <c r="D1827" t="str">
        <f>Orders!E1827</f>
        <v>R015</v>
      </c>
      <c r="E1827" t="str">
        <f>IFERROR(VLOOKUP(Orders!D1827,Products!$A$2:$C$61,3,FALSE),"Unknown")</f>
        <v>Apparel</v>
      </c>
      <c r="F1827" t="str">
        <f>IFERROR(VLOOKUP(Orders!C1827,Customers!$A$2:$E$301,5,FALSE),"Unknown")</f>
        <v>Retail</v>
      </c>
      <c r="G1827">
        <f>IFERROR(VLOOKUP(Orders!C1827,Customers!$A$2:$C$301,3,FALSE),"")</f>
        <v>36</v>
      </c>
      <c r="H1827" t="str">
        <f>VLOOKUP(D1827,Sales_Reps!$A$2:$C$31,3,FALSE)</f>
        <v>South</v>
      </c>
      <c r="I1827" s="44">
        <f t="shared" si="59"/>
        <v>45292</v>
      </c>
      <c r="L1827" t="str">
        <f>Orders!K1827</f>
        <v>Chennai</v>
      </c>
      <c r="M1827">
        <f>Orders!G1827</f>
        <v>3560</v>
      </c>
      <c r="N1827">
        <f>IFERROR(VLOOKUP(Orders!D1827,Products!$A$2:$D$61,4,FALSE),"")</f>
        <v>2629</v>
      </c>
      <c r="O1827">
        <f t="shared" si="60"/>
        <v>0.26151685393258428</v>
      </c>
      <c r="Q1827" t="str">
        <f>Orders!D1827</f>
        <v>PROD-018</v>
      </c>
    </row>
    <row r="1828" spans="1:17" x14ac:dyDescent="0.3">
      <c r="A1828" t="str">
        <f>Orders!A1828</f>
        <v>ORD-01827</v>
      </c>
      <c r="B1828">
        <f>Orders!B1828</f>
        <v>45556</v>
      </c>
      <c r="C1828">
        <f>Orders!I1828</f>
        <v>2140.1999999999998</v>
      </c>
      <c r="D1828" t="str">
        <f>Orders!E1828</f>
        <v>R013</v>
      </c>
      <c r="E1828" t="str">
        <f>IFERROR(VLOOKUP(Orders!D1828,Products!$A$2:$C$61,3,FALSE),"Unknown")</f>
        <v>Apparel</v>
      </c>
      <c r="F1828" t="str">
        <f>IFERROR(VLOOKUP(Orders!C1828,Customers!$A$2:$E$301,5,FALSE),"Unknown")</f>
        <v>Corporate</v>
      </c>
      <c r="G1828">
        <f>IFERROR(VLOOKUP(Orders!C1828,Customers!$A$2:$C$301,3,FALSE),"")</f>
        <v>41</v>
      </c>
      <c r="H1828" t="str">
        <f>VLOOKUP(D1828,Sales_Reps!$A$2:$C$31,3,FALSE)</f>
        <v>South</v>
      </c>
      <c r="I1828" s="44">
        <f t="shared" si="59"/>
        <v>45536</v>
      </c>
      <c r="L1828" t="str">
        <f>Orders!K1828</f>
        <v>Bengaluru</v>
      </c>
      <c r="M1828">
        <f>Orders!G1828</f>
        <v>820</v>
      </c>
      <c r="N1828">
        <f>IFERROR(VLOOKUP(Orders!D1828,Products!$A$2:$D$61,4,FALSE),"")</f>
        <v>391</v>
      </c>
      <c r="O1828">
        <f t="shared" si="60"/>
        <v>0.52317073170731709</v>
      </c>
      <c r="Q1828" t="str">
        <f>Orders!D1828</f>
        <v>PROD-020</v>
      </c>
    </row>
    <row r="1829" spans="1:17" x14ac:dyDescent="0.3">
      <c r="A1829" t="str">
        <f>Orders!A1829</f>
        <v>ORD-01828</v>
      </c>
      <c r="B1829">
        <f>Orders!B1829</f>
        <v>45500</v>
      </c>
      <c r="C1829">
        <f>Orders!I1829</f>
        <v>18782.400000000001</v>
      </c>
      <c r="D1829" t="str">
        <f>Orders!E1829</f>
        <v>R003</v>
      </c>
      <c r="E1829" t="str">
        <f>IFERROR(VLOOKUP(Orders!D1829,Products!$A$2:$C$61,3,FALSE),"Unknown")</f>
        <v>Apparel</v>
      </c>
      <c r="F1829" t="str">
        <f>IFERROR(VLOOKUP(Orders!C1829,Customers!$A$2:$E$301,5,FALSE),"Unknown")</f>
        <v>Corporate</v>
      </c>
      <c r="G1829">
        <f>IFERROR(VLOOKUP(Orders!C1829,Customers!$A$2:$C$301,3,FALSE),"")</f>
        <v>42</v>
      </c>
      <c r="H1829" t="str">
        <f>VLOOKUP(D1829,Sales_Reps!$A$2:$C$31,3,FALSE)</f>
        <v>North</v>
      </c>
      <c r="I1829" s="44">
        <f t="shared" si="59"/>
        <v>45474</v>
      </c>
      <c r="L1829" t="str">
        <f>Orders!K1829</f>
        <v>Mumbai</v>
      </c>
      <c r="M1829">
        <f>Orders!G1829</f>
        <v>3640</v>
      </c>
      <c r="N1829">
        <f>IFERROR(VLOOKUP(Orders!D1829,Products!$A$2:$D$61,4,FALSE),"")</f>
        <v>2611</v>
      </c>
      <c r="O1829">
        <f t="shared" si="60"/>
        <v>0.28269230769230769</v>
      </c>
      <c r="Q1829" t="str">
        <f>Orders!D1829</f>
        <v>PROD-013</v>
      </c>
    </row>
    <row r="1830" spans="1:17" x14ac:dyDescent="0.3">
      <c r="A1830" t="str">
        <f>Orders!A1830</f>
        <v>ORD-01829</v>
      </c>
      <c r="B1830">
        <f>Orders!B1830</f>
        <v>45370</v>
      </c>
      <c r="C1830">
        <f>Orders!I1830</f>
        <v>13047.9</v>
      </c>
      <c r="D1830" t="str">
        <f>Orders!E1830</f>
        <v>R019</v>
      </c>
      <c r="E1830" t="str">
        <f>IFERROR(VLOOKUP(Orders!D1830,Products!$A$2:$C$61,3,FALSE),"Unknown")</f>
        <v>Grocery</v>
      </c>
      <c r="F1830" t="str">
        <f>IFERROR(VLOOKUP(Orders!C1830,Customers!$A$2:$E$301,5,FALSE),"Unknown")</f>
        <v>Retail</v>
      </c>
      <c r="G1830">
        <f>IFERROR(VLOOKUP(Orders!C1830,Customers!$A$2:$C$301,3,FALSE),"")</f>
        <v>54</v>
      </c>
      <c r="H1830" t="str">
        <f>VLOOKUP(D1830,Sales_Reps!$A$2:$C$31,3,FALSE)</f>
        <v>East</v>
      </c>
      <c r="I1830" s="44">
        <f t="shared" si="59"/>
        <v>45352</v>
      </c>
      <c r="L1830" t="str">
        <f>Orders!K1830</f>
        <v>Mumbai</v>
      </c>
      <c r="M1830">
        <f>Orders!G1830</f>
        <v>3660</v>
      </c>
      <c r="N1830">
        <f>IFERROR(VLOOKUP(Orders!D1830,Products!$A$2:$D$61,4,FALSE),"")</f>
        <v>2214</v>
      </c>
      <c r="O1830">
        <f t="shared" si="60"/>
        <v>0.39508196721311473</v>
      </c>
      <c r="Q1830" t="str">
        <f>Orders!D1830</f>
        <v>PROD-028</v>
      </c>
    </row>
    <row r="1831" spans="1:17" x14ac:dyDescent="0.3">
      <c r="A1831" t="str">
        <f>Orders!A1831</f>
        <v>ORD-01830</v>
      </c>
      <c r="B1831">
        <f>Orders!B1831</f>
        <v>45521</v>
      </c>
      <c r="C1831">
        <f>Orders!I1831</f>
        <v>4513.08</v>
      </c>
      <c r="D1831" t="str">
        <f>Orders!E1831</f>
        <v>R030</v>
      </c>
      <c r="E1831" t="str">
        <f>IFERROR(VLOOKUP(Orders!D1831,Products!$A$2:$C$61,3,FALSE),"Unknown")</f>
        <v>Sports</v>
      </c>
      <c r="F1831" t="str">
        <f>IFERROR(VLOOKUP(Orders!C1831,Customers!$A$2:$E$301,5,FALSE),"Unknown")</f>
        <v>SMB</v>
      </c>
      <c r="G1831">
        <f>IFERROR(VLOOKUP(Orders!C1831,Customers!$A$2:$C$301,3,FALSE),"")</f>
        <v>29</v>
      </c>
      <c r="H1831" t="str">
        <f>VLOOKUP(D1831,Sales_Reps!$A$2:$C$31,3,FALSE)</f>
        <v>West</v>
      </c>
      <c r="I1831" s="44">
        <f t="shared" si="59"/>
        <v>45505</v>
      </c>
      <c r="L1831" t="str">
        <f>Orders!K1831</f>
        <v>Pune</v>
      </c>
      <c r="M1831">
        <f>Orders!G1831</f>
        <v>2860</v>
      </c>
      <c r="N1831">
        <f>IFERROR(VLOOKUP(Orders!D1831,Products!$A$2:$D$61,4,FALSE),"")</f>
        <v>2028</v>
      </c>
      <c r="O1831">
        <f t="shared" si="60"/>
        <v>0.29090909090909089</v>
      </c>
      <c r="Q1831" t="str">
        <f>Orders!D1831</f>
        <v>PROD-055</v>
      </c>
    </row>
    <row r="1832" spans="1:17" x14ac:dyDescent="0.3">
      <c r="A1832" t="str">
        <f>Orders!A1832</f>
        <v>ORD-01831</v>
      </c>
      <c r="B1832">
        <f>Orders!B1832</f>
        <v>45481</v>
      </c>
      <c r="C1832">
        <f>Orders!I1832</f>
        <v>2118.88</v>
      </c>
      <c r="D1832" t="str">
        <f>Orders!E1832</f>
        <v>R019</v>
      </c>
      <c r="E1832" t="str">
        <f>IFERROR(VLOOKUP(Orders!D1832,Products!$A$2:$C$61,3,FALSE),"Unknown")</f>
        <v>Apparel</v>
      </c>
      <c r="F1832" t="str">
        <f>IFERROR(VLOOKUP(Orders!C1832,Customers!$A$2:$E$301,5,FALSE),"Unknown")</f>
        <v>Retail</v>
      </c>
      <c r="G1832">
        <f>IFERROR(VLOOKUP(Orders!C1832,Customers!$A$2:$C$301,3,FALSE),"")</f>
        <v>43</v>
      </c>
      <c r="H1832" t="str">
        <f>VLOOKUP(D1832,Sales_Reps!$A$2:$C$31,3,FALSE)</f>
        <v>East</v>
      </c>
      <c r="I1832" s="44">
        <f t="shared" si="59"/>
        <v>45474</v>
      </c>
      <c r="L1832" t="str">
        <f>Orders!K1832</f>
        <v>Delhi</v>
      </c>
      <c r="M1832">
        <f>Orders!G1832</f>
        <v>2720</v>
      </c>
      <c r="N1832">
        <f>IFERROR(VLOOKUP(Orders!D1832,Products!$A$2:$D$61,4,FALSE),"")</f>
        <v>1962</v>
      </c>
      <c r="O1832">
        <f t="shared" si="60"/>
        <v>0.2786764705882353</v>
      </c>
      <c r="Q1832" t="str">
        <f>Orders!D1832</f>
        <v>PROD-015</v>
      </c>
    </row>
    <row r="1833" spans="1:17" x14ac:dyDescent="0.3">
      <c r="A1833" t="str">
        <f>Orders!A1833</f>
        <v>ORD-01832</v>
      </c>
      <c r="B1833">
        <f>Orders!B1833</f>
        <v>45633</v>
      </c>
      <c r="C1833">
        <f>Orders!I1833</f>
        <v>15358.2</v>
      </c>
      <c r="D1833" t="str">
        <f>Orders!E1833</f>
        <v>R004</v>
      </c>
      <c r="E1833" t="str">
        <f>IFERROR(VLOOKUP(Orders!D1833,Products!$A$2:$C$61,3,FALSE),"Unknown")</f>
        <v>Sports</v>
      </c>
      <c r="F1833" t="str">
        <f>IFERROR(VLOOKUP(Orders!C1833,Customers!$A$2:$E$301,5,FALSE),"Unknown")</f>
        <v>Retail</v>
      </c>
      <c r="G1833">
        <f>IFERROR(VLOOKUP(Orders!C1833,Customers!$A$2:$C$301,3,FALSE),"")</f>
        <v>46</v>
      </c>
      <c r="H1833" t="str">
        <f>VLOOKUP(D1833,Sales_Reps!$A$2:$C$31,3,FALSE)</f>
        <v>North</v>
      </c>
      <c r="I1833" s="44">
        <f t="shared" si="59"/>
        <v>45627</v>
      </c>
      <c r="L1833" t="str">
        <f>Orders!K1833</f>
        <v>Bengaluru</v>
      </c>
      <c r="M1833">
        <f>Orders!G1833</f>
        <v>2860</v>
      </c>
      <c r="N1833">
        <f>IFERROR(VLOOKUP(Orders!D1833,Products!$A$2:$D$61,4,FALSE),"")</f>
        <v>2028</v>
      </c>
      <c r="O1833">
        <f t="shared" si="60"/>
        <v>0.29090909090909089</v>
      </c>
      <c r="Q1833" t="str">
        <f>Orders!D1833</f>
        <v>PROD-055</v>
      </c>
    </row>
    <row r="1834" spans="1:17" x14ac:dyDescent="0.3">
      <c r="A1834" t="str">
        <f>Orders!A1834</f>
        <v>ORD-01833</v>
      </c>
      <c r="B1834">
        <f>Orders!B1834</f>
        <v>45305</v>
      </c>
      <c r="C1834">
        <f>Orders!I1834</f>
        <v>2208.8000000000002</v>
      </c>
      <c r="D1834" t="str">
        <f>Orders!E1834</f>
        <v>R020</v>
      </c>
      <c r="E1834" t="str">
        <f>IFERROR(VLOOKUP(Orders!D1834,Products!$A$2:$C$61,3,FALSE),"Unknown")</f>
        <v>Apparel</v>
      </c>
      <c r="F1834" t="str">
        <f>IFERROR(VLOOKUP(Orders!C1834,Customers!$A$2:$E$301,5,FALSE),"Unknown")</f>
        <v>Retail</v>
      </c>
      <c r="G1834">
        <f>IFERROR(VLOOKUP(Orders!C1834,Customers!$A$2:$C$301,3,FALSE),"")</f>
        <v>37</v>
      </c>
      <c r="H1834" t="str">
        <f>VLOOKUP(D1834,Sales_Reps!$A$2:$C$31,3,FALSE)</f>
        <v>East</v>
      </c>
      <c r="I1834" s="44">
        <f t="shared" si="59"/>
        <v>45292</v>
      </c>
      <c r="L1834" t="str">
        <f>Orders!K1834</f>
        <v>Mumbai</v>
      </c>
      <c r="M1834">
        <f>Orders!G1834</f>
        <v>2510</v>
      </c>
      <c r="N1834">
        <f>IFERROR(VLOOKUP(Orders!D1834,Products!$A$2:$D$61,4,FALSE),"")</f>
        <v>1075</v>
      </c>
      <c r="O1834">
        <f t="shared" si="60"/>
        <v>0.57171314741035861</v>
      </c>
      <c r="Q1834" t="str">
        <f>Orders!D1834</f>
        <v>PROD-017</v>
      </c>
    </row>
    <row r="1835" spans="1:17" x14ac:dyDescent="0.3">
      <c r="A1835" t="str">
        <f>Orders!A1835</f>
        <v>ORD-01834</v>
      </c>
      <c r="B1835">
        <f>Orders!B1835</f>
        <v>45593</v>
      </c>
      <c r="C1835">
        <f>Orders!I1835</f>
        <v>7710.72</v>
      </c>
      <c r="D1835" t="str">
        <f>Orders!E1835</f>
        <v>R020</v>
      </c>
      <c r="E1835" t="str">
        <f>IFERROR(VLOOKUP(Orders!D1835,Products!$A$2:$C$61,3,FALSE),"Unknown")</f>
        <v>Apparel</v>
      </c>
      <c r="F1835" t="str">
        <f>IFERROR(VLOOKUP(Orders!C1835,Customers!$A$2:$E$301,5,FALSE),"Unknown")</f>
        <v>SMB</v>
      </c>
      <c r="G1835">
        <f>IFERROR(VLOOKUP(Orders!C1835,Customers!$A$2:$C$301,3,FALSE),"")</f>
        <v>59</v>
      </c>
      <c r="H1835" t="str">
        <f>VLOOKUP(D1835,Sales_Reps!$A$2:$C$31,3,FALSE)</f>
        <v>East</v>
      </c>
      <c r="I1835" s="44">
        <f t="shared" si="59"/>
        <v>45566</v>
      </c>
      <c r="L1835" t="str">
        <f>Orders!K1835</f>
        <v>Chennai</v>
      </c>
      <c r="M1835">
        <f>Orders!G1835</f>
        <v>2510</v>
      </c>
      <c r="N1835">
        <f>IFERROR(VLOOKUP(Orders!D1835,Products!$A$2:$D$61,4,FALSE),"")</f>
        <v>1075</v>
      </c>
      <c r="O1835">
        <f t="shared" si="60"/>
        <v>0.57171314741035861</v>
      </c>
      <c r="Q1835" t="str">
        <f>Orders!D1835</f>
        <v>PROD-017</v>
      </c>
    </row>
    <row r="1836" spans="1:17" x14ac:dyDescent="0.3">
      <c r="A1836" t="str">
        <f>Orders!A1836</f>
        <v>ORD-01835</v>
      </c>
      <c r="B1836">
        <f>Orders!B1836</f>
        <v>45555</v>
      </c>
      <c r="C1836">
        <f>Orders!I1836</f>
        <v>6120.96</v>
      </c>
      <c r="D1836" t="str">
        <f>Orders!E1836</f>
        <v>R005</v>
      </c>
      <c r="E1836" t="str">
        <f>IFERROR(VLOOKUP(Orders!D1836,Products!$A$2:$C$61,3,FALSE),"Unknown")</f>
        <v>Beauty</v>
      </c>
      <c r="F1836" t="str">
        <f>IFERROR(VLOOKUP(Orders!C1836,Customers!$A$2:$E$301,5,FALSE),"Unknown")</f>
        <v>Retail</v>
      </c>
      <c r="G1836">
        <f>IFERROR(VLOOKUP(Orders!C1836,Customers!$A$2:$C$301,3,FALSE),"")</f>
        <v>49</v>
      </c>
      <c r="H1836" t="str">
        <f>VLOOKUP(D1836,Sales_Reps!$A$2:$C$31,3,FALSE)</f>
        <v>North</v>
      </c>
      <c r="I1836" s="44">
        <f t="shared" si="59"/>
        <v>45536</v>
      </c>
      <c r="L1836" t="str">
        <f>Orders!K1836</f>
        <v>Chennai</v>
      </c>
      <c r="M1836">
        <f>Orders!G1836</f>
        <v>960</v>
      </c>
      <c r="N1836">
        <f>IFERROR(VLOOKUP(Orders!D1836,Products!$A$2:$D$61,4,FALSE),"")</f>
        <v>675</v>
      </c>
      <c r="O1836">
        <f t="shared" si="60"/>
        <v>0.296875</v>
      </c>
      <c r="Q1836" t="str">
        <f>Orders!D1836</f>
        <v>PROD-049</v>
      </c>
    </row>
    <row r="1837" spans="1:17" x14ac:dyDescent="0.3">
      <c r="A1837" t="str">
        <f>Orders!A1837</f>
        <v>ORD-01836</v>
      </c>
      <c r="B1837">
        <f>Orders!B1837</f>
        <v>45406</v>
      </c>
      <c r="C1837">
        <f>Orders!I1837</f>
        <v>12319.56</v>
      </c>
      <c r="D1837" t="str">
        <f>Orders!E1837</f>
        <v>R010</v>
      </c>
      <c r="E1837" t="str">
        <f>IFERROR(VLOOKUP(Orders!D1837,Products!$A$2:$C$61,3,FALSE),"Unknown")</f>
        <v>Home</v>
      </c>
      <c r="F1837" t="str">
        <f>IFERROR(VLOOKUP(Orders!C1837,Customers!$A$2:$E$301,5,FALSE),"Unknown")</f>
        <v>SMB</v>
      </c>
      <c r="G1837">
        <f>IFERROR(VLOOKUP(Orders!C1837,Customers!$A$2:$C$301,3,FALSE),"")</f>
        <v>39</v>
      </c>
      <c r="H1837" t="str">
        <f>VLOOKUP(D1837,Sales_Reps!$A$2:$C$31,3,FALSE)</f>
        <v>South</v>
      </c>
      <c r="I1837" s="44">
        <f t="shared" si="59"/>
        <v>45383</v>
      </c>
      <c r="L1837" t="str">
        <f>Orders!K1837</f>
        <v>Hyderabad</v>
      </c>
      <c r="M1837">
        <f>Orders!G1837</f>
        <v>5490</v>
      </c>
      <c r="N1837">
        <f>IFERROR(VLOOKUP(Orders!D1837,Products!$A$2:$D$61,4,FALSE),"")</f>
        <v>2549</v>
      </c>
      <c r="O1837">
        <f t="shared" si="60"/>
        <v>0.53570127504553733</v>
      </c>
      <c r="Q1837" t="str">
        <f>Orders!D1837</f>
        <v>PROD-038</v>
      </c>
    </row>
    <row r="1838" spans="1:17" x14ac:dyDescent="0.3">
      <c r="A1838" t="str">
        <f>Orders!A1838</f>
        <v>ORD-01837</v>
      </c>
      <c r="B1838">
        <f>Orders!B1838</f>
        <v>45647</v>
      </c>
      <c r="C1838">
        <f>Orders!I1838</f>
        <v>3604.36</v>
      </c>
      <c r="D1838" t="str">
        <f>Orders!E1838</f>
        <v>R006</v>
      </c>
      <c r="E1838" t="str">
        <f>IFERROR(VLOOKUP(Orders!D1838,Products!$A$2:$C$61,3,FALSE),"Unknown")</f>
        <v>Apparel</v>
      </c>
      <c r="F1838" t="str">
        <f>IFERROR(VLOOKUP(Orders!C1838,Customers!$A$2:$E$301,5,FALSE),"Unknown")</f>
        <v>Retail</v>
      </c>
      <c r="G1838">
        <f>IFERROR(VLOOKUP(Orders!C1838,Customers!$A$2:$C$301,3,FALSE),"")</f>
        <v>54</v>
      </c>
      <c r="H1838" t="str">
        <f>VLOOKUP(D1838,Sales_Reps!$A$2:$C$31,3,FALSE)</f>
        <v>North</v>
      </c>
      <c r="I1838" s="44">
        <f t="shared" si="59"/>
        <v>45627</v>
      </c>
      <c r="L1838" t="str">
        <f>Orders!K1838</f>
        <v>Pune</v>
      </c>
      <c r="M1838">
        <f>Orders!G1838</f>
        <v>2510</v>
      </c>
      <c r="N1838">
        <f>IFERROR(VLOOKUP(Orders!D1838,Products!$A$2:$D$61,4,FALSE),"")</f>
        <v>1075</v>
      </c>
      <c r="O1838">
        <f t="shared" si="60"/>
        <v>0.57171314741035861</v>
      </c>
      <c r="Q1838" t="str">
        <f>Orders!D1838</f>
        <v>PROD-017</v>
      </c>
    </row>
    <row r="1839" spans="1:17" x14ac:dyDescent="0.3">
      <c r="A1839" t="str">
        <f>Orders!A1839</f>
        <v>ORD-01838</v>
      </c>
      <c r="B1839">
        <f>Orders!B1839</f>
        <v>45386</v>
      </c>
      <c r="C1839">
        <f>Orders!I1839</f>
        <v>781.46</v>
      </c>
      <c r="D1839" t="str">
        <f>Orders!E1839</f>
        <v>R011</v>
      </c>
      <c r="E1839" t="str">
        <f>IFERROR(VLOOKUP(Orders!D1839,Products!$A$2:$C$61,3,FALSE),"Unknown")</f>
        <v>Apparel</v>
      </c>
      <c r="F1839" t="str">
        <f>IFERROR(VLOOKUP(Orders!C1839,Customers!$A$2:$E$301,5,FALSE),"Unknown")</f>
        <v>Retail</v>
      </c>
      <c r="G1839">
        <f>IFERROR(VLOOKUP(Orders!C1839,Customers!$A$2:$C$301,3,FALSE),"")</f>
        <v>63</v>
      </c>
      <c r="H1839" t="str">
        <f>VLOOKUP(D1839,Sales_Reps!$A$2:$C$31,3,FALSE)</f>
        <v>South</v>
      </c>
      <c r="I1839" s="44">
        <f t="shared" si="59"/>
        <v>45383</v>
      </c>
      <c r="L1839" t="str">
        <f>Orders!K1839</f>
        <v>Delhi</v>
      </c>
      <c r="M1839">
        <f>Orders!G1839</f>
        <v>820</v>
      </c>
      <c r="N1839">
        <f>IFERROR(VLOOKUP(Orders!D1839,Products!$A$2:$D$61,4,FALSE),"")</f>
        <v>391</v>
      </c>
      <c r="O1839">
        <f t="shared" si="60"/>
        <v>0.52317073170731709</v>
      </c>
      <c r="Q1839" t="str">
        <f>Orders!D1839</f>
        <v>PROD-020</v>
      </c>
    </row>
    <row r="1840" spans="1:17" x14ac:dyDescent="0.3">
      <c r="A1840" t="str">
        <f>Orders!A1840</f>
        <v>ORD-01839</v>
      </c>
      <c r="B1840">
        <f>Orders!B1840</f>
        <v>45453</v>
      </c>
      <c r="C1840">
        <f>Orders!I1840</f>
        <v>1560.6</v>
      </c>
      <c r="D1840" t="str">
        <f>Orders!E1840</f>
        <v>R018</v>
      </c>
      <c r="E1840" t="str">
        <f>IFERROR(VLOOKUP(Orders!D1840,Products!$A$2:$C$61,3,FALSE),"Unknown")</f>
        <v>Electronics</v>
      </c>
      <c r="F1840" t="str">
        <f>IFERROR(VLOOKUP(Orders!C1840,Customers!$A$2:$E$301,5,FALSE),"Unknown")</f>
        <v>SMB</v>
      </c>
      <c r="G1840">
        <f>IFERROR(VLOOKUP(Orders!C1840,Customers!$A$2:$C$301,3,FALSE),"")</f>
        <v>22</v>
      </c>
      <c r="H1840" t="str">
        <f>VLOOKUP(D1840,Sales_Reps!$A$2:$C$31,3,FALSE)</f>
        <v>East</v>
      </c>
      <c r="I1840" s="44">
        <f t="shared" si="59"/>
        <v>45444</v>
      </c>
      <c r="L1840" t="str">
        <f>Orders!K1840</f>
        <v>Mumbai</v>
      </c>
      <c r="M1840">
        <f>Orders!G1840</f>
        <v>300</v>
      </c>
      <c r="N1840">
        <f>IFERROR(VLOOKUP(Orders!D1840,Products!$A$2:$D$61,4,FALSE),"")</f>
        <v>128</v>
      </c>
      <c r="O1840">
        <f t="shared" si="60"/>
        <v>0.57333333333333336</v>
      </c>
      <c r="Q1840" t="str">
        <f>Orders!D1840</f>
        <v>PROD-005</v>
      </c>
    </row>
    <row r="1841" spans="1:17" x14ac:dyDescent="0.3">
      <c r="A1841" t="str">
        <f>Orders!A1841</f>
        <v>ORD-01840</v>
      </c>
      <c r="B1841">
        <f>Orders!B1841</f>
        <v>45492</v>
      </c>
      <c r="C1841">
        <f>Orders!I1841</f>
        <v>12622.8</v>
      </c>
      <c r="D1841" t="str">
        <f>Orders!E1841</f>
        <v>R016</v>
      </c>
      <c r="E1841" t="str">
        <f>IFERROR(VLOOKUP(Orders!D1841,Products!$A$2:$C$61,3,FALSE),"Unknown")</f>
        <v>Beauty</v>
      </c>
      <c r="F1841" t="str">
        <f>IFERROR(VLOOKUP(Orders!C1841,Customers!$A$2:$E$301,5,FALSE),"Unknown")</f>
        <v>Retail</v>
      </c>
      <c r="G1841">
        <f>IFERROR(VLOOKUP(Orders!C1841,Customers!$A$2:$C$301,3,FALSE),"")</f>
        <v>36</v>
      </c>
      <c r="H1841" t="str">
        <f>VLOOKUP(D1841,Sales_Reps!$A$2:$C$31,3,FALSE)</f>
        <v>South</v>
      </c>
      <c r="I1841" s="44">
        <f t="shared" si="59"/>
        <v>45474</v>
      </c>
      <c r="L1841" t="str">
        <f>Orders!K1841</f>
        <v>Chennai</v>
      </c>
      <c r="M1841">
        <f>Orders!G1841</f>
        <v>3350</v>
      </c>
      <c r="N1841">
        <f>IFERROR(VLOOKUP(Orders!D1841,Products!$A$2:$D$61,4,FALSE),"")</f>
        <v>1728</v>
      </c>
      <c r="O1841">
        <f t="shared" si="60"/>
        <v>0.48417910447761192</v>
      </c>
      <c r="Q1841" t="str">
        <f>Orders!D1841</f>
        <v>PROD-043</v>
      </c>
    </row>
    <row r="1842" spans="1:17" x14ac:dyDescent="0.3">
      <c r="A1842" t="str">
        <f>Orders!A1842</f>
        <v>ORD-01841</v>
      </c>
      <c r="B1842">
        <f>Orders!B1842</f>
        <v>45605</v>
      </c>
      <c r="C1842">
        <f>Orders!I1842</f>
        <v>7839</v>
      </c>
      <c r="D1842" t="str">
        <f>Orders!E1842</f>
        <v>R025</v>
      </c>
      <c r="E1842" t="str">
        <f>IFERROR(VLOOKUP(Orders!D1842,Products!$A$2:$C$61,3,FALSE),"Unknown")</f>
        <v>Home</v>
      </c>
      <c r="F1842" t="str">
        <f>IFERROR(VLOOKUP(Orders!C1842,Customers!$A$2:$E$301,5,FALSE),"Unknown")</f>
        <v>Retail</v>
      </c>
      <c r="G1842">
        <f>IFERROR(VLOOKUP(Orders!C1842,Customers!$A$2:$C$301,3,FALSE),"")</f>
        <v>62</v>
      </c>
      <c r="H1842" t="str">
        <f>VLOOKUP(D1842,Sales_Reps!$A$2:$C$31,3,FALSE)</f>
        <v>West</v>
      </c>
      <c r="I1842" s="44">
        <f t="shared" si="59"/>
        <v>45597</v>
      </c>
      <c r="L1842" t="str">
        <f>Orders!K1842</f>
        <v>Delhi</v>
      </c>
      <c r="M1842">
        <f>Orders!G1842</f>
        <v>3250</v>
      </c>
      <c r="N1842">
        <f>IFERROR(VLOOKUP(Orders!D1842,Products!$A$2:$D$61,4,FALSE),"")</f>
        <v>1556</v>
      </c>
      <c r="O1842">
        <f t="shared" si="60"/>
        <v>0.52123076923076928</v>
      </c>
      <c r="Q1842" t="str">
        <f>Orders!D1842</f>
        <v>PROD-036</v>
      </c>
    </row>
    <row r="1843" spans="1:17" x14ac:dyDescent="0.3">
      <c r="A1843" t="str">
        <f>Orders!A1843</f>
        <v>ORD-01842</v>
      </c>
      <c r="B1843">
        <f>Orders!B1843</f>
        <v>45344</v>
      </c>
      <c r="C1843">
        <f>Orders!I1843</f>
        <v>12787.5</v>
      </c>
      <c r="D1843" t="str">
        <f>Orders!E1843</f>
        <v>R027</v>
      </c>
      <c r="E1843" t="str">
        <f>IFERROR(VLOOKUP(Orders!D1843,Products!$A$2:$C$61,3,FALSE),"Unknown")</f>
        <v>Beauty</v>
      </c>
      <c r="F1843" t="str">
        <f>IFERROR(VLOOKUP(Orders!C1843,Customers!$A$2:$E$301,5,FALSE),"Unknown")</f>
        <v>SMB</v>
      </c>
      <c r="G1843">
        <f>IFERROR(VLOOKUP(Orders!C1843,Customers!$A$2:$C$301,3,FALSE),"")</f>
        <v>46</v>
      </c>
      <c r="H1843" t="str">
        <f>VLOOKUP(D1843,Sales_Reps!$A$2:$C$31,3,FALSE)</f>
        <v>West</v>
      </c>
      <c r="I1843" s="44">
        <f t="shared" si="59"/>
        <v>45323</v>
      </c>
      <c r="L1843" t="str">
        <f>Orders!K1843</f>
        <v>Bengaluru</v>
      </c>
      <c r="M1843">
        <f>Orders!G1843</f>
        <v>1650</v>
      </c>
      <c r="N1843">
        <f>IFERROR(VLOOKUP(Orders!D1843,Products!$A$2:$D$61,4,FALSE),"")</f>
        <v>1222</v>
      </c>
      <c r="O1843">
        <f t="shared" si="60"/>
        <v>0.2593939393939394</v>
      </c>
      <c r="Q1843" t="str">
        <f>Orders!D1843</f>
        <v>PROD-044</v>
      </c>
    </row>
    <row r="1844" spans="1:17" x14ac:dyDescent="0.3">
      <c r="A1844" t="str">
        <f>Orders!A1844</f>
        <v>ORD-01843</v>
      </c>
      <c r="B1844">
        <f>Orders!B1844</f>
        <v>45506</v>
      </c>
      <c r="C1844">
        <f>Orders!I1844</f>
        <v>2183.8000000000002</v>
      </c>
      <c r="D1844" t="str">
        <f>Orders!E1844</f>
        <v>R026</v>
      </c>
      <c r="E1844" t="str">
        <f>IFERROR(VLOOKUP(Orders!D1844,Products!$A$2:$C$61,3,FALSE),"Unknown")</f>
        <v>Electronics</v>
      </c>
      <c r="F1844" t="str">
        <f>IFERROR(VLOOKUP(Orders!C1844,Customers!$A$2:$E$301,5,FALSE),"Unknown")</f>
        <v>Retail</v>
      </c>
      <c r="G1844">
        <f>IFERROR(VLOOKUP(Orders!C1844,Customers!$A$2:$C$301,3,FALSE),"")</f>
        <v>32</v>
      </c>
      <c r="H1844" t="str">
        <f>VLOOKUP(D1844,Sales_Reps!$A$2:$C$31,3,FALSE)</f>
        <v>West</v>
      </c>
      <c r="I1844" s="44">
        <f t="shared" si="59"/>
        <v>45505</v>
      </c>
      <c r="L1844" t="str">
        <f>Orders!K1844</f>
        <v>Bengaluru</v>
      </c>
      <c r="M1844">
        <f>Orders!G1844</f>
        <v>1220</v>
      </c>
      <c r="N1844">
        <f>IFERROR(VLOOKUP(Orders!D1844,Products!$A$2:$D$61,4,FALSE),"")</f>
        <v>517</v>
      </c>
      <c r="O1844">
        <f t="shared" si="60"/>
        <v>0.57622950819672136</v>
      </c>
      <c r="Q1844" t="str">
        <f>Orders!D1844</f>
        <v>PROD-009</v>
      </c>
    </row>
    <row r="1845" spans="1:17" x14ac:dyDescent="0.3">
      <c r="A1845" t="str">
        <f>Orders!A1845</f>
        <v>ORD-01844</v>
      </c>
      <c r="B1845">
        <f>Orders!B1845</f>
        <v>45521</v>
      </c>
      <c r="C1845">
        <f>Orders!I1845</f>
        <v>6357.12</v>
      </c>
      <c r="D1845" t="str">
        <f>Orders!E1845</f>
        <v>R026</v>
      </c>
      <c r="E1845" t="str">
        <f>IFERROR(VLOOKUP(Orders!D1845,Products!$A$2:$C$61,3,FALSE),"Unknown")</f>
        <v>Beauty</v>
      </c>
      <c r="F1845" t="str">
        <f>IFERROR(VLOOKUP(Orders!C1845,Customers!$A$2:$E$301,5,FALSE),"Unknown")</f>
        <v>Retail</v>
      </c>
      <c r="G1845">
        <f>IFERROR(VLOOKUP(Orders!C1845,Customers!$A$2:$C$301,3,FALSE),"")</f>
        <v>46</v>
      </c>
      <c r="H1845" t="str">
        <f>VLOOKUP(D1845,Sales_Reps!$A$2:$C$31,3,FALSE)</f>
        <v>West</v>
      </c>
      <c r="I1845" s="44">
        <f t="shared" si="59"/>
        <v>45505</v>
      </c>
      <c r="L1845" t="str">
        <f>Orders!K1845</f>
        <v>Hyderabad</v>
      </c>
      <c r="M1845">
        <f>Orders!G1845</f>
        <v>960</v>
      </c>
      <c r="N1845">
        <f>IFERROR(VLOOKUP(Orders!D1845,Products!$A$2:$D$61,4,FALSE),"")</f>
        <v>675</v>
      </c>
      <c r="O1845">
        <f t="shared" si="60"/>
        <v>0.296875</v>
      </c>
      <c r="Q1845" t="str">
        <f>Orders!D1845</f>
        <v>PROD-049</v>
      </c>
    </row>
    <row r="1846" spans="1:17" x14ac:dyDescent="0.3">
      <c r="A1846" t="str">
        <f>Orders!A1846</f>
        <v>ORD-01845</v>
      </c>
      <c r="B1846">
        <f>Orders!B1846</f>
        <v>45389</v>
      </c>
      <c r="C1846">
        <f>Orders!I1846</f>
        <v>12136.56</v>
      </c>
      <c r="D1846" t="str">
        <f>Orders!E1846</f>
        <v>R014</v>
      </c>
      <c r="E1846" t="str">
        <f>IFERROR(VLOOKUP(Orders!D1846,Products!$A$2:$C$61,3,FALSE),"Unknown")</f>
        <v>Beauty</v>
      </c>
      <c r="F1846" t="str">
        <f>IFERROR(VLOOKUP(Orders!C1846,Customers!$A$2:$E$301,5,FALSE),"Unknown")</f>
        <v>SMB</v>
      </c>
      <c r="G1846">
        <f>IFERROR(VLOOKUP(Orders!C1846,Customers!$A$2:$C$301,3,FALSE),"")</f>
        <v>43</v>
      </c>
      <c r="H1846" t="str">
        <f>VLOOKUP(D1846,Sales_Reps!$A$2:$C$31,3,FALSE)</f>
        <v>South</v>
      </c>
      <c r="I1846" s="44">
        <f t="shared" si="59"/>
        <v>45383</v>
      </c>
      <c r="L1846" t="str">
        <f>Orders!K1846</f>
        <v>Mumbai</v>
      </c>
      <c r="M1846">
        <f>Orders!G1846</f>
        <v>4880</v>
      </c>
      <c r="N1846">
        <f>IFERROR(VLOOKUP(Orders!D1846,Products!$A$2:$D$61,4,FALSE),"")</f>
        <v>2768</v>
      </c>
      <c r="O1846">
        <f t="shared" si="60"/>
        <v>0.43278688524590164</v>
      </c>
      <c r="Q1846" t="str">
        <f>Orders!D1846</f>
        <v>PROD-046</v>
      </c>
    </row>
    <row r="1847" spans="1:17" x14ac:dyDescent="0.3">
      <c r="A1847" t="str">
        <f>Orders!A1847</f>
        <v>ORD-01846</v>
      </c>
      <c r="B1847">
        <f>Orders!B1847</f>
        <v>45390</v>
      </c>
      <c r="C1847">
        <f>Orders!I1847</f>
        <v>9942.6</v>
      </c>
      <c r="D1847" t="str">
        <f>Orders!E1847</f>
        <v>R028</v>
      </c>
      <c r="E1847" t="str">
        <f>IFERROR(VLOOKUP(Orders!D1847,Products!$A$2:$C$61,3,FALSE),"Unknown")</f>
        <v>Grocery</v>
      </c>
      <c r="F1847" t="str">
        <f>IFERROR(VLOOKUP(Orders!C1847,Customers!$A$2:$E$301,5,FALSE),"Unknown")</f>
        <v>SMB</v>
      </c>
      <c r="G1847">
        <f>IFERROR(VLOOKUP(Orders!C1847,Customers!$A$2:$C$301,3,FALSE),"")</f>
        <v>59</v>
      </c>
      <c r="H1847" t="str">
        <f>VLOOKUP(D1847,Sales_Reps!$A$2:$C$31,3,FALSE)</f>
        <v>West</v>
      </c>
      <c r="I1847" s="44">
        <f t="shared" si="59"/>
        <v>45383</v>
      </c>
      <c r="L1847" t="str">
        <f>Orders!K1847</f>
        <v>Chennai</v>
      </c>
      <c r="M1847">
        <f>Orders!G1847</f>
        <v>2270</v>
      </c>
      <c r="N1847">
        <f>IFERROR(VLOOKUP(Orders!D1847,Products!$A$2:$D$61,4,FALSE),"")</f>
        <v>1203</v>
      </c>
      <c r="O1847">
        <f t="shared" si="60"/>
        <v>0.47004405286343615</v>
      </c>
      <c r="Q1847" t="str">
        <f>Orders!D1847</f>
        <v>PROD-024</v>
      </c>
    </row>
    <row r="1848" spans="1:17" x14ac:dyDescent="0.3">
      <c r="A1848" t="str">
        <f>Orders!A1848</f>
        <v>ORD-01847</v>
      </c>
      <c r="B1848">
        <f>Orders!B1848</f>
        <v>45413</v>
      </c>
      <c r="C1848">
        <f>Orders!I1848</f>
        <v>901.43</v>
      </c>
      <c r="D1848" t="str">
        <f>Orders!E1848</f>
        <v>R028</v>
      </c>
      <c r="E1848" t="str">
        <f>IFERROR(VLOOKUP(Orders!D1848,Products!$A$2:$C$61,3,FALSE),"Unknown")</f>
        <v>Home</v>
      </c>
      <c r="F1848" t="str">
        <f>IFERROR(VLOOKUP(Orders!C1848,Customers!$A$2:$E$301,5,FALSE),"Unknown")</f>
        <v>Retail</v>
      </c>
      <c r="G1848">
        <f>IFERROR(VLOOKUP(Orders!C1848,Customers!$A$2:$C$301,3,FALSE),"")</f>
        <v>44</v>
      </c>
      <c r="H1848" t="str">
        <f>VLOOKUP(D1848,Sales_Reps!$A$2:$C$31,3,FALSE)</f>
        <v>West</v>
      </c>
      <c r="I1848" s="44">
        <f t="shared" si="59"/>
        <v>45413</v>
      </c>
      <c r="L1848" t="str">
        <f>Orders!K1848</f>
        <v>Mumbai</v>
      </c>
      <c r="M1848">
        <f>Orders!G1848</f>
        <v>1090</v>
      </c>
      <c r="N1848">
        <f>IFERROR(VLOOKUP(Orders!D1848,Products!$A$2:$D$61,4,FALSE),"")</f>
        <v>464</v>
      </c>
      <c r="O1848">
        <f t="shared" si="60"/>
        <v>0.57431192660550456</v>
      </c>
      <c r="Q1848" t="str">
        <f>Orders!D1848</f>
        <v>PROD-035</v>
      </c>
    </row>
    <row r="1849" spans="1:17" x14ac:dyDescent="0.3">
      <c r="A1849" t="str">
        <f>Orders!A1849</f>
        <v>ORD-01848</v>
      </c>
      <c r="B1849">
        <f>Orders!B1849</f>
        <v>45535</v>
      </c>
      <c r="C1849">
        <f>Orders!I1849</f>
        <v>40274.239999999998</v>
      </c>
      <c r="D1849" t="str">
        <f>Orders!E1849</f>
        <v>R029</v>
      </c>
      <c r="E1849" t="str">
        <f>IFERROR(VLOOKUP(Orders!D1849,Products!$A$2:$C$61,3,FALSE),"Unknown")</f>
        <v>Home</v>
      </c>
      <c r="F1849" t="str">
        <f>IFERROR(VLOOKUP(Orders!C1849,Customers!$A$2:$E$301,5,FALSE),"Unknown")</f>
        <v>Retail</v>
      </c>
      <c r="G1849">
        <f>IFERROR(VLOOKUP(Orders!C1849,Customers!$A$2:$C$301,3,FALSE),"")</f>
        <v>28</v>
      </c>
      <c r="H1849" t="str">
        <f>VLOOKUP(D1849,Sales_Reps!$A$2:$C$31,3,FALSE)</f>
        <v>West</v>
      </c>
      <c r="I1849" s="44">
        <f t="shared" si="59"/>
        <v>45505</v>
      </c>
      <c r="L1849" t="str">
        <f>Orders!K1849</f>
        <v>Hyderabad</v>
      </c>
      <c r="M1849">
        <f>Orders!G1849</f>
        <v>5080</v>
      </c>
      <c r="N1849">
        <f>IFERROR(VLOOKUP(Orders!D1849,Products!$A$2:$D$61,4,FALSE),"")</f>
        <v>2459</v>
      </c>
      <c r="O1849">
        <f t="shared" si="60"/>
        <v>0.51594488188976373</v>
      </c>
      <c r="Q1849" t="str">
        <f>Orders!D1849</f>
        <v>PROD-034</v>
      </c>
    </row>
    <row r="1850" spans="1:17" x14ac:dyDescent="0.3">
      <c r="A1850" t="str">
        <f>Orders!A1850</f>
        <v>ORD-01849</v>
      </c>
      <c r="B1850">
        <f>Orders!B1850</f>
        <v>45569</v>
      </c>
      <c r="C1850">
        <f>Orders!I1850</f>
        <v>31979.57</v>
      </c>
      <c r="D1850" t="str">
        <f>Orders!E1850</f>
        <v>R017</v>
      </c>
      <c r="E1850" t="str">
        <f>IFERROR(VLOOKUP(Orders!D1850,Products!$A$2:$C$61,3,FALSE),"Unknown")</f>
        <v>Home</v>
      </c>
      <c r="F1850" t="str">
        <f>IFERROR(VLOOKUP(Orders!C1850,Customers!$A$2:$E$301,5,FALSE),"Unknown")</f>
        <v>SMB</v>
      </c>
      <c r="G1850">
        <f>IFERROR(VLOOKUP(Orders!C1850,Customers!$A$2:$C$301,3,FALSE),"")</f>
        <v>59</v>
      </c>
      <c r="H1850" t="str">
        <f>VLOOKUP(D1850,Sales_Reps!$A$2:$C$31,3,FALSE)</f>
        <v>East</v>
      </c>
      <c r="I1850" s="44">
        <f t="shared" si="59"/>
        <v>45566</v>
      </c>
      <c r="L1850" t="str">
        <f>Orders!K1850</f>
        <v>Pune</v>
      </c>
      <c r="M1850">
        <f>Orders!G1850</f>
        <v>4610</v>
      </c>
      <c r="N1850">
        <f>IFERROR(VLOOKUP(Orders!D1850,Products!$A$2:$D$61,4,FALSE),"")</f>
        <v>1850</v>
      </c>
      <c r="O1850">
        <f t="shared" si="60"/>
        <v>0.59869848156182215</v>
      </c>
      <c r="Q1850" t="str">
        <f>Orders!D1850</f>
        <v>PROD-039</v>
      </c>
    </row>
    <row r="1851" spans="1:17" x14ac:dyDescent="0.3">
      <c r="A1851" t="str">
        <f>Orders!A1851</f>
        <v>ORD-01850</v>
      </c>
      <c r="B1851">
        <f>Orders!B1851</f>
        <v>45527</v>
      </c>
      <c r="C1851">
        <f>Orders!I1851</f>
        <v>2708.94</v>
      </c>
      <c r="D1851" t="str">
        <f>Orders!E1851</f>
        <v>R028</v>
      </c>
      <c r="E1851" t="str">
        <f>IFERROR(VLOOKUP(Orders!D1851,Products!$A$2:$C$61,3,FALSE),"Unknown")</f>
        <v>Beauty</v>
      </c>
      <c r="F1851" t="str">
        <f>IFERROR(VLOOKUP(Orders!C1851,Customers!$A$2:$E$301,5,FALSE),"Unknown")</f>
        <v>SMB</v>
      </c>
      <c r="G1851">
        <f>IFERROR(VLOOKUP(Orders!C1851,Customers!$A$2:$C$301,3,FALSE),"")</f>
        <v>65</v>
      </c>
      <c r="H1851" t="str">
        <f>VLOOKUP(D1851,Sales_Reps!$A$2:$C$31,3,FALSE)</f>
        <v>West</v>
      </c>
      <c r="I1851" s="44">
        <f t="shared" si="59"/>
        <v>45505</v>
      </c>
      <c r="L1851" t="str">
        <f>Orders!K1851</f>
        <v>Hyderabad</v>
      </c>
      <c r="M1851">
        <f>Orders!G1851</f>
        <v>3020</v>
      </c>
      <c r="N1851">
        <f>IFERROR(VLOOKUP(Orders!D1851,Products!$A$2:$D$61,4,FALSE),"")</f>
        <v>1626</v>
      </c>
      <c r="O1851">
        <f t="shared" si="60"/>
        <v>0.46158940397350995</v>
      </c>
      <c r="Q1851" t="str">
        <f>Orders!D1851</f>
        <v>PROD-045</v>
      </c>
    </row>
    <row r="1852" spans="1:17" x14ac:dyDescent="0.3">
      <c r="A1852" t="str">
        <f>Orders!A1852</f>
        <v>ORD-01851</v>
      </c>
      <c r="B1852">
        <f>Orders!B1852</f>
        <v>45453</v>
      </c>
      <c r="C1852">
        <f>Orders!I1852</f>
        <v>10473.780000000001</v>
      </c>
      <c r="D1852" t="str">
        <f>Orders!E1852</f>
        <v>R028</v>
      </c>
      <c r="E1852" t="str">
        <f>IFERROR(VLOOKUP(Orders!D1852,Products!$A$2:$C$61,3,FALSE),"Unknown")</f>
        <v>Grocery</v>
      </c>
      <c r="F1852" t="str">
        <f>IFERROR(VLOOKUP(Orders!C1852,Customers!$A$2:$E$301,5,FALSE),"Unknown")</f>
        <v>Retail</v>
      </c>
      <c r="G1852">
        <f>IFERROR(VLOOKUP(Orders!C1852,Customers!$A$2:$C$301,3,FALSE),"")</f>
        <v>43</v>
      </c>
      <c r="H1852" t="str">
        <f>VLOOKUP(D1852,Sales_Reps!$A$2:$C$31,3,FALSE)</f>
        <v>West</v>
      </c>
      <c r="I1852" s="44">
        <f t="shared" si="59"/>
        <v>45444</v>
      </c>
      <c r="L1852" t="str">
        <f>Orders!K1852</f>
        <v>Delhi</v>
      </c>
      <c r="M1852">
        <f>Orders!G1852</f>
        <v>2270</v>
      </c>
      <c r="N1852">
        <f>IFERROR(VLOOKUP(Orders!D1852,Products!$A$2:$D$61,4,FALSE),"")</f>
        <v>1412</v>
      </c>
      <c r="O1852">
        <f t="shared" si="60"/>
        <v>0.37797356828193834</v>
      </c>
      <c r="Q1852" t="str">
        <f>Orders!D1852</f>
        <v>PROD-022</v>
      </c>
    </row>
    <row r="1853" spans="1:17" x14ac:dyDescent="0.3">
      <c r="A1853" t="str">
        <f>Orders!A1853</f>
        <v>ORD-01852</v>
      </c>
      <c r="B1853">
        <f>Orders!B1853</f>
        <v>45605</v>
      </c>
      <c r="C1853">
        <f>Orders!I1853</f>
        <v>17362.62</v>
      </c>
      <c r="D1853" t="str">
        <f>Orders!E1853</f>
        <v>R010</v>
      </c>
      <c r="E1853" t="str">
        <f>IFERROR(VLOOKUP(Orders!D1853,Products!$A$2:$C$61,3,FALSE),"Unknown")</f>
        <v>Grocery</v>
      </c>
      <c r="F1853" t="str">
        <f>IFERROR(VLOOKUP(Orders!C1853,Customers!$A$2:$E$301,5,FALSE),"Unknown")</f>
        <v>SMB</v>
      </c>
      <c r="G1853">
        <f>IFERROR(VLOOKUP(Orders!C1853,Customers!$A$2:$C$301,3,FALSE),"")</f>
        <v>39</v>
      </c>
      <c r="H1853" t="str">
        <f>VLOOKUP(D1853,Sales_Reps!$A$2:$C$31,3,FALSE)</f>
        <v>South</v>
      </c>
      <c r="I1853" s="44">
        <f t="shared" si="59"/>
        <v>45597</v>
      </c>
      <c r="L1853" t="str">
        <f>Orders!K1853</f>
        <v>Pune</v>
      </c>
      <c r="M1853">
        <f>Orders!G1853</f>
        <v>4070</v>
      </c>
      <c r="N1853">
        <f>IFERROR(VLOOKUP(Orders!D1853,Products!$A$2:$D$61,4,FALSE),"")</f>
        <v>2027</v>
      </c>
      <c r="O1853">
        <f t="shared" si="60"/>
        <v>0.50196560196560192</v>
      </c>
      <c r="Q1853" t="str">
        <f>Orders!D1853</f>
        <v>PROD-026</v>
      </c>
    </row>
    <row r="1854" spans="1:17" x14ac:dyDescent="0.3">
      <c r="A1854" t="str">
        <f>Orders!A1854</f>
        <v>ORD-01853</v>
      </c>
      <c r="B1854">
        <f>Orders!B1854</f>
        <v>45650</v>
      </c>
      <c r="C1854">
        <f>Orders!I1854</f>
        <v>4959.3</v>
      </c>
      <c r="D1854" t="str">
        <f>Orders!E1854</f>
        <v>R017</v>
      </c>
      <c r="E1854" t="str">
        <f>IFERROR(VLOOKUP(Orders!D1854,Products!$A$2:$C$61,3,FALSE),"Unknown")</f>
        <v>Electronics</v>
      </c>
      <c r="F1854" t="str">
        <f>IFERROR(VLOOKUP(Orders!C1854,Customers!$A$2:$E$301,5,FALSE),"Unknown")</f>
        <v>Corporate</v>
      </c>
      <c r="G1854">
        <f>IFERROR(VLOOKUP(Orders!C1854,Customers!$A$2:$C$301,3,FALSE),"")</f>
        <v>34</v>
      </c>
      <c r="H1854" t="str">
        <f>VLOOKUP(D1854,Sales_Reps!$A$2:$C$31,3,FALSE)</f>
        <v>East</v>
      </c>
      <c r="I1854" s="44">
        <f t="shared" si="59"/>
        <v>45627</v>
      </c>
      <c r="L1854" t="str">
        <f>Orders!K1854</f>
        <v>Chennai</v>
      </c>
      <c r="M1854">
        <f>Orders!G1854</f>
        <v>1220</v>
      </c>
      <c r="N1854">
        <f>IFERROR(VLOOKUP(Orders!D1854,Products!$A$2:$D$61,4,FALSE),"")</f>
        <v>517</v>
      </c>
      <c r="O1854">
        <f t="shared" si="60"/>
        <v>0.57622950819672136</v>
      </c>
      <c r="Q1854" t="str">
        <f>Orders!D1854</f>
        <v>PROD-009</v>
      </c>
    </row>
    <row r="1855" spans="1:17" x14ac:dyDescent="0.3">
      <c r="A1855" t="str">
        <f>Orders!A1855</f>
        <v>ORD-01854</v>
      </c>
      <c r="B1855">
        <f>Orders!B1855</f>
        <v>45412</v>
      </c>
      <c r="C1855">
        <f>Orders!I1855</f>
        <v>19205.12</v>
      </c>
      <c r="D1855" t="str">
        <f>Orders!E1855</f>
        <v>R024</v>
      </c>
      <c r="E1855" t="str">
        <f>IFERROR(VLOOKUP(Orders!D1855,Products!$A$2:$C$61,3,FALSE),"Unknown")</f>
        <v>Apparel</v>
      </c>
      <c r="F1855" t="str">
        <f>IFERROR(VLOOKUP(Orders!C1855,Customers!$A$2:$E$301,5,FALSE),"Unknown")</f>
        <v>Retail</v>
      </c>
      <c r="G1855">
        <f>IFERROR(VLOOKUP(Orders!C1855,Customers!$A$2:$C$301,3,FALSE),"")</f>
        <v>23</v>
      </c>
      <c r="H1855" t="str">
        <f>VLOOKUP(D1855,Sales_Reps!$A$2:$C$31,3,FALSE)</f>
        <v>West</v>
      </c>
      <c r="I1855" s="44">
        <f t="shared" si="59"/>
        <v>45383</v>
      </c>
      <c r="L1855" t="str">
        <f>Orders!K1855</f>
        <v>Bengaluru</v>
      </c>
      <c r="M1855">
        <f>Orders!G1855</f>
        <v>2480</v>
      </c>
      <c r="N1855">
        <f>IFERROR(VLOOKUP(Orders!D1855,Products!$A$2:$D$61,4,FALSE),"")</f>
        <v>1173</v>
      </c>
      <c r="O1855">
        <f t="shared" si="60"/>
        <v>0.52701612903225803</v>
      </c>
      <c r="Q1855" t="str">
        <f>Orders!D1855</f>
        <v>PROD-019</v>
      </c>
    </row>
    <row r="1856" spans="1:17" x14ac:dyDescent="0.3">
      <c r="A1856" t="str">
        <f>Orders!A1856</f>
        <v>ORD-01855</v>
      </c>
      <c r="B1856">
        <f>Orders!B1856</f>
        <v>45554</v>
      </c>
      <c r="C1856">
        <f>Orders!I1856</f>
        <v>18338.32</v>
      </c>
      <c r="D1856" t="str">
        <f>Orders!E1856</f>
        <v>R007</v>
      </c>
      <c r="E1856" t="str">
        <f>IFERROR(VLOOKUP(Orders!D1856,Products!$A$2:$C$61,3,FALSE),"Unknown")</f>
        <v>Sports</v>
      </c>
      <c r="F1856" t="str">
        <f>IFERROR(VLOOKUP(Orders!C1856,Customers!$A$2:$E$301,5,FALSE),"Unknown")</f>
        <v>Corporate</v>
      </c>
      <c r="G1856">
        <f>IFERROR(VLOOKUP(Orders!C1856,Customers!$A$2:$C$301,3,FALSE),"")</f>
        <v>37</v>
      </c>
      <c r="H1856" t="str">
        <f>VLOOKUP(D1856,Sales_Reps!$A$2:$C$31,3,FALSE)</f>
        <v>North</v>
      </c>
      <c r="I1856" s="44">
        <f t="shared" si="59"/>
        <v>45536</v>
      </c>
      <c r="L1856" t="str">
        <f>Orders!K1856</f>
        <v>Pune</v>
      </c>
      <c r="M1856">
        <f>Orders!G1856</f>
        <v>2860</v>
      </c>
      <c r="N1856">
        <f>IFERROR(VLOOKUP(Orders!D1856,Products!$A$2:$D$61,4,FALSE),"")</f>
        <v>2028</v>
      </c>
      <c r="O1856">
        <f t="shared" si="60"/>
        <v>0.29090909090909089</v>
      </c>
      <c r="Q1856" t="str">
        <f>Orders!D1856</f>
        <v>PROD-055</v>
      </c>
    </row>
    <row r="1857" spans="1:17" x14ac:dyDescent="0.3">
      <c r="A1857" t="str">
        <f>Orders!A1857</f>
        <v>ORD-01856</v>
      </c>
      <c r="B1857">
        <f>Orders!B1857</f>
        <v>45365</v>
      </c>
      <c r="C1857">
        <f>Orders!I1857</f>
        <v>3163.86</v>
      </c>
      <c r="D1857" t="str">
        <f>Orders!E1857</f>
        <v>R024</v>
      </c>
      <c r="E1857" t="str">
        <f>IFERROR(VLOOKUP(Orders!D1857,Products!$A$2:$C$61,3,FALSE),"Unknown")</f>
        <v>Grocery</v>
      </c>
      <c r="F1857" t="str">
        <f>IFERROR(VLOOKUP(Orders!C1857,Customers!$A$2:$E$301,5,FALSE),"Unknown")</f>
        <v>Retail</v>
      </c>
      <c r="G1857">
        <f>IFERROR(VLOOKUP(Orders!C1857,Customers!$A$2:$C$301,3,FALSE),"")</f>
        <v>31</v>
      </c>
      <c r="H1857" t="str">
        <f>VLOOKUP(D1857,Sales_Reps!$A$2:$C$31,3,FALSE)</f>
        <v>West</v>
      </c>
      <c r="I1857" s="44">
        <f t="shared" si="59"/>
        <v>45352</v>
      </c>
      <c r="L1857" t="str">
        <f>Orders!K1857</f>
        <v>Delhi</v>
      </c>
      <c r="M1857">
        <f>Orders!G1857</f>
        <v>3780</v>
      </c>
      <c r="N1857">
        <f>IFERROR(VLOOKUP(Orders!D1857,Products!$A$2:$D$61,4,FALSE),"")</f>
        <v>2436</v>
      </c>
      <c r="O1857">
        <f t="shared" si="60"/>
        <v>0.35555555555555557</v>
      </c>
      <c r="Q1857" t="str">
        <f>Orders!D1857</f>
        <v>PROD-027</v>
      </c>
    </row>
    <row r="1858" spans="1:17" x14ac:dyDescent="0.3">
      <c r="A1858" t="str">
        <f>Orders!A1858</f>
        <v>ORD-01857</v>
      </c>
      <c r="B1858">
        <f>Orders!B1858</f>
        <v>45504</v>
      </c>
      <c r="C1858">
        <f>Orders!I1858</f>
        <v>15323.88</v>
      </c>
      <c r="D1858" t="str">
        <f>Orders!E1858</f>
        <v>R025</v>
      </c>
      <c r="E1858" t="str">
        <f>IFERROR(VLOOKUP(Orders!D1858,Products!$A$2:$C$61,3,FALSE),"Unknown")</f>
        <v>Sports</v>
      </c>
      <c r="F1858" t="str">
        <f>IFERROR(VLOOKUP(Orders!C1858,Customers!$A$2:$E$301,5,FALSE),"Unknown")</f>
        <v>Corporate</v>
      </c>
      <c r="G1858">
        <f>IFERROR(VLOOKUP(Orders!C1858,Customers!$A$2:$C$301,3,FALSE),"")</f>
        <v>29</v>
      </c>
      <c r="H1858" t="str">
        <f>VLOOKUP(D1858,Sales_Reps!$A$2:$C$31,3,FALSE)</f>
        <v>West</v>
      </c>
      <c r="I1858" s="44">
        <f t="shared" si="59"/>
        <v>45474</v>
      </c>
      <c r="L1858" t="str">
        <f>Orders!K1858</f>
        <v>Pune</v>
      </c>
      <c r="M1858">
        <f>Orders!G1858</f>
        <v>2860</v>
      </c>
      <c r="N1858">
        <f>IFERROR(VLOOKUP(Orders!D1858,Products!$A$2:$D$61,4,FALSE),"")</f>
        <v>2028</v>
      </c>
      <c r="O1858">
        <f t="shared" si="60"/>
        <v>0.29090909090909089</v>
      </c>
      <c r="Q1858" t="str">
        <f>Orders!D1858</f>
        <v>PROD-055</v>
      </c>
    </row>
    <row r="1859" spans="1:17" x14ac:dyDescent="0.3">
      <c r="A1859" t="str">
        <f>Orders!A1859</f>
        <v>ORD-01858</v>
      </c>
      <c r="B1859">
        <f>Orders!B1859</f>
        <v>45652</v>
      </c>
      <c r="C1859">
        <f>Orders!I1859</f>
        <v>5709.6</v>
      </c>
      <c r="D1859" t="str">
        <f>Orders!E1859</f>
        <v>R027</v>
      </c>
      <c r="E1859" t="str">
        <f>IFERROR(VLOOKUP(Orders!D1859,Products!$A$2:$C$61,3,FALSE),"Unknown")</f>
        <v>Sports</v>
      </c>
      <c r="F1859" t="str">
        <f>IFERROR(VLOOKUP(Orders!C1859,Customers!$A$2:$E$301,5,FALSE),"Unknown")</f>
        <v>SMB</v>
      </c>
      <c r="G1859">
        <f>IFERROR(VLOOKUP(Orders!C1859,Customers!$A$2:$C$301,3,FALSE),"")</f>
        <v>29</v>
      </c>
      <c r="H1859" t="str">
        <f>VLOOKUP(D1859,Sales_Reps!$A$2:$C$31,3,FALSE)</f>
        <v>West</v>
      </c>
      <c r="I1859" s="44">
        <f t="shared" ref="I1859:I1922" si="61">DATE(YEAR(B1859),MONTH(B1859),1)</f>
        <v>45627</v>
      </c>
      <c r="L1859" t="str">
        <f>Orders!K1859</f>
        <v>Hyderabad</v>
      </c>
      <c r="M1859">
        <f>Orders!G1859</f>
        <v>2400</v>
      </c>
      <c r="N1859">
        <f>IFERROR(VLOOKUP(Orders!D1859,Products!$A$2:$D$61,4,FALSE),"")</f>
        <v>974</v>
      </c>
      <c r="O1859">
        <f t="shared" ref="O1859:O1922" si="62">IF(OR(N1859="",M1859&lt;=0),"",(M1859-N1859)/M1859)</f>
        <v>0.59416666666666662</v>
      </c>
      <c r="Q1859" t="str">
        <f>Orders!D1859</f>
        <v>PROD-058</v>
      </c>
    </row>
    <row r="1860" spans="1:17" x14ac:dyDescent="0.3">
      <c r="A1860" t="str">
        <f>Orders!A1860</f>
        <v>ORD-01859</v>
      </c>
      <c r="B1860">
        <f>Orders!B1860</f>
        <v>45330</v>
      </c>
      <c r="C1860">
        <f>Orders!I1860</f>
        <v>14794.08</v>
      </c>
      <c r="D1860" t="str">
        <f>Orders!E1860</f>
        <v>R025</v>
      </c>
      <c r="E1860" t="str">
        <f>IFERROR(VLOOKUP(Orders!D1860,Products!$A$2:$C$61,3,FALSE),"Unknown")</f>
        <v>Grocery</v>
      </c>
      <c r="F1860" t="str">
        <f>IFERROR(VLOOKUP(Orders!C1860,Customers!$A$2:$E$301,5,FALSE),"Unknown")</f>
        <v>Retail</v>
      </c>
      <c r="G1860">
        <f>IFERROR(VLOOKUP(Orders!C1860,Customers!$A$2:$C$301,3,FALSE),"")</f>
        <v>54</v>
      </c>
      <c r="H1860" t="str">
        <f>VLOOKUP(D1860,Sales_Reps!$A$2:$C$31,3,FALSE)</f>
        <v>West</v>
      </c>
      <c r="I1860" s="44">
        <f t="shared" si="61"/>
        <v>45323</v>
      </c>
      <c r="L1860" t="str">
        <f>Orders!K1860</f>
        <v>Bengaluru</v>
      </c>
      <c r="M1860">
        <f>Orders!G1860</f>
        <v>2380</v>
      </c>
      <c r="N1860">
        <f>IFERROR(VLOOKUP(Orders!D1860,Products!$A$2:$D$61,4,FALSE),"")</f>
        <v>1182</v>
      </c>
      <c r="O1860">
        <f t="shared" si="62"/>
        <v>0.50336134453781511</v>
      </c>
      <c r="Q1860" t="str">
        <f>Orders!D1860</f>
        <v>PROD-023</v>
      </c>
    </row>
    <row r="1861" spans="1:17" x14ac:dyDescent="0.3">
      <c r="A1861" t="str">
        <f>Orders!A1861</f>
        <v>ORD-01860</v>
      </c>
      <c r="B1861">
        <f>Orders!B1861</f>
        <v>45533</v>
      </c>
      <c r="C1861">
        <f>Orders!I1861</f>
        <v>27524.7</v>
      </c>
      <c r="D1861" t="str">
        <f>Orders!E1861</f>
        <v>R006</v>
      </c>
      <c r="E1861" t="str">
        <f>IFERROR(VLOOKUP(Orders!D1861,Products!$A$2:$C$61,3,FALSE),"Unknown")</f>
        <v>Beauty</v>
      </c>
      <c r="F1861" t="str">
        <f>IFERROR(VLOOKUP(Orders!C1861,Customers!$A$2:$E$301,5,FALSE),"Unknown")</f>
        <v>Retail</v>
      </c>
      <c r="G1861">
        <f>IFERROR(VLOOKUP(Orders!C1861,Customers!$A$2:$C$301,3,FALSE),"")</f>
        <v>29</v>
      </c>
      <c r="H1861" t="str">
        <f>VLOOKUP(D1861,Sales_Reps!$A$2:$C$31,3,FALSE)</f>
        <v>North</v>
      </c>
      <c r="I1861" s="44">
        <f t="shared" si="61"/>
        <v>45505</v>
      </c>
      <c r="L1861" t="str">
        <f>Orders!K1861</f>
        <v>Pune</v>
      </c>
      <c r="M1861">
        <f>Orders!G1861</f>
        <v>5100</v>
      </c>
      <c r="N1861">
        <f>IFERROR(VLOOKUP(Orders!D1861,Products!$A$2:$D$61,4,FALSE),"")</f>
        <v>2237</v>
      </c>
      <c r="O1861">
        <f t="shared" si="62"/>
        <v>0.56137254901960787</v>
      </c>
      <c r="Q1861" t="str">
        <f>Orders!D1861</f>
        <v>PROD-048</v>
      </c>
    </row>
    <row r="1862" spans="1:17" x14ac:dyDescent="0.3">
      <c r="A1862" t="str">
        <f>Orders!A1862</f>
        <v>ORD-01861</v>
      </c>
      <c r="B1862">
        <f>Orders!B1862</f>
        <v>45463</v>
      </c>
      <c r="C1862">
        <f>Orders!I1862</f>
        <v>1778.7</v>
      </c>
      <c r="D1862" t="str">
        <f>Orders!E1862</f>
        <v>R015</v>
      </c>
      <c r="E1862" t="str">
        <f>IFERROR(VLOOKUP(Orders!D1862,Products!$A$2:$C$61,3,FALSE),"Unknown")</f>
        <v>Electronics</v>
      </c>
      <c r="F1862" t="str">
        <f>IFERROR(VLOOKUP(Orders!C1862,Customers!$A$2:$E$301,5,FALSE),"Unknown")</f>
        <v>Corporate</v>
      </c>
      <c r="G1862">
        <f>IFERROR(VLOOKUP(Orders!C1862,Customers!$A$2:$C$301,3,FALSE),"")</f>
        <v>29</v>
      </c>
      <c r="H1862" t="str">
        <f>VLOOKUP(D1862,Sales_Reps!$A$2:$C$31,3,FALSE)</f>
        <v>South</v>
      </c>
      <c r="I1862" s="44">
        <f t="shared" si="61"/>
        <v>45444</v>
      </c>
      <c r="L1862" t="str">
        <f>Orders!K1862</f>
        <v>Pune</v>
      </c>
      <c r="M1862">
        <f>Orders!G1862</f>
        <v>300</v>
      </c>
      <c r="N1862">
        <f>IFERROR(VLOOKUP(Orders!D1862,Products!$A$2:$D$61,4,FALSE),"")</f>
        <v>128</v>
      </c>
      <c r="O1862">
        <f t="shared" si="62"/>
        <v>0.57333333333333336</v>
      </c>
      <c r="Q1862" t="str">
        <f>Orders!D1862</f>
        <v>PROD-005</v>
      </c>
    </row>
    <row r="1863" spans="1:17" x14ac:dyDescent="0.3">
      <c r="A1863" t="str">
        <f>Orders!A1863</f>
        <v>ORD-01862</v>
      </c>
      <c r="B1863">
        <f>Orders!B1863</f>
        <v>45428</v>
      </c>
      <c r="C1863">
        <f>Orders!I1863</f>
        <v>14352</v>
      </c>
      <c r="D1863" t="str">
        <f>Orders!E1863</f>
        <v>R010</v>
      </c>
      <c r="E1863" t="str">
        <f>IFERROR(VLOOKUP(Orders!D1863,Products!$A$2:$C$61,3,FALSE),"Unknown")</f>
        <v>Sports</v>
      </c>
      <c r="F1863" t="str">
        <f>IFERROR(VLOOKUP(Orders!C1863,Customers!$A$2:$E$301,5,FALSE),"Unknown")</f>
        <v>SMB</v>
      </c>
      <c r="G1863">
        <f>IFERROR(VLOOKUP(Orders!C1863,Customers!$A$2:$C$301,3,FALSE),"")</f>
        <v>27</v>
      </c>
      <c r="H1863" t="str">
        <f>VLOOKUP(D1863,Sales_Reps!$A$2:$C$31,3,FALSE)</f>
        <v>South</v>
      </c>
      <c r="I1863" s="44">
        <f t="shared" si="61"/>
        <v>45413</v>
      </c>
      <c r="L1863" t="str">
        <f>Orders!K1863</f>
        <v>Delhi</v>
      </c>
      <c r="M1863">
        <f>Orders!G1863</f>
        <v>3450</v>
      </c>
      <c r="N1863">
        <f>IFERROR(VLOOKUP(Orders!D1863,Products!$A$2:$D$61,4,FALSE),"")</f>
        <v>2467</v>
      </c>
      <c r="O1863">
        <f t="shared" si="62"/>
        <v>0.28492753623188405</v>
      </c>
      <c r="Q1863" t="str">
        <f>Orders!D1863</f>
        <v>PROD-051</v>
      </c>
    </row>
    <row r="1864" spans="1:17" x14ac:dyDescent="0.3">
      <c r="A1864" t="str">
        <f>Orders!A1864</f>
        <v>ORD-01863</v>
      </c>
      <c r="B1864">
        <f>Orders!B1864</f>
        <v>45634</v>
      </c>
      <c r="C1864">
        <f>Orders!I1864</f>
        <v>9804.08</v>
      </c>
      <c r="D1864" t="str">
        <f>Orders!E1864</f>
        <v>R014</v>
      </c>
      <c r="E1864" t="str">
        <f>IFERROR(VLOOKUP(Orders!D1864,Products!$A$2:$C$61,3,FALSE),"Unknown")</f>
        <v>Sports</v>
      </c>
      <c r="F1864" t="str">
        <f>IFERROR(VLOOKUP(Orders!C1864,Customers!$A$2:$E$301,5,FALSE),"Unknown")</f>
        <v>Retail</v>
      </c>
      <c r="G1864">
        <f>IFERROR(VLOOKUP(Orders!C1864,Customers!$A$2:$C$301,3,FALSE),"")</f>
        <v>35</v>
      </c>
      <c r="H1864" t="str">
        <f>VLOOKUP(D1864,Sales_Reps!$A$2:$C$31,3,FALSE)</f>
        <v>South</v>
      </c>
      <c r="I1864" s="44">
        <f t="shared" si="61"/>
        <v>45627</v>
      </c>
      <c r="L1864" t="str">
        <f>Orders!K1864</f>
        <v>Mumbai</v>
      </c>
      <c r="M1864">
        <f>Orders!G1864</f>
        <v>2860</v>
      </c>
      <c r="N1864">
        <f>IFERROR(VLOOKUP(Orders!D1864,Products!$A$2:$D$61,4,FALSE),"")</f>
        <v>2028</v>
      </c>
      <c r="O1864">
        <f t="shared" si="62"/>
        <v>0.29090909090909089</v>
      </c>
      <c r="Q1864" t="str">
        <f>Orders!D1864</f>
        <v>PROD-055</v>
      </c>
    </row>
    <row r="1865" spans="1:17" x14ac:dyDescent="0.3">
      <c r="A1865" t="str">
        <f>Orders!A1865</f>
        <v>ORD-01864</v>
      </c>
      <c r="B1865">
        <f>Orders!B1865</f>
        <v>45627</v>
      </c>
      <c r="C1865">
        <f>Orders!I1865</f>
        <v>12223.68</v>
      </c>
      <c r="D1865" t="str">
        <f>Orders!E1865</f>
        <v>R001</v>
      </c>
      <c r="E1865" t="str">
        <f>IFERROR(VLOOKUP(Orders!D1865,Products!$A$2:$C$61,3,FALSE),"Unknown")</f>
        <v>Apparel</v>
      </c>
      <c r="F1865" t="str">
        <f>IFERROR(VLOOKUP(Orders!C1865,Customers!$A$2:$E$301,5,FALSE),"Unknown")</f>
        <v>Retail</v>
      </c>
      <c r="G1865">
        <f>IFERROR(VLOOKUP(Orders!C1865,Customers!$A$2:$C$301,3,FALSE),"")</f>
        <v>44</v>
      </c>
      <c r="H1865" t="str">
        <f>VLOOKUP(D1865,Sales_Reps!$A$2:$C$31,3,FALSE)</f>
        <v>North</v>
      </c>
      <c r="I1865" s="44">
        <f t="shared" si="61"/>
        <v>45627</v>
      </c>
      <c r="L1865" t="str">
        <f>Orders!K1865</f>
        <v>Mumbai</v>
      </c>
      <c r="M1865">
        <f>Orders!G1865</f>
        <v>2720</v>
      </c>
      <c r="N1865">
        <f>IFERROR(VLOOKUP(Orders!D1865,Products!$A$2:$D$61,4,FALSE),"")</f>
        <v>1962</v>
      </c>
      <c r="O1865">
        <f t="shared" si="62"/>
        <v>0.2786764705882353</v>
      </c>
      <c r="Q1865" t="str">
        <f>Orders!D1865</f>
        <v>PROD-015</v>
      </c>
    </row>
    <row r="1866" spans="1:17" x14ac:dyDescent="0.3">
      <c r="A1866" t="str">
        <f>Orders!A1866</f>
        <v>ORD-01865</v>
      </c>
      <c r="B1866">
        <f>Orders!B1866</f>
        <v>45429</v>
      </c>
      <c r="C1866">
        <f>Orders!I1866</f>
        <v>8414.8799999999992</v>
      </c>
      <c r="D1866" t="str">
        <f>Orders!E1866</f>
        <v>R028</v>
      </c>
      <c r="E1866" t="str">
        <f>IFERROR(VLOOKUP(Orders!D1866,Products!$A$2:$C$61,3,FALSE),"Unknown")</f>
        <v>Home</v>
      </c>
      <c r="F1866" t="str">
        <f>IFERROR(VLOOKUP(Orders!C1866,Customers!$A$2:$E$301,5,FALSE),"Unknown")</f>
        <v>Corporate</v>
      </c>
      <c r="G1866">
        <f>IFERROR(VLOOKUP(Orders!C1866,Customers!$A$2:$C$301,3,FALSE),"")</f>
        <v>51</v>
      </c>
      <c r="H1866" t="str">
        <f>VLOOKUP(D1866,Sales_Reps!$A$2:$C$31,3,FALSE)</f>
        <v>West</v>
      </c>
      <c r="I1866" s="44">
        <f t="shared" si="61"/>
        <v>45413</v>
      </c>
      <c r="L1866" t="str">
        <f>Orders!K1866</f>
        <v>Chennai</v>
      </c>
      <c r="M1866">
        <f>Orders!G1866</f>
        <v>3730</v>
      </c>
      <c r="N1866">
        <f>IFERROR(VLOOKUP(Orders!D1866,Products!$A$2:$D$61,4,FALSE),"")</f>
        <v>2135</v>
      </c>
      <c r="O1866">
        <f t="shared" si="62"/>
        <v>0.42761394101876676</v>
      </c>
      <c r="Q1866" t="str">
        <f>Orders!D1866</f>
        <v>PROD-031</v>
      </c>
    </row>
    <row r="1867" spans="1:17" x14ac:dyDescent="0.3">
      <c r="A1867" t="str">
        <f>Orders!A1867</f>
        <v>ORD-01866</v>
      </c>
      <c r="B1867">
        <f>Orders!B1867</f>
        <v>45648</v>
      </c>
      <c r="C1867">
        <f>Orders!I1867</f>
        <v>7202.44</v>
      </c>
      <c r="D1867" t="str">
        <f>Orders!E1867</f>
        <v>R002</v>
      </c>
      <c r="E1867" t="str">
        <f>IFERROR(VLOOKUP(Orders!D1867,Products!$A$2:$C$61,3,FALSE),"Unknown")</f>
        <v>Grocery</v>
      </c>
      <c r="F1867" t="str">
        <f>IFERROR(VLOOKUP(Orders!C1867,Customers!$A$2:$E$301,5,FALSE),"Unknown")</f>
        <v>Retail</v>
      </c>
      <c r="G1867">
        <f>IFERROR(VLOOKUP(Orders!C1867,Customers!$A$2:$C$301,3,FALSE),"")</f>
        <v>38</v>
      </c>
      <c r="H1867" t="str">
        <f>VLOOKUP(D1867,Sales_Reps!$A$2:$C$31,3,FALSE)</f>
        <v>North</v>
      </c>
      <c r="I1867" s="44">
        <f t="shared" si="61"/>
        <v>45627</v>
      </c>
      <c r="L1867" t="str">
        <f>Orders!K1867</f>
        <v>Mumbai</v>
      </c>
      <c r="M1867">
        <f>Orders!G1867</f>
        <v>4060</v>
      </c>
      <c r="N1867">
        <f>IFERROR(VLOOKUP(Orders!D1867,Products!$A$2:$D$61,4,FALSE),"")</f>
        <v>2911</v>
      </c>
      <c r="O1867">
        <f t="shared" si="62"/>
        <v>0.28300492610837441</v>
      </c>
      <c r="Q1867" t="str">
        <f>Orders!D1867</f>
        <v>PROD-025</v>
      </c>
    </row>
    <row r="1868" spans="1:17" x14ac:dyDescent="0.3">
      <c r="A1868" t="str">
        <f>Orders!A1868</f>
        <v>ORD-01867</v>
      </c>
      <c r="B1868">
        <f>Orders!B1868</f>
        <v>45295</v>
      </c>
      <c r="C1868">
        <f>Orders!I1868</f>
        <v>10057.68</v>
      </c>
      <c r="D1868" t="str">
        <f>Orders!E1868</f>
        <v>R018</v>
      </c>
      <c r="E1868" t="str">
        <f>IFERROR(VLOOKUP(Orders!D1868,Products!$A$2:$C$61,3,FALSE),"Unknown")</f>
        <v>Beauty</v>
      </c>
      <c r="F1868" t="str">
        <f>IFERROR(VLOOKUP(Orders!C1868,Customers!$A$2:$E$301,5,FALSE),"Unknown")</f>
        <v>Retail</v>
      </c>
      <c r="G1868">
        <f>IFERROR(VLOOKUP(Orders!C1868,Customers!$A$2:$C$301,3,FALSE),"")</f>
        <v>28</v>
      </c>
      <c r="H1868" t="str">
        <f>VLOOKUP(D1868,Sales_Reps!$A$2:$C$31,3,FALSE)</f>
        <v>East</v>
      </c>
      <c r="I1868" s="44">
        <f t="shared" si="61"/>
        <v>45292</v>
      </c>
      <c r="L1868" t="str">
        <f>Orders!K1868</f>
        <v>Bengaluru</v>
      </c>
      <c r="M1868">
        <f>Orders!G1868</f>
        <v>2290</v>
      </c>
      <c r="N1868">
        <f>IFERROR(VLOOKUP(Orders!D1868,Products!$A$2:$D$61,4,FALSE),"")</f>
        <v>1219</v>
      </c>
      <c r="O1868">
        <f t="shared" si="62"/>
        <v>0.46768558951965067</v>
      </c>
      <c r="Q1868" t="str">
        <f>Orders!D1868</f>
        <v>PROD-042</v>
      </c>
    </row>
    <row r="1869" spans="1:17" x14ac:dyDescent="0.3">
      <c r="A1869" t="str">
        <f>Orders!A1869</f>
        <v>ORD-01868</v>
      </c>
      <c r="B1869">
        <f>Orders!B1869</f>
        <v>45418</v>
      </c>
      <c r="C1869">
        <f>Orders!I1869</f>
        <v>5850.42</v>
      </c>
      <c r="D1869" t="str">
        <f>Orders!E1869</f>
        <v>R013</v>
      </c>
      <c r="E1869" t="str">
        <f>IFERROR(VLOOKUP(Orders!D1869,Products!$A$2:$C$61,3,FALSE),"Unknown")</f>
        <v>Sports</v>
      </c>
      <c r="F1869" t="str">
        <f>IFERROR(VLOOKUP(Orders!C1869,Customers!$A$2:$E$301,5,FALSE),"Unknown")</f>
        <v>Retail</v>
      </c>
      <c r="G1869">
        <f>IFERROR(VLOOKUP(Orders!C1869,Customers!$A$2:$C$301,3,FALSE),"")</f>
        <v>60</v>
      </c>
      <c r="H1869" t="str">
        <f>VLOOKUP(D1869,Sales_Reps!$A$2:$C$31,3,FALSE)</f>
        <v>South</v>
      </c>
      <c r="I1869" s="44">
        <f t="shared" si="61"/>
        <v>45413</v>
      </c>
      <c r="L1869" t="str">
        <f>Orders!K1869</f>
        <v>Chennai</v>
      </c>
      <c r="M1869">
        <f>Orders!G1869</f>
        <v>6940</v>
      </c>
      <c r="N1869">
        <f>IFERROR(VLOOKUP(Orders!D1869,Products!$A$2:$D$61,4,FALSE),"")</f>
        <v>2827</v>
      </c>
      <c r="O1869">
        <f t="shared" si="62"/>
        <v>0.5926512968299712</v>
      </c>
      <c r="Q1869" t="str">
        <f>Orders!D1869</f>
        <v>PROD-056</v>
      </c>
    </row>
    <row r="1870" spans="1:17" x14ac:dyDescent="0.3">
      <c r="A1870" t="str">
        <f>Orders!A1870</f>
        <v>ORD-01869</v>
      </c>
      <c r="B1870">
        <f>Orders!B1870</f>
        <v>45623</v>
      </c>
      <c r="C1870">
        <f>Orders!I1870</f>
        <v>9164.61</v>
      </c>
      <c r="D1870" t="str">
        <f>Orders!E1870</f>
        <v>R009</v>
      </c>
      <c r="E1870" t="str">
        <f>IFERROR(VLOOKUP(Orders!D1870,Products!$A$2:$C$61,3,FALSE),"Unknown")</f>
        <v>Home</v>
      </c>
      <c r="F1870" t="str">
        <f>IFERROR(VLOOKUP(Orders!C1870,Customers!$A$2:$E$301,5,FALSE),"Unknown")</f>
        <v>Retail</v>
      </c>
      <c r="G1870">
        <f>IFERROR(VLOOKUP(Orders!C1870,Customers!$A$2:$C$301,3,FALSE),"")</f>
        <v>61</v>
      </c>
      <c r="H1870" t="str">
        <f>VLOOKUP(D1870,Sales_Reps!$A$2:$C$31,3,FALSE)</f>
        <v>South</v>
      </c>
      <c r="I1870" s="44">
        <f t="shared" si="61"/>
        <v>45597</v>
      </c>
      <c r="L1870" t="str">
        <f>Orders!K1870</f>
        <v>Mumbai</v>
      </c>
      <c r="M1870">
        <f>Orders!G1870</f>
        <v>3730</v>
      </c>
      <c r="N1870">
        <f>IFERROR(VLOOKUP(Orders!D1870,Products!$A$2:$D$61,4,FALSE),"")</f>
        <v>2135</v>
      </c>
      <c r="O1870">
        <f t="shared" si="62"/>
        <v>0.42761394101876676</v>
      </c>
      <c r="Q1870" t="str">
        <f>Orders!D1870</f>
        <v>PROD-031</v>
      </c>
    </row>
    <row r="1871" spans="1:17" x14ac:dyDescent="0.3">
      <c r="A1871" t="str">
        <f>Orders!A1871</f>
        <v>ORD-01870</v>
      </c>
      <c r="B1871">
        <f>Orders!B1871</f>
        <v>45528</v>
      </c>
      <c r="C1871">
        <f>Orders!I1871</f>
        <v>26110</v>
      </c>
      <c r="D1871" t="str">
        <f>Orders!E1871</f>
        <v>R002</v>
      </c>
      <c r="E1871" t="str">
        <f>IFERROR(VLOOKUP(Orders!D1871,Products!$A$2:$C$61,3,FALSE),"Unknown")</f>
        <v>Home</v>
      </c>
      <c r="F1871" t="str">
        <f>IFERROR(VLOOKUP(Orders!C1871,Customers!$A$2:$E$301,5,FALSE),"Unknown")</f>
        <v>Retail</v>
      </c>
      <c r="G1871">
        <f>IFERROR(VLOOKUP(Orders!C1871,Customers!$A$2:$C$301,3,FALSE),"")</f>
        <v>26</v>
      </c>
      <c r="H1871" t="str">
        <f>VLOOKUP(D1871,Sales_Reps!$A$2:$C$31,3,FALSE)</f>
        <v>North</v>
      </c>
      <c r="I1871" s="44">
        <f t="shared" si="61"/>
        <v>45505</v>
      </c>
      <c r="L1871" t="str">
        <f>Orders!K1871</f>
        <v>Chennai</v>
      </c>
      <c r="M1871">
        <f>Orders!G1871</f>
        <v>3730</v>
      </c>
      <c r="N1871">
        <f>IFERROR(VLOOKUP(Orders!D1871,Products!$A$2:$D$61,4,FALSE),"")</f>
        <v>2135</v>
      </c>
      <c r="O1871">
        <f t="shared" si="62"/>
        <v>0.42761394101876676</v>
      </c>
      <c r="Q1871" t="str">
        <f>Orders!D1871</f>
        <v>PROD-031</v>
      </c>
    </row>
    <row r="1872" spans="1:17" x14ac:dyDescent="0.3">
      <c r="A1872" t="str">
        <f>Orders!A1872</f>
        <v>ORD-01871</v>
      </c>
      <c r="B1872">
        <f>Orders!B1872</f>
        <v>45644</v>
      </c>
      <c r="C1872">
        <f>Orders!I1872</f>
        <v>19684.98</v>
      </c>
      <c r="D1872" t="str">
        <f>Orders!E1872</f>
        <v>R015</v>
      </c>
      <c r="E1872" t="str">
        <f>IFERROR(VLOOKUP(Orders!D1872,Products!$A$2:$C$61,3,FALSE),"Unknown")</f>
        <v>Grocery</v>
      </c>
      <c r="F1872" t="str">
        <f>IFERROR(VLOOKUP(Orders!C1872,Customers!$A$2:$E$301,5,FALSE),"Unknown")</f>
        <v>Retail</v>
      </c>
      <c r="G1872">
        <f>IFERROR(VLOOKUP(Orders!C1872,Customers!$A$2:$C$301,3,FALSE),"")</f>
        <v>62</v>
      </c>
      <c r="H1872" t="str">
        <f>VLOOKUP(D1872,Sales_Reps!$A$2:$C$31,3,FALSE)</f>
        <v>South</v>
      </c>
      <c r="I1872" s="44">
        <f t="shared" si="61"/>
        <v>45627</v>
      </c>
      <c r="L1872" t="str">
        <f>Orders!K1872</f>
        <v>Delhi</v>
      </c>
      <c r="M1872">
        <f>Orders!G1872</f>
        <v>2380</v>
      </c>
      <c r="N1872">
        <f>IFERROR(VLOOKUP(Orders!D1872,Products!$A$2:$D$61,4,FALSE),"")</f>
        <v>1182</v>
      </c>
      <c r="O1872">
        <f t="shared" si="62"/>
        <v>0.50336134453781511</v>
      </c>
      <c r="Q1872" t="str">
        <f>Orders!D1872</f>
        <v>PROD-023</v>
      </c>
    </row>
    <row r="1873" spans="1:17" x14ac:dyDescent="0.3">
      <c r="A1873" t="str">
        <f>Orders!A1873</f>
        <v>ORD-01872</v>
      </c>
      <c r="B1873">
        <f>Orders!B1873</f>
        <v>45475</v>
      </c>
      <c r="C1873">
        <f>Orders!I1873</f>
        <v>5909.76</v>
      </c>
      <c r="D1873" t="str">
        <f>Orders!E1873</f>
        <v>R002</v>
      </c>
      <c r="E1873" t="str">
        <f>IFERROR(VLOOKUP(Orders!D1873,Products!$A$2:$C$61,3,FALSE),"Unknown")</f>
        <v>Home</v>
      </c>
      <c r="F1873" t="str">
        <f>IFERROR(VLOOKUP(Orders!C1873,Customers!$A$2:$E$301,5,FALSE),"Unknown")</f>
        <v>Retail</v>
      </c>
      <c r="G1873">
        <f>IFERROR(VLOOKUP(Orders!C1873,Customers!$A$2:$C$301,3,FALSE),"")</f>
        <v>44</v>
      </c>
      <c r="H1873" t="str">
        <f>VLOOKUP(D1873,Sales_Reps!$A$2:$C$31,3,FALSE)</f>
        <v>North</v>
      </c>
      <c r="I1873" s="44">
        <f t="shared" si="61"/>
        <v>45474</v>
      </c>
      <c r="L1873" t="str">
        <f>Orders!K1873</f>
        <v>Mumbai</v>
      </c>
      <c r="M1873">
        <f>Orders!G1873</f>
        <v>1080</v>
      </c>
      <c r="N1873">
        <f>IFERROR(VLOOKUP(Orders!D1873,Products!$A$2:$D$61,4,FALSE),"")</f>
        <v>519</v>
      </c>
      <c r="O1873">
        <f t="shared" si="62"/>
        <v>0.51944444444444449</v>
      </c>
      <c r="Q1873" t="str">
        <f>Orders!D1873</f>
        <v>PROD-040</v>
      </c>
    </row>
    <row r="1874" spans="1:17" x14ac:dyDescent="0.3">
      <c r="A1874" t="str">
        <f>Orders!A1874</f>
        <v>ORD-01712</v>
      </c>
      <c r="B1874">
        <f>Orders!B1874</f>
        <v>45401</v>
      </c>
      <c r="C1874">
        <f>Orders!I1874</f>
        <v>2319.4499999999998</v>
      </c>
      <c r="D1874" t="str">
        <f>Orders!E1874</f>
        <v>R013</v>
      </c>
      <c r="E1874" t="str">
        <f>IFERROR(VLOOKUP(Orders!D1874,Products!$A$2:$C$61,3,FALSE),"Unknown")</f>
        <v>Sports</v>
      </c>
      <c r="F1874" t="str">
        <f>IFERROR(VLOOKUP(Orders!C1874,Customers!$A$2:$E$301,5,FALSE),"Unknown")</f>
        <v>Retail</v>
      </c>
      <c r="G1874">
        <f>IFERROR(VLOOKUP(Orders!C1874,Customers!$A$2:$C$301,3,FALSE),"")</f>
        <v>22</v>
      </c>
      <c r="H1874" t="str">
        <f>VLOOKUP(D1874,Sales_Reps!$A$2:$C$31,3,FALSE)</f>
        <v>South</v>
      </c>
      <c r="I1874" s="44">
        <f t="shared" si="61"/>
        <v>45383</v>
      </c>
      <c r="L1874" t="str">
        <f>Orders!K1874</f>
        <v>Hyderabad</v>
      </c>
      <c r="M1874">
        <f>Orders!G1874</f>
        <v>470</v>
      </c>
      <c r="N1874">
        <f>IFERROR(VLOOKUP(Orders!D1874,Products!$A$2:$D$61,4,FALSE),"")</f>
        <v>302</v>
      </c>
      <c r="O1874">
        <f t="shared" si="62"/>
        <v>0.35744680851063831</v>
      </c>
      <c r="Q1874" t="str">
        <f>Orders!D1874</f>
        <v>PROD-053</v>
      </c>
    </row>
    <row r="1875" spans="1:17" x14ac:dyDescent="0.3">
      <c r="A1875" t="str">
        <f>Orders!A1875</f>
        <v>ORD-01874</v>
      </c>
      <c r="B1875">
        <f>Orders!B1875</f>
        <v>45516</v>
      </c>
      <c r="C1875">
        <f>Orders!I1875</f>
        <v>1286.1199999999999</v>
      </c>
      <c r="D1875" t="str">
        <f>Orders!E1875</f>
        <v>R026</v>
      </c>
      <c r="E1875" t="str">
        <f>IFERROR(VLOOKUP(Orders!D1875,Products!$A$2:$C$61,3,FALSE),"Unknown")</f>
        <v>Home</v>
      </c>
      <c r="F1875" t="str">
        <f>IFERROR(VLOOKUP(Orders!C1875,Customers!$A$2:$E$301,5,FALSE),"Unknown")</f>
        <v>Retail</v>
      </c>
      <c r="G1875">
        <f>IFERROR(VLOOKUP(Orders!C1875,Customers!$A$2:$C$301,3,FALSE),"")</f>
        <v>54</v>
      </c>
      <c r="H1875" t="str">
        <f>VLOOKUP(D1875,Sales_Reps!$A$2:$C$31,3,FALSE)</f>
        <v>West</v>
      </c>
      <c r="I1875" s="44">
        <f t="shared" si="61"/>
        <v>45505</v>
      </c>
      <c r="L1875" t="str">
        <f>Orders!K1875</f>
        <v>Pune</v>
      </c>
      <c r="M1875">
        <f>Orders!G1875</f>
        <v>370</v>
      </c>
      <c r="N1875">
        <f>IFERROR(VLOOKUP(Orders!D1875,Products!$A$2:$D$61,4,FALSE),"")</f>
        <v>288</v>
      </c>
      <c r="O1875">
        <f t="shared" si="62"/>
        <v>0.22162162162162163</v>
      </c>
      <c r="Q1875" t="str">
        <f>Orders!D1875</f>
        <v>PROD-032</v>
      </c>
    </row>
    <row r="1876" spans="1:17" x14ac:dyDescent="0.3">
      <c r="A1876" t="str">
        <f>Orders!A1876</f>
        <v>ORD-01875</v>
      </c>
      <c r="B1876">
        <f>Orders!B1876</f>
        <v>45517</v>
      </c>
      <c r="C1876">
        <f>Orders!I1876</f>
        <v>19399.240000000002</v>
      </c>
      <c r="D1876" t="str">
        <f>Orders!E1876</f>
        <v>R007</v>
      </c>
      <c r="E1876" t="str">
        <f>IFERROR(VLOOKUP(Orders!D1876,Products!$A$2:$C$61,3,FALSE),"Unknown")</f>
        <v>Apparel</v>
      </c>
      <c r="F1876" t="str">
        <f>IFERROR(VLOOKUP(Orders!C1876,Customers!$A$2:$E$301,5,FALSE),"Unknown")</f>
        <v>SMB</v>
      </c>
      <c r="G1876">
        <f>IFERROR(VLOOKUP(Orders!C1876,Customers!$A$2:$C$301,3,FALSE),"")</f>
        <v>65</v>
      </c>
      <c r="H1876" t="str">
        <f>VLOOKUP(D1876,Sales_Reps!$A$2:$C$31,3,FALSE)</f>
        <v>North</v>
      </c>
      <c r="I1876" s="44">
        <f t="shared" si="61"/>
        <v>45505</v>
      </c>
      <c r="L1876" t="str">
        <f>Orders!K1876</f>
        <v>Mumbai</v>
      </c>
      <c r="M1876">
        <f>Orders!G1876</f>
        <v>3160</v>
      </c>
      <c r="N1876">
        <f>IFERROR(VLOOKUP(Orders!D1876,Products!$A$2:$D$61,4,FALSE),"")</f>
        <v>1886</v>
      </c>
      <c r="O1876">
        <f t="shared" si="62"/>
        <v>0.4031645569620253</v>
      </c>
      <c r="Q1876" t="str">
        <f>Orders!D1876</f>
        <v>PROD-012</v>
      </c>
    </row>
    <row r="1877" spans="1:17" x14ac:dyDescent="0.3">
      <c r="A1877" t="str">
        <f>Orders!A1877</f>
        <v>ORD-01876</v>
      </c>
      <c r="B1877">
        <f>Orders!B1877</f>
        <v>45645</v>
      </c>
      <c r="C1877">
        <f>Orders!I1877</f>
        <v>13528</v>
      </c>
      <c r="D1877" t="str">
        <f>Orders!E1877</f>
        <v>R024</v>
      </c>
      <c r="E1877" t="str">
        <f>IFERROR(VLOOKUP(Orders!D1877,Products!$A$2:$C$61,3,FALSE),"Unknown")</f>
        <v>Apparel</v>
      </c>
      <c r="F1877" t="str">
        <f>IFERROR(VLOOKUP(Orders!C1877,Customers!$A$2:$E$301,5,FALSE),"Unknown")</f>
        <v>Retail</v>
      </c>
      <c r="G1877">
        <f>IFERROR(VLOOKUP(Orders!C1877,Customers!$A$2:$C$301,3,FALSE),"")</f>
        <v>59</v>
      </c>
      <c r="H1877" t="str">
        <f>VLOOKUP(D1877,Sales_Reps!$A$2:$C$31,3,FALSE)</f>
        <v>West</v>
      </c>
      <c r="I1877" s="44">
        <f t="shared" si="61"/>
        <v>45627</v>
      </c>
      <c r="L1877" t="str">
        <f>Orders!K1877</f>
        <v>Bengaluru</v>
      </c>
      <c r="M1877">
        <f>Orders!G1877</f>
        <v>3560</v>
      </c>
      <c r="N1877">
        <f>IFERROR(VLOOKUP(Orders!D1877,Products!$A$2:$D$61,4,FALSE),"")</f>
        <v>2629</v>
      </c>
      <c r="O1877">
        <f t="shared" si="62"/>
        <v>0.26151685393258428</v>
      </c>
      <c r="Q1877" t="str">
        <f>Orders!D1877</f>
        <v>PROD-018</v>
      </c>
    </row>
    <row r="1878" spans="1:17" x14ac:dyDescent="0.3">
      <c r="A1878" t="str">
        <f>Orders!A1878</f>
        <v>ORD-01877</v>
      </c>
      <c r="B1878">
        <f>Orders!B1878</f>
        <v>45417</v>
      </c>
      <c r="C1878">
        <f>Orders!I1878</f>
        <v>9683.1</v>
      </c>
      <c r="D1878" t="str">
        <f>Orders!E1878</f>
        <v>R021</v>
      </c>
      <c r="E1878" t="str">
        <f>IFERROR(VLOOKUP(Orders!D1878,Products!$A$2:$C$61,3,FALSE),"Unknown")</f>
        <v>Home</v>
      </c>
      <c r="F1878" t="str">
        <f>IFERROR(VLOOKUP(Orders!C1878,Customers!$A$2:$E$301,5,FALSE),"Unknown")</f>
        <v>SMB</v>
      </c>
      <c r="G1878">
        <f>IFERROR(VLOOKUP(Orders!C1878,Customers!$A$2:$C$301,3,FALSE),"")</f>
        <v>64</v>
      </c>
      <c r="H1878" t="str">
        <f>VLOOKUP(D1878,Sales_Reps!$A$2:$C$31,3,FALSE)</f>
        <v>East</v>
      </c>
      <c r="I1878" s="44">
        <f t="shared" si="61"/>
        <v>45413</v>
      </c>
      <c r="L1878" t="str">
        <f>Orders!K1878</f>
        <v>Chennai</v>
      </c>
      <c r="M1878">
        <f>Orders!G1878</f>
        <v>2030</v>
      </c>
      <c r="N1878">
        <f>IFERROR(VLOOKUP(Orders!D1878,Products!$A$2:$D$61,4,FALSE),"")</f>
        <v>1143</v>
      </c>
      <c r="O1878">
        <f t="shared" si="62"/>
        <v>0.43694581280788175</v>
      </c>
      <c r="Q1878" t="str">
        <f>Orders!D1878</f>
        <v>PROD-033</v>
      </c>
    </row>
    <row r="1879" spans="1:17" x14ac:dyDescent="0.3">
      <c r="A1879" t="str">
        <f>Orders!A1879</f>
        <v>ORD-01878</v>
      </c>
      <c r="B1879">
        <f>Orders!B1879</f>
        <v>45351</v>
      </c>
      <c r="C1879">
        <f>Orders!I1879</f>
        <v>10388.4</v>
      </c>
      <c r="D1879" t="str">
        <f>Orders!E1879</f>
        <v>R018</v>
      </c>
      <c r="E1879" t="str">
        <f>IFERROR(VLOOKUP(Orders!D1879,Products!$A$2:$C$61,3,FALSE),"Unknown")</f>
        <v>Electronics</v>
      </c>
      <c r="F1879" t="str">
        <f>IFERROR(VLOOKUP(Orders!C1879,Customers!$A$2:$E$301,5,FALSE),"Unknown")</f>
        <v>Corporate</v>
      </c>
      <c r="G1879">
        <f>IFERROR(VLOOKUP(Orders!C1879,Customers!$A$2:$C$301,3,FALSE),"")</f>
        <v>35</v>
      </c>
      <c r="H1879" t="str">
        <f>VLOOKUP(D1879,Sales_Reps!$A$2:$C$31,3,FALSE)</f>
        <v>East</v>
      </c>
      <c r="I1879" s="44">
        <f t="shared" si="61"/>
        <v>45323</v>
      </c>
      <c r="L1879" t="str">
        <f>Orders!K1879</f>
        <v>Chennai</v>
      </c>
      <c r="M1879">
        <f>Orders!G1879</f>
        <v>2640</v>
      </c>
      <c r="N1879">
        <f>IFERROR(VLOOKUP(Orders!D1879,Products!$A$2:$D$61,4,FALSE),"")</f>
        <v>1149</v>
      </c>
      <c r="O1879">
        <f t="shared" si="62"/>
        <v>0.56477272727272732</v>
      </c>
      <c r="Q1879" t="str">
        <f>Orders!D1879</f>
        <v>PROD-010</v>
      </c>
    </row>
    <row r="1880" spans="1:17" x14ac:dyDescent="0.3">
      <c r="A1880" t="str">
        <f>Orders!A1880</f>
        <v>ORD-01879</v>
      </c>
      <c r="B1880">
        <f>Orders!B1880</f>
        <v>45629</v>
      </c>
      <c r="C1880">
        <f>Orders!I1880</f>
        <v>7645.36</v>
      </c>
      <c r="D1880" t="str">
        <f>Orders!E1880</f>
        <v>R002</v>
      </c>
      <c r="E1880" t="str">
        <f>IFERROR(VLOOKUP(Orders!D1880,Products!$A$2:$C$61,3,FALSE),"Unknown")</f>
        <v>Grocery</v>
      </c>
      <c r="F1880" t="str">
        <f>IFERROR(VLOOKUP(Orders!C1880,Customers!$A$2:$E$301,5,FALSE),"Unknown")</f>
        <v>Retail</v>
      </c>
      <c r="G1880">
        <f>IFERROR(VLOOKUP(Orders!C1880,Customers!$A$2:$C$301,3,FALSE),"")</f>
        <v>37</v>
      </c>
      <c r="H1880" t="str">
        <f>VLOOKUP(D1880,Sales_Reps!$A$2:$C$31,3,FALSE)</f>
        <v>North</v>
      </c>
      <c r="I1880" s="44">
        <f t="shared" si="61"/>
        <v>45627</v>
      </c>
      <c r="L1880" t="str">
        <f>Orders!K1880</f>
        <v>Chennai</v>
      </c>
      <c r="M1880">
        <f>Orders!G1880</f>
        <v>2270</v>
      </c>
      <c r="N1880">
        <f>IFERROR(VLOOKUP(Orders!D1880,Products!$A$2:$D$61,4,FALSE),"")</f>
        <v>1412</v>
      </c>
      <c r="O1880">
        <f t="shared" si="62"/>
        <v>0.37797356828193834</v>
      </c>
      <c r="Q1880" t="str">
        <f>Orders!D1880</f>
        <v>PROD-022</v>
      </c>
    </row>
    <row r="1881" spans="1:17" x14ac:dyDescent="0.3">
      <c r="A1881" t="str">
        <f>Orders!A1881</f>
        <v>ORD-01880</v>
      </c>
      <c r="B1881">
        <f>Orders!B1881</f>
        <v>45588</v>
      </c>
      <c r="C1881">
        <f>Orders!I1881</f>
        <v>270.10000000000002</v>
      </c>
      <c r="D1881" t="str">
        <f>Orders!E1881</f>
        <v>R002</v>
      </c>
      <c r="E1881" t="str">
        <f>IFERROR(VLOOKUP(Orders!D1881,Products!$A$2:$C$61,3,FALSE),"Unknown")</f>
        <v>Home</v>
      </c>
      <c r="F1881" t="str">
        <f>IFERROR(VLOOKUP(Orders!C1881,Customers!$A$2:$E$301,5,FALSE),"Unknown")</f>
        <v>Retail</v>
      </c>
      <c r="G1881">
        <f>IFERROR(VLOOKUP(Orders!C1881,Customers!$A$2:$C$301,3,FALSE),"")</f>
        <v>44</v>
      </c>
      <c r="H1881" t="str">
        <f>VLOOKUP(D1881,Sales_Reps!$A$2:$C$31,3,FALSE)</f>
        <v>North</v>
      </c>
      <c r="I1881" s="44">
        <f t="shared" si="61"/>
        <v>45566</v>
      </c>
      <c r="L1881" t="str">
        <f>Orders!K1881</f>
        <v>Mumbai</v>
      </c>
      <c r="M1881">
        <f>Orders!G1881</f>
        <v>370</v>
      </c>
      <c r="N1881">
        <f>IFERROR(VLOOKUP(Orders!D1881,Products!$A$2:$D$61,4,FALSE),"")</f>
        <v>288</v>
      </c>
      <c r="O1881">
        <f t="shared" si="62"/>
        <v>0.22162162162162163</v>
      </c>
      <c r="Q1881" t="str">
        <f>Orders!D1881</f>
        <v>PROD-032</v>
      </c>
    </row>
    <row r="1882" spans="1:17" x14ac:dyDescent="0.3">
      <c r="A1882" t="str">
        <f>Orders!A1882</f>
        <v>ORD-01881</v>
      </c>
      <c r="B1882">
        <f>Orders!B1882</f>
        <v>45366</v>
      </c>
      <c r="C1882">
        <f>Orders!I1882</f>
        <v>44798.400000000001</v>
      </c>
      <c r="D1882" t="str">
        <f>Orders!E1882</f>
        <v>R017</v>
      </c>
      <c r="E1882" t="str">
        <f>IFERROR(VLOOKUP(Orders!D1882,Products!$A$2:$C$61,3,FALSE),"Unknown")</f>
        <v>Beauty</v>
      </c>
      <c r="F1882" t="str">
        <f>IFERROR(VLOOKUP(Orders!C1882,Customers!$A$2:$E$301,5,FALSE),"Unknown")</f>
        <v>SMB</v>
      </c>
      <c r="G1882">
        <f>IFERROR(VLOOKUP(Orders!C1882,Customers!$A$2:$C$301,3,FALSE),"")</f>
        <v>55</v>
      </c>
      <c r="H1882" t="str">
        <f>VLOOKUP(D1882,Sales_Reps!$A$2:$C$31,3,FALSE)</f>
        <v>East</v>
      </c>
      <c r="I1882" s="44">
        <f t="shared" si="61"/>
        <v>45352</v>
      </c>
      <c r="L1882" t="str">
        <f>Orders!K1882</f>
        <v>Chennai</v>
      </c>
      <c r="M1882">
        <f>Orders!G1882</f>
        <v>5100</v>
      </c>
      <c r="N1882">
        <f>IFERROR(VLOOKUP(Orders!D1882,Products!$A$2:$D$61,4,FALSE),"")</f>
        <v>2237</v>
      </c>
      <c r="O1882">
        <f t="shared" si="62"/>
        <v>0.56137254901960787</v>
      </c>
      <c r="Q1882" t="str">
        <f>Orders!D1882</f>
        <v>PROD-048</v>
      </c>
    </row>
    <row r="1883" spans="1:17" x14ac:dyDescent="0.3">
      <c r="A1883" t="str">
        <f>Orders!A1883</f>
        <v>ORD-01882</v>
      </c>
      <c r="B1883">
        <f>Orders!B1883</f>
        <v>45322</v>
      </c>
      <c r="C1883">
        <f>Orders!I1883</f>
        <v>1804.86</v>
      </c>
      <c r="D1883" t="str">
        <f>Orders!E1883</f>
        <v>R023</v>
      </c>
      <c r="E1883" t="str">
        <f>IFERROR(VLOOKUP(Orders!D1883,Products!$A$2:$C$61,3,FALSE),"Unknown")</f>
        <v>Home</v>
      </c>
      <c r="F1883" t="str">
        <f>IFERROR(VLOOKUP(Orders!C1883,Customers!$A$2:$E$301,5,FALSE),"Unknown")</f>
        <v>Retail</v>
      </c>
      <c r="G1883">
        <f>IFERROR(VLOOKUP(Orders!C1883,Customers!$A$2:$C$301,3,FALSE),"")</f>
        <v>22</v>
      </c>
      <c r="H1883" t="str">
        <f>VLOOKUP(D1883,Sales_Reps!$A$2:$C$31,3,FALSE)</f>
        <v>East</v>
      </c>
      <c r="I1883" s="44">
        <f t="shared" si="61"/>
        <v>45292</v>
      </c>
      <c r="L1883" t="str">
        <f>Orders!K1883</f>
        <v>Hyderabad</v>
      </c>
      <c r="M1883">
        <f>Orders!G1883</f>
        <v>370</v>
      </c>
      <c r="N1883">
        <f>IFERROR(VLOOKUP(Orders!D1883,Products!$A$2:$D$61,4,FALSE),"")</f>
        <v>288</v>
      </c>
      <c r="O1883">
        <f t="shared" si="62"/>
        <v>0.22162162162162163</v>
      </c>
      <c r="Q1883" t="str">
        <f>Orders!D1883</f>
        <v>PROD-032</v>
      </c>
    </row>
    <row r="1884" spans="1:17" x14ac:dyDescent="0.3">
      <c r="A1884" t="str">
        <f>Orders!A1884</f>
        <v>ORD-01883</v>
      </c>
      <c r="B1884">
        <f>Orders!B1884</f>
        <v>45465</v>
      </c>
      <c r="C1884">
        <f>Orders!I1884</f>
        <v>4562.88</v>
      </c>
      <c r="D1884" t="str">
        <f>Orders!E1884</f>
        <v>R004</v>
      </c>
      <c r="E1884" t="str">
        <f>IFERROR(VLOOKUP(Orders!D1884,Products!$A$2:$C$61,3,FALSE),"Unknown")</f>
        <v>Grocery</v>
      </c>
      <c r="F1884" t="str">
        <f>IFERROR(VLOOKUP(Orders!C1884,Customers!$A$2:$E$301,5,FALSE),"Unknown")</f>
        <v>SMB</v>
      </c>
      <c r="G1884">
        <f>IFERROR(VLOOKUP(Orders!C1884,Customers!$A$2:$C$301,3,FALSE),"")</f>
        <v>24</v>
      </c>
      <c r="H1884" t="str">
        <f>VLOOKUP(D1884,Sales_Reps!$A$2:$C$31,3,FALSE)</f>
        <v>North</v>
      </c>
      <c r="I1884" s="44">
        <f t="shared" si="61"/>
        <v>45444</v>
      </c>
      <c r="L1884" t="str">
        <f>Orders!K1884</f>
        <v>Pune</v>
      </c>
      <c r="M1884">
        <f>Orders!G1884</f>
        <v>970</v>
      </c>
      <c r="N1884">
        <f>IFERROR(VLOOKUP(Orders!D1884,Products!$A$2:$D$61,4,FALSE),"")</f>
        <v>434</v>
      </c>
      <c r="O1884">
        <f t="shared" si="62"/>
        <v>0.5525773195876289</v>
      </c>
      <c r="Q1884" t="str">
        <f>Orders!D1884</f>
        <v>PROD-030</v>
      </c>
    </row>
    <row r="1885" spans="1:17" x14ac:dyDescent="0.3">
      <c r="A1885" t="str">
        <f>Orders!A1885</f>
        <v>ORD-01884</v>
      </c>
      <c r="B1885">
        <f>Orders!B1885</f>
        <v>45622</v>
      </c>
      <c r="C1885">
        <f>Orders!I1885</f>
        <v>6066.45</v>
      </c>
      <c r="D1885" t="str">
        <f>Orders!E1885</f>
        <v>R029</v>
      </c>
      <c r="E1885" t="str">
        <f>IFERROR(VLOOKUP(Orders!D1885,Products!$A$2:$C$61,3,FALSE),"Unknown")</f>
        <v>Grocery</v>
      </c>
      <c r="F1885" t="str">
        <f>IFERROR(VLOOKUP(Orders!C1885,Customers!$A$2:$E$301,5,FALSE),"Unknown")</f>
        <v>Unknown</v>
      </c>
      <c r="G1885" t="str">
        <f>IFERROR(VLOOKUP(Orders!C1885,Customers!$A$2:$C$301,3,FALSE),"")</f>
        <v/>
      </c>
      <c r="H1885" t="str">
        <f>VLOOKUP(D1885,Sales_Reps!$A$2:$C$31,3,FALSE)</f>
        <v>West</v>
      </c>
      <c r="I1885" s="44">
        <f t="shared" si="61"/>
        <v>45597</v>
      </c>
      <c r="L1885" t="str">
        <f>Orders!K1885</f>
        <v>Delhi</v>
      </c>
      <c r="M1885">
        <f>Orders!G1885</f>
        <v>2210</v>
      </c>
      <c r="N1885">
        <f>IFERROR(VLOOKUP(Orders!D1885,Products!$A$2:$D$61,4,FALSE),"")</f>
        <v>1010</v>
      </c>
      <c r="O1885">
        <f t="shared" si="62"/>
        <v>0.54298642533936647</v>
      </c>
      <c r="Q1885" t="str">
        <f>Orders!D1885</f>
        <v>PROD-029</v>
      </c>
    </row>
    <row r="1886" spans="1:17" x14ac:dyDescent="0.3">
      <c r="A1886" t="str">
        <f>Orders!A1886</f>
        <v>ORD-01885</v>
      </c>
      <c r="B1886">
        <f>Orders!B1886</f>
        <v>45457</v>
      </c>
      <c r="C1886">
        <f>Orders!I1886</f>
        <v>1324.95</v>
      </c>
      <c r="D1886" t="str">
        <f>Orders!E1886</f>
        <v>R002</v>
      </c>
      <c r="E1886" t="str">
        <f>IFERROR(VLOOKUP(Orders!D1886,Products!$A$2:$C$61,3,FALSE),"Unknown")</f>
        <v>Beauty</v>
      </c>
      <c r="F1886" t="str">
        <f>IFERROR(VLOOKUP(Orders!C1886,Customers!$A$2:$E$301,5,FALSE),"Unknown")</f>
        <v>Corporate</v>
      </c>
      <c r="G1886">
        <f>IFERROR(VLOOKUP(Orders!C1886,Customers!$A$2:$C$301,3,FALSE),"")</f>
        <v>27</v>
      </c>
      <c r="H1886" t="str">
        <f>VLOOKUP(D1886,Sales_Reps!$A$2:$C$31,3,FALSE)</f>
        <v>North</v>
      </c>
      <c r="I1886" s="44">
        <f t="shared" si="61"/>
        <v>45444</v>
      </c>
      <c r="L1886" t="str">
        <f>Orders!K1886</f>
        <v>Delhi</v>
      </c>
      <c r="M1886">
        <f>Orders!G1886</f>
        <v>1650</v>
      </c>
      <c r="N1886">
        <f>IFERROR(VLOOKUP(Orders!D1886,Products!$A$2:$D$61,4,FALSE),"")</f>
        <v>1222</v>
      </c>
      <c r="O1886">
        <f t="shared" si="62"/>
        <v>0.2593939393939394</v>
      </c>
      <c r="Q1886" t="str">
        <f>Orders!D1886</f>
        <v>PROD-044</v>
      </c>
    </row>
    <row r="1887" spans="1:17" x14ac:dyDescent="0.3">
      <c r="A1887" t="str">
        <f>Orders!A1887</f>
        <v>ORD-01886</v>
      </c>
      <c r="B1887">
        <f>Orders!B1887</f>
        <v>45480</v>
      </c>
      <c r="C1887">
        <f>Orders!I1887</f>
        <v>32028.1</v>
      </c>
      <c r="D1887" t="str">
        <f>Orders!E1887</f>
        <v>R003</v>
      </c>
      <c r="E1887" t="str">
        <f>IFERROR(VLOOKUP(Orders!D1887,Products!$A$2:$C$61,3,FALSE),"Unknown")</f>
        <v>Sports</v>
      </c>
      <c r="F1887" t="str">
        <f>IFERROR(VLOOKUP(Orders!C1887,Customers!$A$2:$E$301,5,FALSE),"Unknown")</f>
        <v>Retail</v>
      </c>
      <c r="G1887">
        <f>IFERROR(VLOOKUP(Orders!C1887,Customers!$A$2:$C$301,3,FALSE),"")</f>
        <v>65</v>
      </c>
      <c r="H1887" t="str">
        <f>VLOOKUP(D1887,Sales_Reps!$A$2:$C$31,3,FALSE)</f>
        <v>North</v>
      </c>
      <c r="I1887" s="44">
        <f t="shared" si="61"/>
        <v>45474</v>
      </c>
      <c r="L1887" t="str">
        <f>Orders!K1887</f>
        <v>Pune</v>
      </c>
      <c r="M1887">
        <f>Orders!G1887</f>
        <v>6940</v>
      </c>
      <c r="N1887">
        <f>IFERROR(VLOOKUP(Orders!D1887,Products!$A$2:$D$61,4,FALSE),"")</f>
        <v>2827</v>
      </c>
      <c r="O1887">
        <f t="shared" si="62"/>
        <v>0.5926512968299712</v>
      </c>
      <c r="Q1887" t="str">
        <f>Orders!D1887</f>
        <v>PROD-056</v>
      </c>
    </row>
    <row r="1888" spans="1:17" x14ac:dyDescent="0.3">
      <c r="A1888" t="str">
        <f>Orders!A1888</f>
        <v>ORD-01887</v>
      </c>
      <c r="B1888">
        <f>Orders!B1888</f>
        <v>45392</v>
      </c>
      <c r="C1888">
        <f>Orders!I1888</f>
        <v>4172.4799999999996</v>
      </c>
      <c r="D1888" t="str">
        <f>Orders!E1888</f>
        <v>R022</v>
      </c>
      <c r="E1888" t="str">
        <f>IFERROR(VLOOKUP(Orders!D1888,Products!$A$2:$C$61,3,FALSE),"Unknown")</f>
        <v>Grocery</v>
      </c>
      <c r="F1888" t="str">
        <f>IFERROR(VLOOKUP(Orders!C1888,Customers!$A$2:$E$301,5,FALSE),"Unknown")</f>
        <v>Corporate</v>
      </c>
      <c r="G1888">
        <f>IFERROR(VLOOKUP(Orders!C1888,Customers!$A$2:$C$301,3,FALSE),"")</f>
        <v>29</v>
      </c>
      <c r="H1888" t="str">
        <f>VLOOKUP(D1888,Sales_Reps!$A$2:$C$31,3,FALSE)</f>
        <v>East</v>
      </c>
      <c r="I1888" s="44">
        <f t="shared" si="61"/>
        <v>45383</v>
      </c>
      <c r="L1888" t="str">
        <f>Orders!K1888</f>
        <v>Pune</v>
      </c>
      <c r="M1888">
        <f>Orders!G1888</f>
        <v>2210</v>
      </c>
      <c r="N1888">
        <f>IFERROR(VLOOKUP(Orders!D1888,Products!$A$2:$D$61,4,FALSE),"")</f>
        <v>1010</v>
      </c>
      <c r="O1888">
        <f t="shared" si="62"/>
        <v>0.54298642533936647</v>
      </c>
      <c r="Q1888" t="str">
        <f>Orders!D1888</f>
        <v>PROD-029</v>
      </c>
    </row>
    <row r="1889" spans="1:17" x14ac:dyDescent="0.3">
      <c r="A1889" t="str">
        <f>Orders!A1889</f>
        <v>ORD-01888</v>
      </c>
      <c r="B1889">
        <f>Orders!B1889</f>
        <v>45380</v>
      </c>
      <c r="C1889">
        <f>Orders!I1889</f>
        <v>22674.6</v>
      </c>
      <c r="D1889" t="str">
        <f>Orders!E1889</f>
        <v>R014</v>
      </c>
      <c r="E1889" t="str">
        <f>IFERROR(VLOOKUP(Orders!D1889,Products!$A$2:$C$61,3,FALSE),"Unknown")</f>
        <v>Electronics</v>
      </c>
      <c r="F1889" t="str">
        <f>IFERROR(VLOOKUP(Orders!C1889,Customers!$A$2:$E$301,5,FALSE),"Unknown")</f>
        <v>SMB</v>
      </c>
      <c r="G1889">
        <f>IFERROR(VLOOKUP(Orders!C1889,Customers!$A$2:$C$301,3,FALSE),"")</f>
        <v>60</v>
      </c>
      <c r="H1889" t="str">
        <f>VLOOKUP(D1889,Sales_Reps!$A$2:$C$31,3,FALSE)</f>
        <v>South</v>
      </c>
      <c r="I1889" s="44">
        <f t="shared" si="61"/>
        <v>45352</v>
      </c>
      <c r="L1889" t="str">
        <f>Orders!K1889</f>
        <v>Pune</v>
      </c>
      <c r="M1889">
        <f>Orders!G1889</f>
        <v>2600</v>
      </c>
      <c r="N1889">
        <f>IFERROR(VLOOKUP(Orders!D1889,Products!$A$2:$D$61,4,FALSE),"")</f>
        <v>1052</v>
      </c>
      <c r="O1889">
        <f t="shared" si="62"/>
        <v>0.5953846153846154</v>
      </c>
      <c r="Q1889" t="str">
        <f>Orders!D1889</f>
        <v>PROD-002</v>
      </c>
    </row>
    <row r="1890" spans="1:17" x14ac:dyDescent="0.3">
      <c r="A1890" t="str">
        <f>Orders!A1890</f>
        <v>ORD-01889</v>
      </c>
      <c r="B1890">
        <f>Orders!B1890</f>
        <v>45494</v>
      </c>
      <c r="C1890">
        <f>Orders!I1890</f>
        <v>22940.82</v>
      </c>
      <c r="D1890" t="str">
        <f>Orders!E1890</f>
        <v>R003</v>
      </c>
      <c r="E1890" t="str">
        <f>IFERROR(VLOOKUP(Orders!D1890,Products!$A$2:$C$61,3,FALSE),"Unknown")</f>
        <v>Sports</v>
      </c>
      <c r="F1890" t="str">
        <f>IFERROR(VLOOKUP(Orders!C1890,Customers!$A$2:$E$301,5,FALSE),"Unknown")</f>
        <v>Retail</v>
      </c>
      <c r="G1890">
        <f>IFERROR(VLOOKUP(Orders!C1890,Customers!$A$2:$C$301,3,FALSE),"")</f>
        <v>35</v>
      </c>
      <c r="H1890" t="str">
        <f>VLOOKUP(D1890,Sales_Reps!$A$2:$C$31,3,FALSE)</f>
        <v>North</v>
      </c>
      <c r="I1890" s="44">
        <f t="shared" si="61"/>
        <v>45474</v>
      </c>
      <c r="L1890" t="str">
        <f>Orders!K1890</f>
        <v>Bengaluru</v>
      </c>
      <c r="M1890">
        <f>Orders!G1890</f>
        <v>3780</v>
      </c>
      <c r="N1890">
        <f>IFERROR(VLOOKUP(Orders!D1890,Products!$A$2:$D$61,4,FALSE),"")</f>
        <v>1860</v>
      </c>
      <c r="O1890">
        <f t="shared" si="62"/>
        <v>0.50793650793650791</v>
      </c>
      <c r="Q1890" t="str">
        <f>Orders!D1890</f>
        <v>PROD-059</v>
      </c>
    </row>
    <row r="1891" spans="1:17" x14ac:dyDescent="0.3">
      <c r="A1891" t="str">
        <f>Orders!A1891</f>
        <v>ORD-01890</v>
      </c>
      <c r="B1891">
        <f>Orders!B1891</f>
        <v>45621</v>
      </c>
      <c r="C1891">
        <f>Orders!I1891</f>
        <v>8006.4</v>
      </c>
      <c r="D1891" t="str">
        <f>Orders!E1891</f>
        <v>R013</v>
      </c>
      <c r="E1891" t="str">
        <f>IFERROR(VLOOKUP(Orders!D1891,Products!$A$2:$C$61,3,FALSE),"Unknown")</f>
        <v>Sports</v>
      </c>
      <c r="F1891" t="str">
        <f>IFERROR(VLOOKUP(Orders!C1891,Customers!$A$2:$E$301,5,FALSE),"Unknown")</f>
        <v>Corporate</v>
      </c>
      <c r="G1891">
        <f>IFERROR(VLOOKUP(Orders!C1891,Customers!$A$2:$C$301,3,FALSE),"")</f>
        <v>55</v>
      </c>
      <c r="H1891" t="str">
        <f>VLOOKUP(D1891,Sales_Reps!$A$2:$C$31,3,FALSE)</f>
        <v>South</v>
      </c>
      <c r="I1891" s="44">
        <f t="shared" si="61"/>
        <v>45597</v>
      </c>
      <c r="L1891" t="str">
        <f>Orders!K1891</f>
        <v>Bengaluru</v>
      </c>
      <c r="M1891">
        <f>Orders!G1891</f>
        <v>2400</v>
      </c>
      <c r="N1891">
        <f>IFERROR(VLOOKUP(Orders!D1891,Products!$A$2:$D$61,4,FALSE),"")</f>
        <v>974</v>
      </c>
      <c r="O1891">
        <f t="shared" si="62"/>
        <v>0.59416666666666662</v>
      </c>
      <c r="Q1891" t="str">
        <f>Orders!D1891</f>
        <v>PROD-058</v>
      </c>
    </row>
    <row r="1892" spans="1:17" x14ac:dyDescent="0.3">
      <c r="A1892" t="str">
        <f>Orders!A1892</f>
        <v>ORD-01891</v>
      </c>
      <c r="B1892">
        <f>Orders!B1892</f>
        <v>45603</v>
      </c>
      <c r="C1892">
        <f>Orders!I1892</f>
        <v>2283</v>
      </c>
      <c r="D1892" t="str">
        <f>Orders!E1892</f>
        <v>R005</v>
      </c>
      <c r="E1892" t="str">
        <f>IFERROR(VLOOKUP(Orders!D1892,Products!$A$2:$C$61,3,FALSE),"Unknown")</f>
        <v>Electronics</v>
      </c>
      <c r="F1892" t="str">
        <f>IFERROR(VLOOKUP(Orders!C1892,Customers!$A$2:$E$301,5,FALSE),"Unknown")</f>
        <v>Retail</v>
      </c>
      <c r="G1892">
        <f>IFERROR(VLOOKUP(Orders!C1892,Customers!$A$2:$C$301,3,FALSE),"")</f>
        <v>25</v>
      </c>
      <c r="H1892" t="str">
        <f>VLOOKUP(D1892,Sales_Reps!$A$2:$C$31,3,FALSE)</f>
        <v>North</v>
      </c>
      <c r="I1892" s="44">
        <f t="shared" si="61"/>
        <v>45597</v>
      </c>
      <c r="L1892" t="str">
        <f>Orders!K1892</f>
        <v>Pune</v>
      </c>
      <c r="M1892">
        <f>Orders!G1892</f>
        <v>300</v>
      </c>
      <c r="N1892">
        <f>IFERROR(VLOOKUP(Orders!D1892,Products!$A$2:$D$61,4,FALSE),"")</f>
        <v>128</v>
      </c>
      <c r="O1892">
        <f t="shared" si="62"/>
        <v>0.57333333333333336</v>
      </c>
      <c r="Q1892" t="str">
        <f>Orders!D1892</f>
        <v>PROD-005</v>
      </c>
    </row>
    <row r="1893" spans="1:17" x14ac:dyDescent="0.3">
      <c r="A1893" t="str">
        <f>Orders!A1893</f>
        <v>ORD-01892</v>
      </c>
      <c r="B1893">
        <f>Orders!B1893</f>
        <v>45640</v>
      </c>
      <c r="C1893">
        <f>Orders!I1893</f>
        <v>3605.1</v>
      </c>
      <c r="D1893" t="str">
        <f>Orders!E1893</f>
        <v>R010</v>
      </c>
      <c r="E1893" t="str">
        <f>IFERROR(VLOOKUP(Orders!D1893,Products!$A$2:$C$61,3,FALSE),"Unknown")</f>
        <v>Grocery</v>
      </c>
      <c r="F1893" t="str">
        <f>IFERROR(VLOOKUP(Orders!C1893,Customers!$A$2:$E$301,5,FALSE),"Unknown")</f>
        <v>Corporate</v>
      </c>
      <c r="G1893">
        <f>IFERROR(VLOOKUP(Orders!C1893,Customers!$A$2:$C$301,3,FALSE),"")</f>
        <v>55</v>
      </c>
      <c r="H1893" t="str">
        <f>VLOOKUP(D1893,Sales_Reps!$A$2:$C$31,3,FALSE)</f>
        <v>South</v>
      </c>
      <c r="I1893" s="44">
        <f t="shared" si="61"/>
        <v>45627</v>
      </c>
      <c r="L1893" t="str">
        <f>Orders!K1893</f>
        <v>Delhi</v>
      </c>
      <c r="M1893">
        <f>Orders!G1893</f>
        <v>3660</v>
      </c>
      <c r="N1893">
        <f>IFERROR(VLOOKUP(Orders!D1893,Products!$A$2:$D$61,4,FALSE),"")</f>
        <v>2214</v>
      </c>
      <c r="O1893">
        <f t="shared" si="62"/>
        <v>0.39508196721311473</v>
      </c>
      <c r="Q1893" t="str">
        <f>Orders!D1893</f>
        <v>PROD-028</v>
      </c>
    </row>
    <row r="1894" spans="1:17" x14ac:dyDescent="0.3">
      <c r="A1894" t="str">
        <f>Orders!A1894</f>
        <v>ORD-01893</v>
      </c>
      <c r="B1894">
        <f>Orders!B1894</f>
        <v>45534</v>
      </c>
      <c r="C1894">
        <f>Orders!I1894</f>
        <v>24281.1</v>
      </c>
      <c r="D1894" t="str">
        <f>Orders!E1894</f>
        <v>R011</v>
      </c>
      <c r="E1894" t="str">
        <f>IFERROR(VLOOKUP(Orders!D1894,Products!$A$2:$C$61,3,FALSE),"Unknown")</f>
        <v>Sports</v>
      </c>
      <c r="F1894" t="str">
        <f>IFERROR(VLOOKUP(Orders!C1894,Customers!$A$2:$E$301,5,FALSE),"Unknown")</f>
        <v>Retail</v>
      </c>
      <c r="G1894">
        <f>IFERROR(VLOOKUP(Orders!C1894,Customers!$A$2:$C$301,3,FALSE),"")</f>
        <v>42</v>
      </c>
      <c r="H1894" t="str">
        <f>VLOOKUP(D1894,Sales_Reps!$A$2:$C$31,3,FALSE)</f>
        <v>South</v>
      </c>
      <c r="I1894" s="44">
        <f t="shared" si="61"/>
        <v>45505</v>
      </c>
      <c r="L1894" t="str">
        <f>Orders!K1894</f>
        <v>Bengaluru</v>
      </c>
      <c r="M1894">
        <f>Orders!G1894</f>
        <v>3450</v>
      </c>
      <c r="N1894">
        <f>IFERROR(VLOOKUP(Orders!D1894,Products!$A$2:$D$61,4,FALSE),"")</f>
        <v>2467</v>
      </c>
      <c r="O1894">
        <f t="shared" si="62"/>
        <v>0.28492753623188405</v>
      </c>
      <c r="Q1894" t="str">
        <f>Orders!D1894</f>
        <v>PROD-051</v>
      </c>
    </row>
    <row r="1895" spans="1:17" x14ac:dyDescent="0.3">
      <c r="A1895" t="str">
        <f>Orders!A1895</f>
        <v>ORD-01894</v>
      </c>
      <c r="B1895">
        <f>Orders!B1895</f>
        <v>45410</v>
      </c>
      <c r="C1895">
        <f>Orders!I1895</f>
        <v>29083.5</v>
      </c>
      <c r="D1895" t="str">
        <f>Orders!E1895</f>
        <v>R007</v>
      </c>
      <c r="E1895" t="str">
        <f>IFERROR(VLOOKUP(Orders!D1895,Products!$A$2:$C$61,3,FALSE),"Unknown")</f>
        <v>Apparel</v>
      </c>
      <c r="F1895" t="str">
        <f>IFERROR(VLOOKUP(Orders!C1895,Customers!$A$2:$E$301,5,FALSE),"Unknown")</f>
        <v>SMB</v>
      </c>
      <c r="G1895">
        <f>IFERROR(VLOOKUP(Orders!C1895,Customers!$A$2:$C$301,3,FALSE),"")</f>
        <v>65</v>
      </c>
      <c r="H1895" t="str">
        <f>VLOOKUP(D1895,Sales_Reps!$A$2:$C$31,3,FALSE)</f>
        <v>North</v>
      </c>
      <c r="I1895" s="44">
        <f t="shared" si="61"/>
        <v>45383</v>
      </c>
      <c r="L1895" t="str">
        <f>Orders!K1895</f>
        <v>Hyderabad</v>
      </c>
      <c r="M1895">
        <f>Orders!G1895</f>
        <v>3450</v>
      </c>
      <c r="N1895">
        <f>IFERROR(VLOOKUP(Orders!D1895,Products!$A$2:$D$61,4,FALSE),"")</f>
        <v>1748</v>
      </c>
      <c r="O1895">
        <f t="shared" si="62"/>
        <v>0.49333333333333335</v>
      </c>
      <c r="Q1895" t="str">
        <f>Orders!D1895</f>
        <v>PROD-011</v>
      </c>
    </row>
    <row r="1896" spans="1:17" x14ac:dyDescent="0.3">
      <c r="A1896" t="str">
        <f>Orders!A1896</f>
        <v>ORD-01895</v>
      </c>
      <c r="B1896">
        <f>Orders!B1896</f>
        <v>45412</v>
      </c>
      <c r="C1896">
        <f>Orders!I1896</f>
        <v>7260.88</v>
      </c>
      <c r="D1896" t="str">
        <f>Orders!E1896</f>
        <v>R008</v>
      </c>
      <c r="E1896" t="str">
        <f>IFERROR(VLOOKUP(Orders!D1896,Products!$A$2:$C$61,3,FALSE),"Unknown")</f>
        <v>Grocery</v>
      </c>
      <c r="F1896" t="str">
        <f>IFERROR(VLOOKUP(Orders!C1896,Customers!$A$2:$E$301,5,FALSE),"Unknown")</f>
        <v>Corporate</v>
      </c>
      <c r="G1896">
        <f>IFERROR(VLOOKUP(Orders!C1896,Customers!$A$2:$C$301,3,FALSE),"")</f>
        <v>46</v>
      </c>
      <c r="H1896" t="str">
        <f>VLOOKUP(D1896,Sales_Reps!$A$2:$C$31,3,FALSE)</f>
        <v>North</v>
      </c>
      <c r="I1896" s="44">
        <f t="shared" si="61"/>
        <v>45383</v>
      </c>
      <c r="L1896" t="str">
        <f>Orders!K1896</f>
        <v>Delhi</v>
      </c>
      <c r="M1896">
        <f>Orders!G1896</f>
        <v>4070</v>
      </c>
      <c r="N1896">
        <f>IFERROR(VLOOKUP(Orders!D1896,Products!$A$2:$D$61,4,FALSE),"")</f>
        <v>2027</v>
      </c>
      <c r="O1896">
        <f t="shared" si="62"/>
        <v>0.50196560196560192</v>
      </c>
      <c r="Q1896" t="str">
        <f>Orders!D1896</f>
        <v>PROD-026</v>
      </c>
    </row>
    <row r="1897" spans="1:17" x14ac:dyDescent="0.3">
      <c r="A1897" t="str">
        <f>Orders!A1897</f>
        <v>ORD-01896</v>
      </c>
      <c r="B1897">
        <f>Orders!B1897</f>
        <v>45372</v>
      </c>
      <c r="C1897">
        <f>Orders!I1897</f>
        <v>12534.48</v>
      </c>
      <c r="D1897" t="str">
        <f>Orders!E1897</f>
        <v>R023</v>
      </c>
      <c r="E1897" t="str">
        <f>IFERROR(VLOOKUP(Orders!D1897,Products!$A$2:$C$61,3,FALSE),"Unknown")</f>
        <v>Sports</v>
      </c>
      <c r="F1897" t="str">
        <f>IFERROR(VLOOKUP(Orders!C1897,Customers!$A$2:$E$301,5,FALSE),"Unknown")</f>
        <v>SMB</v>
      </c>
      <c r="G1897">
        <f>IFERROR(VLOOKUP(Orders!C1897,Customers!$A$2:$C$301,3,FALSE),"")</f>
        <v>62</v>
      </c>
      <c r="H1897" t="str">
        <f>VLOOKUP(D1897,Sales_Reps!$A$2:$C$31,3,FALSE)</f>
        <v>East</v>
      </c>
      <c r="I1897" s="44">
        <f t="shared" si="61"/>
        <v>45352</v>
      </c>
      <c r="L1897" t="str">
        <f>Orders!K1897</f>
        <v>Chennai</v>
      </c>
      <c r="M1897">
        <f>Orders!G1897</f>
        <v>3780</v>
      </c>
      <c r="N1897">
        <f>IFERROR(VLOOKUP(Orders!D1897,Products!$A$2:$D$61,4,FALSE),"")</f>
        <v>1860</v>
      </c>
      <c r="O1897">
        <f t="shared" si="62"/>
        <v>0.50793650793650791</v>
      </c>
      <c r="Q1897" t="str">
        <f>Orders!D1897</f>
        <v>PROD-059</v>
      </c>
    </row>
    <row r="1898" spans="1:17" x14ac:dyDescent="0.3">
      <c r="A1898" t="str">
        <f>Orders!A1898</f>
        <v>ORD-01897</v>
      </c>
      <c r="B1898">
        <f>Orders!B1898</f>
        <v>45622</v>
      </c>
      <c r="C1898">
        <f>Orders!I1898</f>
        <v>2691</v>
      </c>
      <c r="D1898" t="str">
        <f>Orders!E1898</f>
        <v>R004</v>
      </c>
      <c r="E1898" t="str">
        <f>IFERROR(VLOOKUP(Orders!D1898,Products!$A$2:$C$61,3,FALSE),"Unknown")</f>
        <v>Grocery</v>
      </c>
      <c r="F1898" t="str">
        <f>IFERROR(VLOOKUP(Orders!C1898,Customers!$A$2:$E$301,5,FALSE),"Unknown")</f>
        <v>Retail</v>
      </c>
      <c r="G1898">
        <f>IFERROR(VLOOKUP(Orders!C1898,Customers!$A$2:$C$301,3,FALSE),"")</f>
        <v>35</v>
      </c>
      <c r="H1898" t="str">
        <f>VLOOKUP(D1898,Sales_Reps!$A$2:$C$31,3,FALSE)</f>
        <v>North</v>
      </c>
      <c r="I1898" s="44">
        <f t="shared" si="61"/>
        <v>45597</v>
      </c>
      <c r="L1898" t="str">
        <f>Orders!K1898</f>
        <v>Mumbai</v>
      </c>
      <c r="M1898">
        <f>Orders!G1898</f>
        <v>2760</v>
      </c>
      <c r="N1898">
        <f>IFERROR(VLOOKUP(Orders!D1898,Products!$A$2:$D$61,4,FALSE),"")</f>
        <v>1435</v>
      </c>
      <c r="O1898">
        <f t="shared" si="62"/>
        <v>0.48007246376811596</v>
      </c>
      <c r="Q1898" t="str">
        <f>Orders!D1898</f>
        <v>PROD-021</v>
      </c>
    </row>
    <row r="1899" spans="1:17" x14ac:dyDescent="0.3">
      <c r="A1899" t="str">
        <f>Orders!A1899</f>
        <v>ORD-01898</v>
      </c>
      <c r="B1899">
        <f>Orders!B1899</f>
        <v>45493</v>
      </c>
      <c r="C1899">
        <f>Orders!I1899</f>
        <v>8686.4</v>
      </c>
      <c r="D1899" t="str">
        <f>Orders!E1899</f>
        <v>R030</v>
      </c>
      <c r="E1899" t="str">
        <f>IFERROR(VLOOKUP(Orders!D1899,Products!$A$2:$C$61,3,FALSE),"Unknown")</f>
        <v>Beauty</v>
      </c>
      <c r="F1899" t="str">
        <f>IFERROR(VLOOKUP(Orders!C1899,Customers!$A$2:$E$301,5,FALSE),"Unknown")</f>
        <v>Corporate</v>
      </c>
      <c r="G1899">
        <f>IFERROR(VLOOKUP(Orders!C1899,Customers!$A$2:$C$301,3,FALSE),"")</f>
        <v>32</v>
      </c>
      <c r="H1899" t="str">
        <f>VLOOKUP(D1899,Sales_Reps!$A$2:$C$31,3,FALSE)</f>
        <v>West</v>
      </c>
      <c r="I1899" s="44">
        <f t="shared" si="61"/>
        <v>45474</v>
      </c>
      <c r="L1899" t="str">
        <f>Orders!K1899</f>
        <v>Hyderabad</v>
      </c>
      <c r="M1899">
        <f>Orders!G1899</f>
        <v>4880</v>
      </c>
      <c r="N1899">
        <f>IFERROR(VLOOKUP(Orders!D1899,Products!$A$2:$D$61,4,FALSE),"")</f>
        <v>2768</v>
      </c>
      <c r="O1899">
        <f t="shared" si="62"/>
        <v>0.43278688524590164</v>
      </c>
      <c r="Q1899" t="str">
        <f>Orders!D1899</f>
        <v>PROD-046</v>
      </c>
    </row>
    <row r="1900" spans="1:17" x14ac:dyDescent="0.3">
      <c r="A1900" t="str">
        <f>Orders!A1900</f>
        <v>ORD-01899</v>
      </c>
      <c r="B1900">
        <f>Orders!B1900</f>
        <v>45580</v>
      </c>
      <c r="C1900">
        <f>Orders!I1900</f>
        <v>17064.599999999999</v>
      </c>
      <c r="D1900" t="str">
        <f>Orders!E1900</f>
        <v>R022</v>
      </c>
      <c r="E1900" t="str">
        <f>IFERROR(VLOOKUP(Orders!D1900,Products!$A$2:$C$61,3,FALSE),"Unknown")</f>
        <v>Grocery</v>
      </c>
      <c r="F1900" t="str">
        <f>IFERROR(VLOOKUP(Orders!C1900,Customers!$A$2:$E$301,5,FALSE),"Unknown")</f>
        <v>Retail</v>
      </c>
      <c r="G1900">
        <f>IFERROR(VLOOKUP(Orders!C1900,Customers!$A$2:$C$301,3,FALSE),"")</f>
        <v>52</v>
      </c>
      <c r="H1900" t="str">
        <f>VLOOKUP(D1900,Sales_Reps!$A$2:$C$31,3,FALSE)</f>
        <v>East</v>
      </c>
      <c r="I1900" s="44">
        <f t="shared" si="61"/>
        <v>45566</v>
      </c>
      <c r="L1900" t="str">
        <f>Orders!K1900</f>
        <v>Mumbai</v>
      </c>
      <c r="M1900">
        <f>Orders!G1900</f>
        <v>2380</v>
      </c>
      <c r="N1900">
        <f>IFERROR(VLOOKUP(Orders!D1900,Products!$A$2:$D$61,4,FALSE),"")</f>
        <v>1182</v>
      </c>
      <c r="O1900">
        <f t="shared" si="62"/>
        <v>0.50336134453781511</v>
      </c>
      <c r="Q1900" t="str">
        <f>Orders!D1900</f>
        <v>PROD-023</v>
      </c>
    </row>
    <row r="1901" spans="1:17" x14ac:dyDescent="0.3">
      <c r="A1901" t="str">
        <f>Orders!A1901</f>
        <v>ORD-01900</v>
      </c>
      <c r="B1901">
        <f>Orders!B1901</f>
        <v>45449</v>
      </c>
      <c r="C1901">
        <f>Orders!I1901</f>
        <v>6107.43</v>
      </c>
      <c r="D1901" t="str">
        <f>Orders!E1901</f>
        <v>R003</v>
      </c>
      <c r="E1901" t="str">
        <f>IFERROR(VLOOKUP(Orders!D1901,Products!$A$2:$C$61,3,FALSE),"Unknown")</f>
        <v>Beauty</v>
      </c>
      <c r="F1901" t="str">
        <f>IFERROR(VLOOKUP(Orders!C1901,Customers!$A$2:$E$301,5,FALSE),"Unknown")</f>
        <v>Corporate</v>
      </c>
      <c r="G1901">
        <f>IFERROR(VLOOKUP(Orders!C1901,Customers!$A$2:$C$301,3,FALSE),"")</f>
        <v>31</v>
      </c>
      <c r="H1901" t="str">
        <f>VLOOKUP(D1901,Sales_Reps!$A$2:$C$31,3,FALSE)</f>
        <v>North</v>
      </c>
      <c r="I1901" s="44">
        <f t="shared" si="61"/>
        <v>45444</v>
      </c>
      <c r="L1901" t="str">
        <f>Orders!K1901</f>
        <v>Bengaluru</v>
      </c>
      <c r="M1901">
        <f>Orders!G1901</f>
        <v>2290</v>
      </c>
      <c r="N1901">
        <f>IFERROR(VLOOKUP(Orders!D1901,Products!$A$2:$D$61,4,FALSE),"")</f>
        <v>1219</v>
      </c>
      <c r="O1901">
        <f t="shared" si="62"/>
        <v>0.46768558951965067</v>
      </c>
      <c r="Q1901" t="str">
        <f>Orders!D1901</f>
        <v>PROD-042</v>
      </c>
    </row>
    <row r="1902" spans="1:17" x14ac:dyDescent="0.3">
      <c r="A1902" t="str">
        <f>Orders!A1902</f>
        <v>ORD-01901</v>
      </c>
      <c r="B1902">
        <f>Orders!B1902</f>
        <v>45417</v>
      </c>
      <c r="C1902">
        <f>Orders!I1902</f>
        <v>13827.6</v>
      </c>
      <c r="D1902" t="str">
        <f>Orders!E1902</f>
        <v>R004</v>
      </c>
      <c r="E1902" t="str">
        <f>IFERROR(VLOOKUP(Orders!D1902,Products!$A$2:$C$61,3,FALSE),"Unknown")</f>
        <v>Grocery</v>
      </c>
      <c r="F1902" t="str">
        <f>IFERROR(VLOOKUP(Orders!C1902,Customers!$A$2:$E$301,5,FALSE),"Unknown")</f>
        <v>Corporate</v>
      </c>
      <c r="G1902">
        <f>IFERROR(VLOOKUP(Orders!C1902,Customers!$A$2:$C$301,3,FALSE),"")</f>
        <v>32</v>
      </c>
      <c r="H1902" t="str">
        <f>VLOOKUP(D1902,Sales_Reps!$A$2:$C$31,3,FALSE)</f>
        <v>North</v>
      </c>
      <c r="I1902" s="44">
        <f t="shared" si="61"/>
        <v>45413</v>
      </c>
      <c r="L1902" t="str">
        <f>Orders!K1902</f>
        <v>Hyderabad</v>
      </c>
      <c r="M1902">
        <f>Orders!G1902</f>
        <v>2760</v>
      </c>
      <c r="N1902">
        <f>IFERROR(VLOOKUP(Orders!D1902,Products!$A$2:$D$61,4,FALSE),"")</f>
        <v>1435</v>
      </c>
      <c r="O1902">
        <f t="shared" si="62"/>
        <v>0.48007246376811596</v>
      </c>
      <c r="Q1902" t="str">
        <f>Orders!D1902</f>
        <v>PROD-021</v>
      </c>
    </row>
    <row r="1903" spans="1:17" x14ac:dyDescent="0.3">
      <c r="A1903" t="str">
        <f>Orders!A1903</f>
        <v>ORD-01902</v>
      </c>
      <c r="B1903">
        <f>Orders!B1903</f>
        <v>45523</v>
      </c>
      <c r="C1903">
        <f>Orders!I1903</f>
        <v>15732.5</v>
      </c>
      <c r="D1903" t="str">
        <f>Orders!E1903</f>
        <v>R027</v>
      </c>
      <c r="E1903" t="str">
        <f>IFERROR(VLOOKUP(Orders!D1903,Products!$A$2:$C$61,3,FALSE),"Unknown")</f>
        <v>Grocery</v>
      </c>
      <c r="F1903" t="str">
        <f>IFERROR(VLOOKUP(Orders!C1903,Customers!$A$2:$E$301,5,FALSE),"Unknown")</f>
        <v>Retail</v>
      </c>
      <c r="G1903">
        <f>IFERROR(VLOOKUP(Orders!C1903,Customers!$A$2:$C$301,3,FALSE),"")</f>
        <v>49</v>
      </c>
      <c r="H1903" t="str">
        <f>VLOOKUP(D1903,Sales_Reps!$A$2:$C$31,3,FALSE)</f>
        <v>West</v>
      </c>
      <c r="I1903" s="44">
        <f t="shared" si="61"/>
        <v>45505</v>
      </c>
      <c r="L1903" t="str">
        <f>Orders!K1903</f>
        <v>Pune</v>
      </c>
      <c r="M1903">
        <f>Orders!G1903</f>
        <v>4060</v>
      </c>
      <c r="N1903">
        <f>IFERROR(VLOOKUP(Orders!D1903,Products!$A$2:$D$61,4,FALSE),"")</f>
        <v>2911</v>
      </c>
      <c r="O1903">
        <f t="shared" si="62"/>
        <v>0.28300492610837441</v>
      </c>
      <c r="Q1903" t="str">
        <f>Orders!D1903</f>
        <v>PROD-025</v>
      </c>
    </row>
    <row r="1904" spans="1:17" x14ac:dyDescent="0.3">
      <c r="A1904" t="str">
        <f>Orders!A1904</f>
        <v>ORD-01903</v>
      </c>
      <c r="B1904">
        <f>Orders!B1904</f>
        <v>45367</v>
      </c>
      <c r="C1904">
        <f>Orders!I1904</f>
        <v>18627.84</v>
      </c>
      <c r="D1904" t="str">
        <f>Orders!E1904</f>
        <v>R006</v>
      </c>
      <c r="E1904" t="str">
        <f>IFERROR(VLOOKUP(Orders!D1904,Products!$A$2:$C$61,3,FALSE),"Unknown")</f>
        <v>Electronics</v>
      </c>
      <c r="F1904" t="str">
        <f>IFERROR(VLOOKUP(Orders!C1904,Customers!$A$2:$E$301,5,FALSE),"Unknown")</f>
        <v>Retail</v>
      </c>
      <c r="G1904">
        <f>IFERROR(VLOOKUP(Orders!C1904,Customers!$A$2:$C$301,3,FALSE),"")</f>
        <v>28</v>
      </c>
      <c r="H1904" t="str">
        <f>VLOOKUP(D1904,Sales_Reps!$A$2:$C$31,3,FALSE)</f>
        <v>North</v>
      </c>
      <c r="I1904" s="44">
        <f t="shared" si="61"/>
        <v>45352</v>
      </c>
      <c r="L1904" t="str">
        <f>Orders!K1904</f>
        <v>Chennai</v>
      </c>
      <c r="M1904">
        <f>Orders!G1904</f>
        <v>2640</v>
      </c>
      <c r="N1904">
        <f>IFERROR(VLOOKUP(Orders!D1904,Products!$A$2:$D$61,4,FALSE),"")</f>
        <v>1149</v>
      </c>
      <c r="O1904">
        <f t="shared" si="62"/>
        <v>0.56477272727272732</v>
      </c>
      <c r="Q1904" t="str">
        <f>Orders!D1904</f>
        <v>PROD-010</v>
      </c>
    </row>
    <row r="1905" spans="1:17" x14ac:dyDescent="0.3">
      <c r="A1905" t="str">
        <f>Orders!A1905</f>
        <v>ORD-01904</v>
      </c>
      <c r="B1905">
        <f>Orders!B1905</f>
        <v>45309</v>
      </c>
      <c r="C1905">
        <f>Orders!I1905</f>
        <v>8261.1200000000008</v>
      </c>
      <c r="D1905" t="str">
        <f>Orders!E1905</f>
        <v>R005</v>
      </c>
      <c r="E1905" t="str">
        <f>IFERROR(VLOOKUP(Orders!D1905,Products!$A$2:$C$61,3,FALSE),"Unknown")</f>
        <v>Home</v>
      </c>
      <c r="F1905" t="str">
        <f>IFERROR(VLOOKUP(Orders!C1905,Customers!$A$2:$E$301,5,FALSE),"Unknown")</f>
        <v>Retail</v>
      </c>
      <c r="G1905">
        <f>IFERROR(VLOOKUP(Orders!C1905,Customers!$A$2:$C$301,3,FALSE),"")</f>
        <v>36</v>
      </c>
      <c r="H1905" t="str">
        <f>VLOOKUP(D1905,Sales_Reps!$A$2:$C$31,3,FALSE)</f>
        <v>North</v>
      </c>
      <c r="I1905" s="44">
        <f t="shared" si="61"/>
        <v>45292</v>
      </c>
      <c r="L1905" t="str">
        <f>Orders!K1905</f>
        <v>Pune</v>
      </c>
      <c r="M1905">
        <f>Orders!G1905</f>
        <v>4610</v>
      </c>
      <c r="N1905">
        <f>IFERROR(VLOOKUP(Orders!D1905,Products!$A$2:$D$61,4,FALSE),"")</f>
        <v>1850</v>
      </c>
      <c r="O1905">
        <f t="shared" si="62"/>
        <v>0.59869848156182215</v>
      </c>
      <c r="Q1905" t="str">
        <f>Orders!D1905</f>
        <v>PROD-039</v>
      </c>
    </row>
    <row r="1906" spans="1:17" x14ac:dyDescent="0.3">
      <c r="A1906" t="str">
        <f>Orders!A1906</f>
        <v>ORD-01905</v>
      </c>
      <c r="B1906">
        <f>Orders!B1906</f>
        <v>45383</v>
      </c>
      <c r="C1906">
        <f>Orders!I1906</f>
        <v>10276.5</v>
      </c>
      <c r="D1906" t="str">
        <f>Orders!E1906</f>
        <v>R028</v>
      </c>
      <c r="E1906" t="str">
        <f>IFERROR(VLOOKUP(Orders!D1906,Products!$A$2:$C$61,3,FALSE),"Unknown")</f>
        <v>Grocery</v>
      </c>
      <c r="F1906" t="str">
        <f>IFERROR(VLOOKUP(Orders!C1906,Customers!$A$2:$E$301,5,FALSE),"Unknown")</f>
        <v>Corporate</v>
      </c>
      <c r="G1906">
        <f>IFERROR(VLOOKUP(Orders!C1906,Customers!$A$2:$C$301,3,FALSE),"")</f>
        <v>29</v>
      </c>
      <c r="H1906" t="str">
        <f>VLOOKUP(D1906,Sales_Reps!$A$2:$C$31,3,FALSE)</f>
        <v>West</v>
      </c>
      <c r="I1906" s="44">
        <f t="shared" si="61"/>
        <v>45383</v>
      </c>
      <c r="L1906" t="str">
        <f>Orders!K1906</f>
        <v>Hyderabad</v>
      </c>
      <c r="M1906">
        <f>Orders!G1906</f>
        <v>2210</v>
      </c>
      <c r="N1906">
        <f>IFERROR(VLOOKUP(Orders!D1906,Products!$A$2:$D$61,4,FALSE),"")</f>
        <v>1010</v>
      </c>
      <c r="O1906">
        <f t="shared" si="62"/>
        <v>0.54298642533936647</v>
      </c>
      <c r="Q1906" t="str">
        <f>Orders!D1906</f>
        <v>PROD-029</v>
      </c>
    </row>
    <row r="1907" spans="1:17" x14ac:dyDescent="0.3">
      <c r="A1907" t="str">
        <f>Orders!A1907</f>
        <v>ORD-01906</v>
      </c>
      <c r="B1907">
        <f>Orders!B1907</f>
        <v>45420</v>
      </c>
      <c r="C1907">
        <f>Orders!I1907</f>
        <v>6939.4</v>
      </c>
      <c r="D1907" t="str">
        <f>Orders!E1907</f>
        <v>R011</v>
      </c>
      <c r="E1907" t="str">
        <f>IFERROR(VLOOKUP(Orders!D1907,Products!$A$2:$C$61,3,FALSE),"Unknown")</f>
        <v>Grocery</v>
      </c>
      <c r="F1907" t="str">
        <f>IFERROR(VLOOKUP(Orders!C1907,Customers!$A$2:$E$301,5,FALSE),"Unknown")</f>
        <v>SMB</v>
      </c>
      <c r="G1907">
        <f>IFERROR(VLOOKUP(Orders!C1907,Customers!$A$2:$C$301,3,FALSE),"")</f>
        <v>29</v>
      </c>
      <c r="H1907" t="str">
        <f>VLOOKUP(D1907,Sales_Reps!$A$2:$C$31,3,FALSE)</f>
        <v>South</v>
      </c>
      <c r="I1907" s="44">
        <f t="shared" si="61"/>
        <v>45413</v>
      </c>
      <c r="L1907" t="str">
        <f>Orders!K1907</f>
        <v>Delhi</v>
      </c>
      <c r="M1907">
        <f>Orders!G1907</f>
        <v>2210</v>
      </c>
      <c r="N1907">
        <f>IFERROR(VLOOKUP(Orders!D1907,Products!$A$2:$D$61,4,FALSE),"")</f>
        <v>1010</v>
      </c>
      <c r="O1907">
        <f t="shared" si="62"/>
        <v>0.54298642533936647</v>
      </c>
      <c r="Q1907" t="str">
        <f>Orders!D1907</f>
        <v>PROD-029</v>
      </c>
    </row>
    <row r="1908" spans="1:17" x14ac:dyDescent="0.3">
      <c r="A1908" t="str">
        <f>Orders!A1908</f>
        <v>ORD-01907</v>
      </c>
      <c r="B1908">
        <f>Orders!B1908</f>
        <v>45400</v>
      </c>
      <c r="C1908">
        <f>Orders!I1908</f>
        <v>4689.18</v>
      </c>
      <c r="D1908" t="str">
        <f>Orders!E1908</f>
        <v>R013</v>
      </c>
      <c r="E1908" t="str">
        <f>IFERROR(VLOOKUP(Orders!D1908,Products!$A$2:$C$61,3,FALSE),"Unknown")</f>
        <v>Home</v>
      </c>
      <c r="F1908" t="str">
        <f>IFERROR(VLOOKUP(Orders!C1908,Customers!$A$2:$E$301,5,FALSE),"Unknown")</f>
        <v>SMB</v>
      </c>
      <c r="G1908">
        <f>IFERROR(VLOOKUP(Orders!C1908,Customers!$A$2:$C$301,3,FALSE),"")</f>
        <v>44</v>
      </c>
      <c r="H1908" t="str">
        <f>VLOOKUP(D1908,Sales_Reps!$A$2:$C$31,3,FALSE)</f>
        <v>South</v>
      </c>
      <c r="I1908" s="44">
        <f t="shared" si="61"/>
        <v>45383</v>
      </c>
      <c r="L1908" t="str">
        <f>Orders!K1908</f>
        <v>Pune</v>
      </c>
      <c r="M1908">
        <f>Orders!G1908</f>
        <v>1090</v>
      </c>
      <c r="N1908">
        <f>IFERROR(VLOOKUP(Orders!D1908,Products!$A$2:$D$61,4,FALSE),"")</f>
        <v>464</v>
      </c>
      <c r="O1908">
        <f t="shared" si="62"/>
        <v>0.57431192660550456</v>
      </c>
      <c r="Q1908" t="str">
        <f>Orders!D1908</f>
        <v>PROD-035</v>
      </c>
    </row>
    <row r="1909" spans="1:17" x14ac:dyDescent="0.3">
      <c r="A1909" t="str">
        <f>Orders!A1909</f>
        <v>ORD-01908</v>
      </c>
      <c r="B1909">
        <f>Orders!B1909</f>
        <v>45625</v>
      </c>
      <c r="C1909">
        <f>Orders!I1909</f>
        <v>2870.46</v>
      </c>
      <c r="D1909" t="str">
        <f>Orders!E1909</f>
        <v>R003</v>
      </c>
      <c r="E1909" t="str">
        <f>IFERROR(VLOOKUP(Orders!D1909,Products!$A$2:$C$61,3,FALSE),"Unknown")</f>
        <v>Home</v>
      </c>
      <c r="F1909" t="str">
        <f>IFERROR(VLOOKUP(Orders!C1909,Customers!$A$2:$E$301,5,FALSE),"Unknown")</f>
        <v>Retail</v>
      </c>
      <c r="G1909">
        <f>IFERROR(VLOOKUP(Orders!C1909,Customers!$A$2:$C$301,3,FALSE),"")</f>
        <v>44</v>
      </c>
      <c r="H1909" t="str">
        <f>VLOOKUP(D1909,Sales_Reps!$A$2:$C$31,3,FALSE)</f>
        <v>North</v>
      </c>
      <c r="I1909" s="44">
        <f t="shared" si="61"/>
        <v>45597</v>
      </c>
      <c r="L1909" t="str">
        <f>Orders!K1909</f>
        <v>Delhi</v>
      </c>
      <c r="M1909">
        <f>Orders!G1909</f>
        <v>370</v>
      </c>
      <c r="N1909">
        <f>IFERROR(VLOOKUP(Orders!D1909,Products!$A$2:$D$61,4,FALSE),"")</f>
        <v>288</v>
      </c>
      <c r="O1909">
        <f t="shared" si="62"/>
        <v>0.22162162162162163</v>
      </c>
      <c r="Q1909" t="str">
        <f>Orders!D1909</f>
        <v>PROD-032</v>
      </c>
    </row>
    <row r="1910" spans="1:17" x14ac:dyDescent="0.3">
      <c r="A1910" t="str">
        <f>Orders!A1910</f>
        <v>ORD-01909</v>
      </c>
      <c r="B1910">
        <f>Orders!B1910</f>
        <v>45555</v>
      </c>
      <c r="C1910">
        <f>Orders!I1910</f>
        <v>34629</v>
      </c>
      <c r="D1910" t="str">
        <f>Orders!E1910</f>
        <v>R025</v>
      </c>
      <c r="E1910" t="str">
        <f>IFERROR(VLOOKUP(Orders!D1910,Products!$A$2:$C$61,3,FALSE),"Unknown")</f>
        <v>Electronics</v>
      </c>
      <c r="F1910" t="str">
        <f>IFERROR(VLOOKUP(Orders!C1910,Customers!$A$2:$E$301,5,FALSE),"Unknown")</f>
        <v>Retail</v>
      </c>
      <c r="G1910">
        <f>IFERROR(VLOOKUP(Orders!C1910,Customers!$A$2:$C$301,3,FALSE),"")</f>
        <v>57</v>
      </c>
      <c r="H1910" t="str">
        <f>VLOOKUP(D1910,Sales_Reps!$A$2:$C$31,3,FALSE)</f>
        <v>West</v>
      </c>
      <c r="I1910" s="44">
        <f t="shared" si="61"/>
        <v>45536</v>
      </c>
      <c r="L1910" t="str">
        <f>Orders!K1910</f>
        <v>Pune</v>
      </c>
      <c r="M1910">
        <f>Orders!G1910</f>
        <v>3570</v>
      </c>
      <c r="N1910">
        <f>IFERROR(VLOOKUP(Orders!D1910,Products!$A$2:$D$61,4,FALSE),"")</f>
        <v>1665</v>
      </c>
      <c r="O1910">
        <f t="shared" si="62"/>
        <v>0.53361344537815125</v>
      </c>
      <c r="Q1910" t="str">
        <f>Orders!D1910</f>
        <v>PROD-003</v>
      </c>
    </row>
    <row r="1911" spans="1:17" x14ac:dyDescent="0.3">
      <c r="A1911" t="str">
        <f>Orders!A1911</f>
        <v>ORD-01910</v>
      </c>
      <c r="B1911">
        <f>Orders!B1911</f>
        <v>45509</v>
      </c>
      <c r="C1911">
        <f>Orders!I1911</f>
        <v>25902.5</v>
      </c>
      <c r="D1911" t="str">
        <f>Orders!E1911</f>
        <v>R016</v>
      </c>
      <c r="E1911" t="str">
        <f>IFERROR(VLOOKUP(Orders!D1911,Products!$A$2:$C$61,3,FALSE),"Unknown")</f>
        <v>Home</v>
      </c>
      <c r="F1911" t="str">
        <f>IFERROR(VLOOKUP(Orders!C1911,Customers!$A$2:$E$301,5,FALSE),"Unknown")</f>
        <v>Retail</v>
      </c>
      <c r="G1911">
        <f>IFERROR(VLOOKUP(Orders!C1911,Customers!$A$2:$C$301,3,FALSE),"")</f>
        <v>42</v>
      </c>
      <c r="H1911" t="str">
        <f>VLOOKUP(D1911,Sales_Reps!$A$2:$C$31,3,FALSE)</f>
        <v>South</v>
      </c>
      <c r="I1911" s="44">
        <f t="shared" si="61"/>
        <v>45505</v>
      </c>
      <c r="L1911" t="str">
        <f>Orders!K1911</f>
        <v>Mumbai</v>
      </c>
      <c r="M1911">
        <f>Orders!G1911</f>
        <v>3250</v>
      </c>
      <c r="N1911">
        <f>IFERROR(VLOOKUP(Orders!D1911,Products!$A$2:$D$61,4,FALSE),"")</f>
        <v>1556</v>
      </c>
      <c r="O1911">
        <f t="shared" si="62"/>
        <v>0.52123076923076928</v>
      </c>
      <c r="Q1911" t="str">
        <f>Orders!D1911</f>
        <v>PROD-036</v>
      </c>
    </row>
    <row r="1912" spans="1:17" x14ac:dyDescent="0.3">
      <c r="A1912" t="str">
        <f>Orders!A1912</f>
        <v>ORD-01911</v>
      </c>
      <c r="B1912">
        <f>Orders!B1912</f>
        <v>45436</v>
      </c>
      <c r="C1912">
        <f>Orders!I1912</f>
        <v>14469</v>
      </c>
      <c r="D1912" t="str">
        <f>Orders!E1912</f>
        <v>R028</v>
      </c>
      <c r="E1912" t="str">
        <f>IFERROR(VLOOKUP(Orders!D1912,Products!$A$2:$C$61,3,FALSE),"Unknown")</f>
        <v>Home</v>
      </c>
      <c r="F1912" t="str">
        <f>IFERROR(VLOOKUP(Orders!C1912,Customers!$A$2:$E$301,5,FALSE),"Unknown")</f>
        <v>Corporate</v>
      </c>
      <c r="G1912">
        <f>IFERROR(VLOOKUP(Orders!C1912,Customers!$A$2:$C$301,3,FALSE),"")</f>
        <v>62</v>
      </c>
      <c r="H1912" t="str">
        <f>VLOOKUP(D1912,Sales_Reps!$A$2:$C$31,3,FALSE)</f>
        <v>West</v>
      </c>
      <c r="I1912" s="44">
        <f t="shared" si="61"/>
        <v>45413</v>
      </c>
      <c r="L1912" t="str">
        <f>Orders!K1912</f>
        <v>Mumbai</v>
      </c>
      <c r="M1912">
        <f>Orders!G1912</f>
        <v>3250</v>
      </c>
      <c r="N1912">
        <f>IFERROR(VLOOKUP(Orders!D1912,Products!$A$2:$D$61,4,FALSE),"")</f>
        <v>1556</v>
      </c>
      <c r="O1912">
        <f t="shared" si="62"/>
        <v>0.52123076923076928</v>
      </c>
      <c r="Q1912" t="str">
        <f>Orders!D1912</f>
        <v>PROD-036</v>
      </c>
    </row>
    <row r="1913" spans="1:17" x14ac:dyDescent="0.3">
      <c r="A1913" t="str">
        <f>Orders!A1913</f>
        <v>ORD-01912</v>
      </c>
      <c r="B1913">
        <f>Orders!B1913</f>
        <v>45610</v>
      </c>
      <c r="C1913">
        <f>Orders!I1913</f>
        <v>6134.4</v>
      </c>
      <c r="D1913" t="str">
        <f>Orders!E1913</f>
        <v>R024</v>
      </c>
      <c r="E1913" t="str">
        <f>IFERROR(VLOOKUP(Orders!D1913,Products!$A$2:$C$61,3,FALSE),"Unknown")</f>
        <v>Sports</v>
      </c>
      <c r="F1913" t="str">
        <f>IFERROR(VLOOKUP(Orders!C1913,Customers!$A$2:$E$301,5,FALSE),"Unknown")</f>
        <v>Retail</v>
      </c>
      <c r="G1913">
        <f>IFERROR(VLOOKUP(Orders!C1913,Customers!$A$2:$C$301,3,FALSE),"")</f>
        <v>49</v>
      </c>
      <c r="H1913" t="str">
        <f>VLOOKUP(D1913,Sales_Reps!$A$2:$C$31,3,FALSE)</f>
        <v>West</v>
      </c>
      <c r="I1913" s="44">
        <f t="shared" si="61"/>
        <v>45597</v>
      </c>
      <c r="L1913" t="str">
        <f>Orders!K1913</f>
        <v>Mumbai</v>
      </c>
      <c r="M1913">
        <f>Orders!G1913</f>
        <v>960</v>
      </c>
      <c r="N1913">
        <f>IFERROR(VLOOKUP(Orders!D1913,Products!$A$2:$D$61,4,FALSE),"")</f>
        <v>705</v>
      </c>
      <c r="O1913">
        <f t="shared" si="62"/>
        <v>0.265625</v>
      </c>
      <c r="Q1913" t="str">
        <f>Orders!D1913</f>
        <v>PROD-057</v>
      </c>
    </row>
    <row r="1914" spans="1:17" x14ac:dyDescent="0.3">
      <c r="A1914" t="str">
        <f>Orders!A1914</f>
        <v>ORD-01913</v>
      </c>
      <c r="B1914">
        <f>Orders!B1914</f>
        <v>45535</v>
      </c>
      <c r="C1914">
        <f>Orders!I1914</f>
        <v>43228.800000000003</v>
      </c>
      <c r="D1914" t="str">
        <f>Orders!E1914</f>
        <v>R015</v>
      </c>
      <c r="E1914" t="str">
        <f>IFERROR(VLOOKUP(Orders!D1914,Products!$A$2:$C$61,3,FALSE),"Unknown")</f>
        <v>Beauty</v>
      </c>
      <c r="F1914" t="str">
        <f>IFERROR(VLOOKUP(Orders!C1914,Customers!$A$2:$E$301,5,FALSE),"Unknown")</f>
        <v>SMB</v>
      </c>
      <c r="G1914">
        <f>IFERROR(VLOOKUP(Orders!C1914,Customers!$A$2:$C$301,3,FALSE),"")</f>
        <v>38</v>
      </c>
      <c r="H1914" t="str">
        <f>VLOOKUP(D1914,Sales_Reps!$A$2:$C$31,3,FALSE)</f>
        <v>South</v>
      </c>
      <c r="I1914" s="44">
        <f t="shared" si="61"/>
        <v>45505</v>
      </c>
      <c r="L1914" t="str">
        <f>Orders!K1914</f>
        <v>Delhi</v>
      </c>
      <c r="M1914">
        <f>Orders!G1914</f>
        <v>6080</v>
      </c>
      <c r="N1914">
        <f>IFERROR(VLOOKUP(Orders!D1914,Products!$A$2:$D$61,4,FALSE),"")</f>
        <v>2617</v>
      </c>
      <c r="O1914">
        <f t="shared" si="62"/>
        <v>0.56957236842105263</v>
      </c>
      <c r="Q1914" t="str">
        <f>Orders!D1914</f>
        <v>PROD-050</v>
      </c>
    </row>
    <row r="1915" spans="1:17" x14ac:dyDescent="0.3">
      <c r="A1915" t="str">
        <f>Orders!A1915</f>
        <v>ORD-01914</v>
      </c>
      <c r="B1915">
        <f>Orders!B1915</f>
        <v>45366</v>
      </c>
      <c r="C1915">
        <f>Orders!I1915</f>
        <v>23925.9</v>
      </c>
      <c r="D1915" t="str">
        <f>Orders!E1915</f>
        <v>R020</v>
      </c>
      <c r="E1915" t="str">
        <f>IFERROR(VLOOKUP(Orders!D1915,Products!$A$2:$C$61,3,FALSE),"Unknown")</f>
        <v>Home</v>
      </c>
      <c r="F1915" t="str">
        <f>IFERROR(VLOOKUP(Orders!C1915,Customers!$A$2:$E$301,5,FALSE),"Unknown")</f>
        <v>Retail</v>
      </c>
      <c r="G1915">
        <f>IFERROR(VLOOKUP(Orders!C1915,Customers!$A$2:$C$301,3,FALSE),"")</f>
        <v>34</v>
      </c>
      <c r="H1915" t="str">
        <f>VLOOKUP(D1915,Sales_Reps!$A$2:$C$31,3,FALSE)</f>
        <v>East</v>
      </c>
      <c r="I1915" s="44">
        <f t="shared" si="61"/>
        <v>45352</v>
      </c>
      <c r="L1915" t="str">
        <f>Orders!K1915</f>
        <v>Mumbai</v>
      </c>
      <c r="M1915">
        <f>Orders!G1915</f>
        <v>4610</v>
      </c>
      <c r="N1915">
        <f>IFERROR(VLOOKUP(Orders!D1915,Products!$A$2:$D$61,4,FALSE),"")</f>
        <v>1850</v>
      </c>
      <c r="O1915">
        <f t="shared" si="62"/>
        <v>0.59869848156182215</v>
      </c>
      <c r="Q1915" t="str">
        <f>Orders!D1915</f>
        <v>PROD-039</v>
      </c>
    </row>
    <row r="1916" spans="1:17" x14ac:dyDescent="0.3">
      <c r="A1916" t="str">
        <f>Orders!A1916</f>
        <v>ORD-01915</v>
      </c>
      <c r="B1916">
        <f>Orders!B1916</f>
        <v>45446</v>
      </c>
      <c r="C1916">
        <f>Orders!I1916</f>
        <v>26527.759999999998</v>
      </c>
      <c r="D1916" t="str">
        <f>Orders!E1916</f>
        <v>R021</v>
      </c>
      <c r="E1916" t="str">
        <f>IFERROR(VLOOKUP(Orders!D1916,Products!$A$2:$C$61,3,FALSE),"Unknown")</f>
        <v>Home</v>
      </c>
      <c r="F1916" t="str">
        <f>IFERROR(VLOOKUP(Orders!C1916,Customers!$A$2:$E$301,5,FALSE),"Unknown")</f>
        <v>Corporate</v>
      </c>
      <c r="G1916">
        <f>IFERROR(VLOOKUP(Orders!C1916,Customers!$A$2:$C$301,3,FALSE),"")</f>
        <v>34</v>
      </c>
      <c r="H1916" t="str">
        <f>VLOOKUP(D1916,Sales_Reps!$A$2:$C$31,3,FALSE)</f>
        <v>East</v>
      </c>
      <c r="I1916" s="44">
        <f t="shared" si="61"/>
        <v>45444</v>
      </c>
      <c r="L1916" t="str">
        <f>Orders!K1916</f>
        <v>Chennai</v>
      </c>
      <c r="M1916">
        <f>Orders!G1916</f>
        <v>5080</v>
      </c>
      <c r="N1916">
        <f>IFERROR(VLOOKUP(Orders!D1916,Products!$A$2:$D$61,4,FALSE),"")</f>
        <v>2459</v>
      </c>
      <c r="O1916">
        <f t="shared" si="62"/>
        <v>0.51594488188976373</v>
      </c>
      <c r="Q1916" t="str">
        <f>Orders!D1916</f>
        <v>PROD-034</v>
      </c>
    </row>
    <row r="1917" spans="1:17" x14ac:dyDescent="0.3">
      <c r="A1917" t="str">
        <f>Orders!A1917</f>
        <v>ORD-01916</v>
      </c>
      <c r="B1917">
        <f>Orders!B1917</f>
        <v>45550</v>
      </c>
      <c r="C1917">
        <f>Orders!I1917</f>
        <v>16381.5</v>
      </c>
      <c r="D1917" t="str">
        <f>Orders!E1917</f>
        <v>R017</v>
      </c>
      <c r="E1917" t="str">
        <f>IFERROR(VLOOKUP(Orders!D1917,Products!$A$2:$C$61,3,FALSE),"Unknown")</f>
        <v>Beauty</v>
      </c>
      <c r="F1917" t="str">
        <f>IFERROR(VLOOKUP(Orders!C1917,Customers!$A$2:$E$301,5,FALSE),"Unknown")</f>
        <v>Retail</v>
      </c>
      <c r="G1917">
        <f>IFERROR(VLOOKUP(Orders!C1917,Customers!$A$2:$C$301,3,FALSE),"")</f>
        <v>65</v>
      </c>
      <c r="H1917" t="str">
        <f>VLOOKUP(D1917,Sales_Reps!$A$2:$C$31,3,FALSE)</f>
        <v>East</v>
      </c>
      <c r="I1917" s="44">
        <f t="shared" si="61"/>
        <v>45536</v>
      </c>
      <c r="L1917" t="str">
        <f>Orders!K1917</f>
        <v>Mumbai</v>
      </c>
      <c r="M1917">
        <f>Orders!G1917</f>
        <v>3350</v>
      </c>
      <c r="N1917">
        <f>IFERROR(VLOOKUP(Orders!D1917,Products!$A$2:$D$61,4,FALSE),"")</f>
        <v>1728</v>
      </c>
      <c r="O1917">
        <f t="shared" si="62"/>
        <v>0.48417910447761192</v>
      </c>
      <c r="Q1917" t="str">
        <f>Orders!D1917</f>
        <v>PROD-043</v>
      </c>
    </row>
    <row r="1918" spans="1:17" x14ac:dyDescent="0.3">
      <c r="A1918" t="str">
        <f>Orders!A1918</f>
        <v>ORD-01917</v>
      </c>
      <c r="B1918">
        <f>Orders!B1918</f>
        <v>45600</v>
      </c>
      <c r="C1918">
        <f>Orders!I1918</f>
        <v>3262.14</v>
      </c>
      <c r="D1918" t="str">
        <f>Orders!E1918</f>
        <v>R014</v>
      </c>
      <c r="E1918" t="str">
        <f>IFERROR(VLOOKUP(Orders!D1918,Products!$A$2:$C$61,3,FALSE),"Unknown")</f>
        <v>Grocery</v>
      </c>
      <c r="F1918" t="str">
        <f>IFERROR(VLOOKUP(Orders!C1918,Customers!$A$2:$E$301,5,FALSE),"Unknown")</f>
        <v>Retail</v>
      </c>
      <c r="G1918">
        <f>IFERROR(VLOOKUP(Orders!C1918,Customers!$A$2:$C$301,3,FALSE),"")</f>
        <v>55</v>
      </c>
      <c r="H1918" t="str">
        <f>VLOOKUP(D1918,Sales_Reps!$A$2:$C$31,3,FALSE)</f>
        <v>South</v>
      </c>
      <c r="I1918" s="44">
        <f t="shared" si="61"/>
        <v>45597</v>
      </c>
      <c r="L1918" t="str">
        <f>Orders!K1918</f>
        <v>Delhi</v>
      </c>
      <c r="M1918">
        <f>Orders!G1918</f>
        <v>3780</v>
      </c>
      <c r="N1918">
        <f>IFERROR(VLOOKUP(Orders!D1918,Products!$A$2:$D$61,4,FALSE),"")</f>
        <v>2436</v>
      </c>
      <c r="O1918">
        <f t="shared" si="62"/>
        <v>0.35555555555555557</v>
      </c>
      <c r="Q1918" t="str">
        <f>Orders!D1918</f>
        <v>PROD-027</v>
      </c>
    </row>
    <row r="1919" spans="1:17" x14ac:dyDescent="0.3">
      <c r="A1919" t="str">
        <f>Orders!A1919</f>
        <v>ORD-01918</v>
      </c>
      <c r="B1919">
        <f>Orders!B1919</f>
        <v>45352</v>
      </c>
      <c r="C1919">
        <f>Orders!I1919</f>
        <v>17255.68</v>
      </c>
      <c r="D1919" t="str">
        <f>Orders!E1919</f>
        <v>R020</v>
      </c>
      <c r="E1919" t="str">
        <f>IFERROR(VLOOKUP(Orders!D1919,Products!$A$2:$C$61,3,FALSE),"Unknown")</f>
        <v>Beauty</v>
      </c>
      <c r="F1919" t="str">
        <f>IFERROR(VLOOKUP(Orders!C1919,Customers!$A$2:$E$301,5,FALSE),"Unknown")</f>
        <v>Corporate</v>
      </c>
      <c r="G1919">
        <f>IFERROR(VLOOKUP(Orders!C1919,Customers!$A$2:$C$301,3,FALSE),"")</f>
        <v>55</v>
      </c>
      <c r="H1919" t="str">
        <f>VLOOKUP(D1919,Sales_Reps!$A$2:$C$31,3,FALSE)</f>
        <v>East</v>
      </c>
      <c r="I1919" s="44">
        <f t="shared" si="61"/>
        <v>45352</v>
      </c>
      <c r="L1919" t="str">
        <f>Orders!K1919</f>
        <v>Chennai</v>
      </c>
      <c r="M1919">
        <f>Orders!G1919</f>
        <v>4880</v>
      </c>
      <c r="N1919">
        <f>IFERROR(VLOOKUP(Orders!D1919,Products!$A$2:$D$61,4,FALSE),"")</f>
        <v>2768</v>
      </c>
      <c r="O1919">
        <f t="shared" si="62"/>
        <v>0.43278688524590164</v>
      </c>
      <c r="Q1919" t="str">
        <f>Orders!D1919</f>
        <v>PROD-046</v>
      </c>
    </row>
    <row r="1920" spans="1:17" x14ac:dyDescent="0.3">
      <c r="A1920" t="str">
        <f>Orders!A1920</f>
        <v>ORD-01919</v>
      </c>
      <c r="B1920">
        <f>Orders!B1920</f>
        <v>45385</v>
      </c>
      <c r="C1920">
        <f>Orders!I1920</f>
        <v>11597.4</v>
      </c>
      <c r="D1920" t="str">
        <f>Orders!E1920</f>
        <v>R029</v>
      </c>
      <c r="E1920" t="str">
        <f>IFERROR(VLOOKUP(Orders!D1920,Products!$A$2:$C$61,3,FALSE),"Unknown")</f>
        <v>Beauty</v>
      </c>
      <c r="F1920" t="str">
        <f>IFERROR(VLOOKUP(Orders!C1920,Customers!$A$2:$E$301,5,FALSE),"Unknown")</f>
        <v>Corporate</v>
      </c>
      <c r="G1920">
        <f>IFERROR(VLOOKUP(Orders!C1920,Customers!$A$2:$C$301,3,FALSE),"")</f>
        <v>41</v>
      </c>
      <c r="H1920" t="str">
        <f>VLOOKUP(D1920,Sales_Reps!$A$2:$C$31,3,FALSE)</f>
        <v>West</v>
      </c>
      <c r="I1920" s="44">
        <f t="shared" si="61"/>
        <v>45383</v>
      </c>
      <c r="L1920" t="str">
        <f>Orders!K1920</f>
        <v xml:space="preserve"> Chennai </v>
      </c>
      <c r="M1920">
        <f>Orders!G1920</f>
        <v>5100</v>
      </c>
      <c r="N1920">
        <f>IFERROR(VLOOKUP(Orders!D1920,Products!$A$2:$D$61,4,FALSE),"")</f>
        <v>2237</v>
      </c>
      <c r="O1920">
        <f t="shared" si="62"/>
        <v>0.56137254901960787</v>
      </c>
      <c r="Q1920" t="str">
        <f>Orders!D1920</f>
        <v>PROD-048</v>
      </c>
    </row>
    <row r="1921" spans="1:17" x14ac:dyDescent="0.3">
      <c r="A1921" t="str">
        <f>Orders!A1921</f>
        <v>ORD-01920</v>
      </c>
      <c r="B1921">
        <f>Orders!B1921</f>
        <v>45634</v>
      </c>
      <c r="C1921">
        <f>Orders!I1921</f>
        <v>12674.9</v>
      </c>
      <c r="D1921" t="str">
        <f>Orders!E1921</f>
        <v>R023</v>
      </c>
      <c r="E1921" t="str">
        <f>IFERROR(VLOOKUP(Orders!D1921,Products!$A$2:$C$61,3,FALSE),"Unknown")</f>
        <v>Electronics</v>
      </c>
      <c r="F1921" t="str">
        <f>IFERROR(VLOOKUP(Orders!C1921,Customers!$A$2:$E$301,5,FALSE),"Unknown")</f>
        <v>Retail</v>
      </c>
      <c r="G1921">
        <f>IFERROR(VLOOKUP(Orders!C1921,Customers!$A$2:$C$301,3,FALSE),"")</f>
        <v>27</v>
      </c>
      <c r="H1921" t="str">
        <f>VLOOKUP(D1921,Sales_Reps!$A$2:$C$31,3,FALSE)</f>
        <v>East</v>
      </c>
      <c r="I1921" s="44">
        <f t="shared" si="61"/>
        <v>45627</v>
      </c>
      <c r="L1921" t="str">
        <f>Orders!K1921</f>
        <v>Bengaluru</v>
      </c>
      <c r="M1921">
        <f>Orders!G1921</f>
        <v>2660</v>
      </c>
      <c r="N1921">
        <f>IFERROR(VLOOKUP(Orders!D1921,Products!$A$2:$D$61,4,FALSE),"")</f>
        <v>1259</v>
      </c>
      <c r="O1921">
        <f t="shared" si="62"/>
        <v>0.52669172932330832</v>
      </c>
      <c r="Q1921" t="str">
        <f>Orders!D1921</f>
        <v>PROD-008</v>
      </c>
    </row>
    <row r="1922" spans="1:17" x14ac:dyDescent="0.3">
      <c r="A1922" t="str">
        <f>Orders!A1922</f>
        <v>ORD-01921</v>
      </c>
      <c r="B1922">
        <f>Orders!B1922</f>
        <v>45444</v>
      </c>
      <c r="C1922">
        <f>Orders!I1922</f>
        <v>23562</v>
      </c>
      <c r="D1922" t="str">
        <f>Orders!E1922</f>
        <v>R017</v>
      </c>
      <c r="E1922" t="str">
        <f>IFERROR(VLOOKUP(Orders!D1922,Products!$A$2:$C$61,3,FALSE),"Unknown")</f>
        <v>Grocery</v>
      </c>
      <c r="F1922" t="str">
        <f>IFERROR(VLOOKUP(Orders!C1922,Customers!$A$2:$E$301,5,FALSE),"Unknown")</f>
        <v>SMB</v>
      </c>
      <c r="G1922">
        <f>IFERROR(VLOOKUP(Orders!C1922,Customers!$A$2:$C$301,3,FALSE),"")</f>
        <v>28</v>
      </c>
      <c r="H1922" t="str">
        <f>VLOOKUP(D1922,Sales_Reps!$A$2:$C$31,3,FALSE)</f>
        <v>East</v>
      </c>
      <c r="I1922" s="44">
        <f t="shared" si="61"/>
        <v>45444</v>
      </c>
      <c r="L1922" t="str">
        <f>Orders!K1922</f>
        <v>Delhi</v>
      </c>
      <c r="M1922">
        <f>Orders!G1922</f>
        <v>2380</v>
      </c>
      <c r="N1922">
        <f>IFERROR(VLOOKUP(Orders!D1922,Products!$A$2:$D$61,4,FALSE),"")</f>
        <v>1182</v>
      </c>
      <c r="O1922">
        <f t="shared" si="62"/>
        <v>0.50336134453781511</v>
      </c>
      <c r="Q1922" t="str">
        <f>Orders!D1922</f>
        <v>PROD-023</v>
      </c>
    </row>
    <row r="1923" spans="1:17" x14ac:dyDescent="0.3">
      <c r="A1923" t="str">
        <f>Orders!A1923</f>
        <v>ORD-01922</v>
      </c>
      <c r="B1923">
        <f>Orders!B1923</f>
        <v>45553</v>
      </c>
      <c r="C1923">
        <f>Orders!I1923</f>
        <v>40757.760000000002</v>
      </c>
      <c r="D1923" t="str">
        <f>Orders!E1923</f>
        <v>R002</v>
      </c>
      <c r="E1923" t="str">
        <f>IFERROR(VLOOKUP(Orders!D1923,Products!$A$2:$C$61,3,FALSE),"Unknown")</f>
        <v>Beauty</v>
      </c>
      <c r="F1923" t="str">
        <f>IFERROR(VLOOKUP(Orders!C1923,Customers!$A$2:$E$301,5,FALSE),"Unknown")</f>
        <v>Retail</v>
      </c>
      <c r="G1923">
        <f>IFERROR(VLOOKUP(Orders!C1923,Customers!$A$2:$C$301,3,FALSE),"")</f>
        <v>36</v>
      </c>
      <c r="H1923" t="str">
        <f>VLOOKUP(D1923,Sales_Reps!$A$2:$C$31,3,FALSE)</f>
        <v>North</v>
      </c>
      <c r="I1923" s="44">
        <f t="shared" ref="I1923:I1986" si="63">DATE(YEAR(B1923),MONTH(B1923),1)</f>
        <v>45536</v>
      </c>
      <c r="L1923" t="str">
        <f>Orders!K1923</f>
        <v>Pune</v>
      </c>
      <c r="M1923">
        <f>Orders!G1923</f>
        <v>4880</v>
      </c>
      <c r="N1923">
        <f>IFERROR(VLOOKUP(Orders!D1923,Products!$A$2:$D$61,4,FALSE),"")</f>
        <v>2768</v>
      </c>
      <c r="O1923">
        <f t="shared" ref="O1923:O1986" si="64">IF(OR(N1923="",M1923&lt;=0),"",(M1923-N1923)/M1923)</f>
        <v>0.43278688524590164</v>
      </c>
      <c r="Q1923" t="str">
        <f>Orders!D1923</f>
        <v>PROD-046</v>
      </c>
    </row>
    <row r="1924" spans="1:17" x14ac:dyDescent="0.3">
      <c r="A1924" t="str">
        <f>Orders!A1924</f>
        <v>ORD-01923</v>
      </c>
      <c r="B1924">
        <f>Orders!B1924</f>
        <v>45411</v>
      </c>
      <c r="C1924">
        <f>Orders!I1924</f>
        <v>3159.31</v>
      </c>
      <c r="D1924" t="str">
        <f>Orders!E1924</f>
        <v>R014</v>
      </c>
      <c r="E1924" t="str">
        <f>IFERROR(VLOOKUP(Orders!D1924,Products!$A$2:$C$61,3,FALSE),"Unknown")</f>
        <v>Home</v>
      </c>
      <c r="F1924" t="str">
        <f>IFERROR(VLOOKUP(Orders!C1924,Customers!$A$2:$E$301,5,FALSE),"Unknown")</f>
        <v>SMB</v>
      </c>
      <c r="G1924">
        <f>IFERROR(VLOOKUP(Orders!C1924,Customers!$A$2:$C$301,3,FALSE),"")</f>
        <v>25</v>
      </c>
      <c r="H1924" t="str">
        <f>VLOOKUP(D1924,Sales_Reps!$A$2:$C$31,3,FALSE)</f>
        <v>South</v>
      </c>
      <c r="I1924" s="44">
        <f t="shared" si="63"/>
        <v>45383</v>
      </c>
      <c r="L1924" t="str">
        <f>Orders!K1924</f>
        <v>Hyderabad</v>
      </c>
      <c r="M1924">
        <f>Orders!G1924</f>
        <v>3730</v>
      </c>
      <c r="N1924">
        <f>IFERROR(VLOOKUP(Orders!D1924,Products!$A$2:$D$61,4,FALSE),"")</f>
        <v>2135</v>
      </c>
      <c r="O1924">
        <f t="shared" si="64"/>
        <v>0.42761394101876676</v>
      </c>
      <c r="Q1924" t="str">
        <f>Orders!D1924</f>
        <v>PROD-031</v>
      </c>
    </row>
    <row r="1925" spans="1:17" x14ac:dyDescent="0.3">
      <c r="A1925" t="str">
        <f>Orders!A1925</f>
        <v>ORD-01924</v>
      </c>
      <c r="B1925">
        <f>Orders!B1925</f>
        <v>45442</v>
      </c>
      <c r="C1925">
        <f>Orders!I1925</f>
        <v>36779.4</v>
      </c>
      <c r="D1925" t="str">
        <f>Orders!E1925</f>
        <v>R003</v>
      </c>
      <c r="E1925" t="str">
        <f>IFERROR(VLOOKUP(Orders!D1925,Products!$A$2:$C$61,3,FALSE),"Unknown")</f>
        <v>Sports</v>
      </c>
      <c r="F1925" t="str">
        <f>IFERROR(VLOOKUP(Orders!C1925,Customers!$A$2:$E$301,5,FALSE),"Unknown")</f>
        <v>Retail</v>
      </c>
      <c r="G1925">
        <f>IFERROR(VLOOKUP(Orders!C1925,Customers!$A$2:$C$301,3,FALSE),"")</f>
        <v>27</v>
      </c>
      <c r="H1925" t="str">
        <f>VLOOKUP(D1925,Sales_Reps!$A$2:$C$31,3,FALSE)</f>
        <v>North</v>
      </c>
      <c r="I1925" s="44">
        <f t="shared" si="63"/>
        <v>45413</v>
      </c>
      <c r="L1925" t="str">
        <f>Orders!K1925</f>
        <v>Bengaluru</v>
      </c>
      <c r="M1925">
        <f>Orders!G1925</f>
        <v>3780</v>
      </c>
      <c r="N1925">
        <f>IFERROR(VLOOKUP(Orders!D1925,Products!$A$2:$D$61,4,FALSE),"")</f>
        <v>1860</v>
      </c>
      <c r="O1925">
        <f t="shared" si="64"/>
        <v>0.50793650793650791</v>
      </c>
      <c r="Q1925" t="str">
        <f>Orders!D1925</f>
        <v>PROD-059</v>
      </c>
    </row>
    <row r="1926" spans="1:17" x14ac:dyDescent="0.3">
      <c r="A1926" t="str">
        <f>Orders!A1926</f>
        <v>ORD-01925</v>
      </c>
      <c r="B1926">
        <f>Orders!B1926</f>
        <v>45381</v>
      </c>
      <c r="C1926">
        <f>Orders!I1926</f>
        <v>5574.8</v>
      </c>
      <c r="D1926" t="str">
        <f>Orders!E1926</f>
        <v>R023</v>
      </c>
      <c r="E1926" t="str">
        <f>IFERROR(VLOOKUP(Orders!D1926,Products!$A$2:$C$61,3,FALSE),"Unknown")</f>
        <v>Apparel</v>
      </c>
      <c r="F1926" t="str">
        <f>IFERROR(VLOOKUP(Orders!C1926,Customers!$A$2:$E$301,5,FALSE),"Unknown")</f>
        <v>SMB</v>
      </c>
      <c r="G1926">
        <f>IFERROR(VLOOKUP(Orders!C1926,Customers!$A$2:$C$301,3,FALSE),"")</f>
        <v>51</v>
      </c>
      <c r="H1926" t="str">
        <f>VLOOKUP(D1926,Sales_Reps!$A$2:$C$31,3,FALSE)</f>
        <v>East</v>
      </c>
      <c r="I1926" s="44">
        <f t="shared" si="63"/>
        <v>45352</v>
      </c>
      <c r="L1926" t="str">
        <f>Orders!K1926</f>
        <v>Chennai</v>
      </c>
      <c r="M1926">
        <f>Orders!G1926</f>
        <v>3620</v>
      </c>
      <c r="N1926">
        <f>IFERROR(VLOOKUP(Orders!D1926,Products!$A$2:$D$61,4,FALSE),"")</f>
        <v>2509</v>
      </c>
      <c r="O1926">
        <f t="shared" si="64"/>
        <v>0.3069060773480663</v>
      </c>
      <c r="Q1926" t="str">
        <f>Orders!D1926</f>
        <v>PROD-014</v>
      </c>
    </row>
    <row r="1927" spans="1:17" x14ac:dyDescent="0.3">
      <c r="A1927" t="str">
        <f>Orders!A1927</f>
        <v>ORD-01926</v>
      </c>
      <c r="B1927">
        <f>Orders!B1927</f>
        <v>45536</v>
      </c>
      <c r="C1927">
        <f>Orders!I1927</f>
        <v>36621.72</v>
      </c>
      <c r="D1927" t="str">
        <f>Orders!E1927</f>
        <v>R021</v>
      </c>
      <c r="E1927" t="str">
        <f>IFERROR(VLOOKUP(Orders!D1927,Products!$A$2:$C$61,3,FALSE),"Unknown")</f>
        <v>Home</v>
      </c>
      <c r="F1927" t="str">
        <f>IFERROR(VLOOKUP(Orders!C1927,Customers!$A$2:$E$301,5,FALSE),"Unknown")</f>
        <v>Retail</v>
      </c>
      <c r="G1927">
        <f>IFERROR(VLOOKUP(Orders!C1927,Customers!$A$2:$C$301,3,FALSE),"")</f>
        <v>33</v>
      </c>
      <c r="H1927" t="str">
        <f>VLOOKUP(D1927,Sales_Reps!$A$2:$C$31,3,FALSE)</f>
        <v>East</v>
      </c>
      <c r="I1927" s="44">
        <f t="shared" si="63"/>
        <v>45536</v>
      </c>
      <c r="L1927" t="str">
        <f>Orders!K1927</f>
        <v>Mumbai</v>
      </c>
      <c r="M1927">
        <f>Orders!G1927</f>
        <v>5080</v>
      </c>
      <c r="N1927">
        <f>IFERROR(VLOOKUP(Orders!D1927,Products!$A$2:$D$61,4,FALSE),"")</f>
        <v>2459</v>
      </c>
      <c r="O1927">
        <f t="shared" si="64"/>
        <v>0.51594488188976373</v>
      </c>
      <c r="Q1927" t="str">
        <f>Orders!D1927</f>
        <v>PROD-034</v>
      </c>
    </row>
    <row r="1928" spans="1:17" x14ac:dyDescent="0.3">
      <c r="A1928" t="str">
        <f>Orders!A1928</f>
        <v>ORD-01927</v>
      </c>
      <c r="B1928">
        <f>Orders!B1928</f>
        <v>45561</v>
      </c>
      <c r="C1928">
        <f>Orders!I1928</f>
        <v>6728.4</v>
      </c>
      <c r="D1928" t="str">
        <f>Orders!E1928</f>
        <v>R024</v>
      </c>
      <c r="E1928" t="str">
        <f>IFERROR(VLOOKUP(Orders!D1928,Products!$A$2:$C$61,3,FALSE),"Unknown")</f>
        <v>Apparel</v>
      </c>
      <c r="F1928" t="str">
        <f>IFERROR(VLOOKUP(Orders!C1928,Customers!$A$2:$E$301,5,FALSE),"Unknown")</f>
        <v>SMB</v>
      </c>
      <c r="G1928">
        <f>IFERROR(VLOOKUP(Orders!C1928,Customers!$A$2:$C$301,3,FALSE),"")</f>
        <v>28</v>
      </c>
      <c r="H1928" t="str">
        <f>VLOOKUP(D1928,Sales_Reps!$A$2:$C$31,3,FALSE)</f>
        <v>West</v>
      </c>
      <c r="I1928" s="44">
        <f t="shared" si="63"/>
        <v>45536</v>
      </c>
      <c r="L1928" t="str">
        <f>Orders!K1928</f>
        <v>Bengaluru</v>
      </c>
      <c r="M1928">
        <f>Orders!G1928</f>
        <v>3560</v>
      </c>
      <c r="N1928">
        <f>IFERROR(VLOOKUP(Orders!D1928,Products!$A$2:$D$61,4,FALSE),"")</f>
        <v>2629</v>
      </c>
      <c r="O1928">
        <f t="shared" si="64"/>
        <v>0.26151685393258428</v>
      </c>
      <c r="Q1928" t="str">
        <f>Orders!D1928</f>
        <v>PROD-018</v>
      </c>
    </row>
    <row r="1929" spans="1:17" x14ac:dyDescent="0.3">
      <c r="A1929" t="str">
        <f>Orders!A1929</f>
        <v>ORD-01928</v>
      </c>
      <c r="B1929">
        <f>Orders!B1929</f>
        <v>45349</v>
      </c>
      <c r="C1929">
        <f>Orders!I1929</f>
        <v>4510.5</v>
      </c>
      <c r="D1929" t="str">
        <f>Orders!E1929</f>
        <v>R001</v>
      </c>
      <c r="E1929" t="str">
        <f>IFERROR(VLOOKUP(Orders!D1929,Products!$A$2:$C$61,3,FALSE),"Unknown")</f>
        <v>Grocery</v>
      </c>
      <c r="F1929" t="str">
        <f>IFERROR(VLOOKUP(Orders!C1929,Customers!$A$2:$E$301,5,FALSE),"Unknown")</f>
        <v>Retail</v>
      </c>
      <c r="G1929">
        <f>IFERROR(VLOOKUP(Orders!C1929,Customers!$A$2:$C$301,3,FALSE),"")</f>
        <v>37</v>
      </c>
      <c r="H1929" t="str">
        <f>VLOOKUP(D1929,Sales_Reps!$A$2:$C$31,3,FALSE)</f>
        <v>North</v>
      </c>
      <c r="I1929" s="44">
        <f t="shared" si="63"/>
        <v>45323</v>
      </c>
      <c r="L1929" t="str">
        <f>Orders!K1929</f>
        <v>Mumbai</v>
      </c>
      <c r="M1929">
        <f>Orders!G1929</f>
        <v>970</v>
      </c>
      <c r="N1929">
        <f>IFERROR(VLOOKUP(Orders!D1929,Products!$A$2:$D$61,4,FALSE),"")</f>
        <v>434</v>
      </c>
      <c r="O1929">
        <f t="shared" si="64"/>
        <v>0.5525773195876289</v>
      </c>
      <c r="Q1929" t="str">
        <f>Orders!D1929</f>
        <v>PROD-030</v>
      </c>
    </row>
    <row r="1930" spans="1:17" x14ac:dyDescent="0.3">
      <c r="A1930" t="str">
        <f>Orders!A1930</f>
        <v>ORD-01929</v>
      </c>
      <c r="B1930">
        <f>Orders!B1930</f>
        <v>45650</v>
      </c>
      <c r="C1930">
        <f>Orders!I1930</f>
        <v>28612.35</v>
      </c>
      <c r="D1930" t="str">
        <f>Orders!E1930</f>
        <v>R014</v>
      </c>
      <c r="E1930" t="str">
        <f>IFERROR(VLOOKUP(Orders!D1930,Products!$A$2:$C$61,3,FALSE),"Unknown")</f>
        <v>Beauty</v>
      </c>
      <c r="F1930" t="str">
        <f>IFERROR(VLOOKUP(Orders!C1930,Customers!$A$2:$E$301,5,FALSE),"Unknown")</f>
        <v>Retail</v>
      </c>
      <c r="G1930">
        <f>IFERROR(VLOOKUP(Orders!C1930,Customers!$A$2:$C$301,3,FALSE),"")</f>
        <v>49</v>
      </c>
      <c r="H1930" t="str">
        <f>VLOOKUP(D1930,Sales_Reps!$A$2:$C$31,3,FALSE)</f>
        <v>South</v>
      </c>
      <c r="I1930" s="44">
        <f t="shared" si="63"/>
        <v>45627</v>
      </c>
      <c r="L1930" t="str">
        <f>Orders!K1930</f>
        <v>Mumbai</v>
      </c>
      <c r="M1930">
        <f>Orders!G1930</f>
        <v>3350</v>
      </c>
      <c r="N1930">
        <f>IFERROR(VLOOKUP(Orders!D1930,Products!$A$2:$D$61,4,FALSE),"")</f>
        <v>1728</v>
      </c>
      <c r="O1930">
        <f t="shared" si="64"/>
        <v>0.48417910447761192</v>
      </c>
      <c r="Q1930" t="str">
        <f>Orders!D1930</f>
        <v>PROD-043</v>
      </c>
    </row>
    <row r="1931" spans="1:17" x14ac:dyDescent="0.3">
      <c r="A1931" t="str">
        <f>Orders!A1931</f>
        <v>ORD-01930</v>
      </c>
      <c r="B1931">
        <f>Orders!B1931</f>
        <v>45525</v>
      </c>
      <c r="C1931">
        <f>Orders!I1931</f>
        <v>1824.84</v>
      </c>
      <c r="D1931" t="str">
        <f>Orders!E1931</f>
        <v>R011</v>
      </c>
      <c r="E1931" t="str">
        <f>IFERROR(VLOOKUP(Orders!D1931,Products!$A$2:$C$61,3,FALSE),"Unknown")</f>
        <v>Home</v>
      </c>
      <c r="F1931" t="str">
        <f>IFERROR(VLOOKUP(Orders!C1931,Customers!$A$2:$E$301,5,FALSE),"Unknown")</f>
        <v>Unknown</v>
      </c>
      <c r="G1931" t="str">
        <f>IFERROR(VLOOKUP(Orders!C1931,Customers!$A$2:$C$301,3,FALSE),"")</f>
        <v/>
      </c>
      <c r="H1931" t="str">
        <f>VLOOKUP(D1931,Sales_Reps!$A$2:$C$31,3,FALSE)</f>
        <v>South</v>
      </c>
      <c r="I1931" s="44">
        <f t="shared" si="63"/>
        <v>45505</v>
      </c>
      <c r="L1931" t="str">
        <f>Orders!K1931</f>
        <v>Mumbai</v>
      </c>
      <c r="M1931">
        <f>Orders!G1931</f>
        <v>370</v>
      </c>
      <c r="N1931">
        <f>IFERROR(VLOOKUP(Orders!D1931,Products!$A$2:$D$61,4,FALSE),"")</f>
        <v>288</v>
      </c>
      <c r="O1931">
        <f t="shared" si="64"/>
        <v>0.22162162162162163</v>
      </c>
      <c r="Q1931" t="str">
        <f>Orders!D1931</f>
        <v>PROD-032</v>
      </c>
    </row>
    <row r="1932" spans="1:17" x14ac:dyDescent="0.3">
      <c r="A1932" t="str">
        <f>Orders!A1932</f>
        <v>ORD-01931</v>
      </c>
      <c r="B1932">
        <f>Orders!B1932</f>
        <v>45365</v>
      </c>
      <c r="C1932">
        <f>Orders!I1932</f>
        <v>6237.96</v>
      </c>
      <c r="D1932" t="str">
        <f>Orders!E1932</f>
        <v>R011</v>
      </c>
      <c r="E1932" t="str">
        <f>IFERROR(VLOOKUP(Orders!D1932,Products!$A$2:$C$61,3,FALSE),"Unknown")</f>
        <v>Grocery</v>
      </c>
      <c r="F1932" t="str">
        <f>IFERROR(VLOOKUP(Orders!C1932,Customers!$A$2:$E$301,5,FALSE),"Unknown")</f>
        <v>Corporate</v>
      </c>
      <c r="G1932">
        <f>IFERROR(VLOOKUP(Orders!C1932,Customers!$A$2:$C$301,3,FALSE),"")</f>
        <v>55</v>
      </c>
      <c r="H1932" t="str">
        <f>VLOOKUP(D1932,Sales_Reps!$A$2:$C$31,3,FALSE)</f>
        <v>South</v>
      </c>
      <c r="I1932" s="44">
        <f t="shared" si="63"/>
        <v>45352</v>
      </c>
      <c r="L1932" t="str">
        <f>Orders!K1932</f>
        <v>Delhi</v>
      </c>
      <c r="M1932">
        <f>Orders!G1932</f>
        <v>2270</v>
      </c>
      <c r="N1932">
        <f>IFERROR(VLOOKUP(Orders!D1932,Products!$A$2:$D$61,4,FALSE),"")</f>
        <v>1203</v>
      </c>
      <c r="O1932">
        <f t="shared" si="64"/>
        <v>0.47004405286343615</v>
      </c>
      <c r="Q1932" t="str">
        <f>Orders!D1932</f>
        <v>PROD-024</v>
      </c>
    </row>
    <row r="1933" spans="1:17" x14ac:dyDescent="0.3">
      <c r="A1933" t="str">
        <f>Orders!A1933</f>
        <v>ORD-01932</v>
      </c>
      <c r="B1933">
        <f>Orders!B1933</f>
        <v>45464</v>
      </c>
      <c r="C1933">
        <f>Orders!I1933</f>
        <v>9604.7999999999993</v>
      </c>
      <c r="D1933" t="str">
        <f>Orders!E1933</f>
        <v>R021</v>
      </c>
      <c r="E1933" t="str">
        <f>IFERROR(VLOOKUP(Orders!D1933,Products!$A$2:$C$61,3,FALSE),"Unknown")</f>
        <v>Sports</v>
      </c>
      <c r="F1933" t="str">
        <f>IFERROR(VLOOKUP(Orders!C1933,Customers!$A$2:$E$301,5,FALSE),"Unknown")</f>
        <v>Corporate</v>
      </c>
      <c r="G1933">
        <f>IFERROR(VLOOKUP(Orders!C1933,Customers!$A$2:$C$301,3,FALSE),"")</f>
        <v>41</v>
      </c>
      <c r="H1933" t="str">
        <f>VLOOKUP(D1933,Sales_Reps!$A$2:$C$31,3,FALSE)</f>
        <v>East</v>
      </c>
      <c r="I1933" s="44">
        <f t="shared" si="63"/>
        <v>45444</v>
      </c>
      <c r="L1933" t="str">
        <f>Orders!K1933</f>
        <v>Bengaluru</v>
      </c>
      <c r="M1933">
        <f>Orders!G1933</f>
        <v>3450</v>
      </c>
      <c r="N1933">
        <f>IFERROR(VLOOKUP(Orders!D1933,Products!$A$2:$D$61,4,FALSE),"")</f>
        <v>2467</v>
      </c>
      <c r="O1933">
        <f t="shared" si="64"/>
        <v>0.28492753623188405</v>
      </c>
      <c r="Q1933" t="str">
        <f>Orders!D1933</f>
        <v>PROD-051</v>
      </c>
    </row>
    <row r="1934" spans="1:17" x14ac:dyDescent="0.3">
      <c r="A1934" t="str">
        <f>Orders!A1934</f>
        <v>ORD-01933</v>
      </c>
      <c r="B1934">
        <f>Orders!B1934</f>
        <v>45633</v>
      </c>
      <c r="C1934">
        <f>Orders!I1934</f>
        <v>7471.98</v>
      </c>
      <c r="D1934" t="str">
        <f>Orders!E1934</f>
        <v>R008</v>
      </c>
      <c r="E1934" t="str">
        <f>IFERROR(VLOOKUP(Orders!D1934,Products!$A$2:$C$61,3,FALSE),"Unknown")</f>
        <v>Sports</v>
      </c>
      <c r="F1934" t="str">
        <f>IFERROR(VLOOKUP(Orders!C1934,Customers!$A$2:$E$301,5,FALSE),"Unknown")</f>
        <v>Retail</v>
      </c>
      <c r="G1934">
        <f>IFERROR(VLOOKUP(Orders!C1934,Customers!$A$2:$C$301,3,FALSE),"")</f>
        <v>29</v>
      </c>
      <c r="H1934" t="str">
        <f>VLOOKUP(D1934,Sales_Reps!$A$2:$C$31,3,FALSE)</f>
        <v>North</v>
      </c>
      <c r="I1934" s="44">
        <f t="shared" si="63"/>
        <v>45627</v>
      </c>
      <c r="L1934" t="str">
        <f>Orders!K1934</f>
        <v>Hyderabad</v>
      </c>
      <c r="M1934">
        <f>Orders!G1934</f>
        <v>1010</v>
      </c>
      <c r="N1934">
        <f>IFERROR(VLOOKUP(Orders!D1934,Products!$A$2:$D$61,4,FALSE),"")</f>
        <v>516</v>
      </c>
      <c r="O1934">
        <f t="shared" si="64"/>
        <v>0.4891089108910891</v>
      </c>
      <c r="Q1934" t="str">
        <f>Orders!D1934</f>
        <v>PROD-054</v>
      </c>
    </row>
    <row r="1935" spans="1:17" x14ac:dyDescent="0.3">
      <c r="A1935" t="str">
        <f>Orders!A1935</f>
        <v>ORD-01934</v>
      </c>
      <c r="B1935">
        <f>Orders!B1935</f>
        <v>45373</v>
      </c>
      <c r="C1935">
        <f>Orders!I1935</f>
        <v>16181.1</v>
      </c>
      <c r="D1935" t="str">
        <f>Orders!E1935</f>
        <v>R003</v>
      </c>
      <c r="E1935" t="str">
        <f>IFERROR(VLOOKUP(Orders!D1935,Products!$A$2:$C$61,3,FALSE),"Unknown")</f>
        <v>Home</v>
      </c>
      <c r="F1935" t="str">
        <f>IFERROR(VLOOKUP(Orders!C1935,Customers!$A$2:$E$301,5,FALSE),"Unknown")</f>
        <v>Retail</v>
      </c>
      <c r="G1935">
        <f>IFERROR(VLOOKUP(Orders!C1935,Customers!$A$2:$C$301,3,FALSE),"")</f>
        <v>33</v>
      </c>
      <c r="H1935" t="str">
        <f>VLOOKUP(D1935,Sales_Reps!$A$2:$C$31,3,FALSE)</f>
        <v>North</v>
      </c>
      <c r="I1935" s="44">
        <f t="shared" si="63"/>
        <v>45352</v>
      </c>
      <c r="L1935" t="str">
        <f>Orders!K1935</f>
        <v>Mumbai</v>
      </c>
      <c r="M1935">
        <f>Orders!G1935</f>
        <v>4610</v>
      </c>
      <c r="N1935">
        <f>IFERROR(VLOOKUP(Orders!D1935,Products!$A$2:$D$61,4,FALSE),"")</f>
        <v>1850</v>
      </c>
      <c r="O1935">
        <f t="shared" si="64"/>
        <v>0.59869848156182215</v>
      </c>
      <c r="Q1935" t="str">
        <f>Orders!D1935</f>
        <v>PROD-039</v>
      </c>
    </row>
    <row r="1936" spans="1:17" x14ac:dyDescent="0.3">
      <c r="A1936" t="str">
        <f>Orders!A1936</f>
        <v>ORD-01935</v>
      </c>
      <c r="B1936">
        <f>Orders!B1936</f>
        <v>45497</v>
      </c>
      <c r="C1936">
        <f>Orders!I1936</f>
        <v>1822.62</v>
      </c>
      <c r="D1936" t="str">
        <f>Orders!E1936</f>
        <v>R003</v>
      </c>
      <c r="E1936" t="str">
        <f>IFERROR(VLOOKUP(Orders!D1936,Products!$A$2:$C$61,3,FALSE),"Unknown")</f>
        <v>Home</v>
      </c>
      <c r="F1936" t="str">
        <f>IFERROR(VLOOKUP(Orders!C1936,Customers!$A$2:$E$301,5,FALSE),"Unknown")</f>
        <v>Retail</v>
      </c>
      <c r="G1936">
        <f>IFERROR(VLOOKUP(Orders!C1936,Customers!$A$2:$C$301,3,FALSE),"")</f>
        <v>59</v>
      </c>
      <c r="H1936" t="str">
        <f>VLOOKUP(D1936,Sales_Reps!$A$2:$C$31,3,FALSE)</f>
        <v>North</v>
      </c>
      <c r="I1936" s="44">
        <f t="shared" si="63"/>
        <v>45474</v>
      </c>
      <c r="L1936" t="str">
        <f>Orders!K1936</f>
        <v>Delhi</v>
      </c>
      <c r="M1936">
        <f>Orders!G1936</f>
        <v>370</v>
      </c>
      <c r="N1936">
        <f>IFERROR(VLOOKUP(Orders!D1936,Products!$A$2:$D$61,4,FALSE),"")</f>
        <v>288</v>
      </c>
      <c r="O1936">
        <f t="shared" si="64"/>
        <v>0.22162162162162163</v>
      </c>
      <c r="Q1936" t="str">
        <f>Orders!D1936</f>
        <v>PROD-032</v>
      </c>
    </row>
    <row r="1937" spans="1:17" x14ac:dyDescent="0.3">
      <c r="A1937" t="str">
        <f>Orders!A1937</f>
        <v>ORD-01936</v>
      </c>
      <c r="B1937">
        <f>Orders!B1937</f>
        <v>45352</v>
      </c>
      <c r="C1937">
        <f>Orders!I1937</f>
        <v>12337.92</v>
      </c>
      <c r="D1937" t="str">
        <f>Orders!E1937</f>
        <v>R026</v>
      </c>
      <c r="E1937" t="str">
        <f>IFERROR(VLOOKUP(Orders!D1937,Products!$A$2:$C$61,3,FALSE),"Unknown")</f>
        <v>Grocery</v>
      </c>
      <c r="F1937" t="str">
        <f>IFERROR(VLOOKUP(Orders!C1937,Customers!$A$2:$E$301,5,FALSE),"Unknown")</f>
        <v>Corporate</v>
      </c>
      <c r="G1937">
        <f>IFERROR(VLOOKUP(Orders!C1937,Customers!$A$2:$C$301,3,FALSE),"")</f>
        <v>24</v>
      </c>
      <c r="H1937" t="str">
        <f>VLOOKUP(D1937,Sales_Reps!$A$2:$C$31,3,FALSE)</f>
        <v>West</v>
      </c>
      <c r="I1937" s="44">
        <f t="shared" si="63"/>
        <v>45352</v>
      </c>
      <c r="L1937" t="str">
        <f>Orders!K1937</f>
        <v>Chennai</v>
      </c>
      <c r="M1937">
        <f>Orders!G1937</f>
        <v>2380</v>
      </c>
      <c r="N1937">
        <f>IFERROR(VLOOKUP(Orders!D1937,Products!$A$2:$D$61,4,FALSE),"")</f>
        <v>1182</v>
      </c>
      <c r="O1937">
        <f t="shared" si="64"/>
        <v>0.50336134453781511</v>
      </c>
      <c r="Q1937" t="str">
        <f>Orders!D1937</f>
        <v>PROD-023</v>
      </c>
    </row>
    <row r="1938" spans="1:17" x14ac:dyDescent="0.3">
      <c r="A1938" t="str">
        <f>Orders!A1938</f>
        <v>ORD-01937</v>
      </c>
      <c r="B1938">
        <f>Orders!B1938</f>
        <v>45379</v>
      </c>
      <c r="C1938">
        <f>Orders!I1938</f>
        <v>4896</v>
      </c>
      <c r="D1938" t="str">
        <f>Orders!E1938</f>
        <v>R023</v>
      </c>
      <c r="E1938" t="str">
        <f>IFERROR(VLOOKUP(Orders!D1938,Products!$A$2:$C$61,3,FALSE),"Unknown")</f>
        <v>Beauty</v>
      </c>
      <c r="F1938" t="str">
        <f>IFERROR(VLOOKUP(Orders!C1938,Customers!$A$2:$E$301,5,FALSE),"Unknown")</f>
        <v>SMB</v>
      </c>
      <c r="G1938">
        <f>IFERROR(VLOOKUP(Orders!C1938,Customers!$A$2:$C$301,3,FALSE),"")</f>
        <v>40</v>
      </c>
      <c r="H1938" t="str">
        <f>VLOOKUP(D1938,Sales_Reps!$A$2:$C$31,3,FALSE)</f>
        <v>East</v>
      </c>
      <c r="I1938" s="44">
        <f t="shared" si="63"/>
        <v>45352</v>
      </c>
      <c r="L1938" t="str">
        <f>Orders!K1938</f>
        <v>Hyderabad</v>
      </c>
      <c r="M1938">
        <f>Orders!G1938</f>
        <v>960</v>
      </c>
      <c r="N1938">
        <f>IFERROR(VLOOKUP(Orders!D1938,Products!$A$2:$D$61,4,FALSE),"")</f>
        <v>675</v>
      </c>
      <c r="O1938">
        <f t="shared" si="64"/>
        <v>0.296875</v>
      </c>
      <c r="Q1938" t="str">
        <f>Orders!D1938</f>
        <v>PROD-049</v>
      </c>
    </row>
    <row r="1939" spans="1:17" x14ac:dyDescent="0.3">
      <c r="A1939" t="str">
        <f>Orders!A1939</f>
        <v>ORD-01938</v>
      </c>
      <c r="B1939">
        <f>Orders!B1939</f>
        <v>45422</v>
      </c>
      <c r="C1939">
        <f>Orders!I1939</f>
        <v>2525.7600000000002</v>
      </c>
      <c r="D1939" t="str">
        <f>Orders!E1939</f>
        <v>R002</v>
      </c>
      <c r="E1939" t="str">
        <f>IFERROR(VLOOKUP(Orders!D1939,Products!$A$2:$C$61,3,FALSE),"Unknown")</f>
        <v>Sports</v>
      </c>
      <c r="F1939" t="str">
        <f>IFERROR(VLOOKUP(Orders!C1939,Customers!$A$2:$E$301,5,FALSE),"Unknown")</f>
        <v>Retail</v>
      </c>
      <c r="G1939">
        <f>IFERROR(VLOOKUP(Orders!C1939,Customers!$A$2:$C$301,3,FALSE),"")</f>
        <v>48</v>
      </c>
      <c r="H1939" t="str">
        <f>VLOOKUP(D1939,Sales_Reps!$A$2:$C$31,3,FALSE)</f>
        <v>North</v>
      </c>
      <c r="I1939" s="44">
        <f t="shared" si="63"/>
        <v>45413</v>
      </c>
      <c r="L1939" t="str">
        <f>Orders!K1939</f>
        <v>Pune</v>
      </c>
      <c r="M1939">
        <f>Orders!G1939</f>
        <v>960</v>
      </c>
      <c r="N1939">
        <f>IFERROR(VLOOKUP(Orders!D1939,Products!$A$2:$D$61,4,FALSE),"")</f>
        <v>705</v>
      </c>
      <c r="O1939">
        <f t="shared" si="64"/>
        <v>0.265625</v>
      </c>
      <c r="Q1939" t="str">
        <f>Orders!D1939</f>
        <v>PROD-057</v>
      </c>
    </row>
    <row r="1940" spans="1:17" x14ac:dyDescent="0.3">
      <c r="A1940" t="str">
        <f>Orders!A1940</f>
        <v>ORD-01939</v>
      </c>
      <c r="B1940">
        <f>Orders!B1940</f>
        <v>45413</v>
      </c>
      <c r="C1940">
        <f>Orders!I1940</f>
        <v>4088.28</v>
      </c>
      <c r="D1940" t="str">
        <f>Orders!E1940</f>
        <v>R029</v>
      </c>
      <c r="E1940" t="str">
        <f>IFERROR(VLOOKUP(Orders!D1940,Products!$A$2:$C$61,3,FALSE),"Unknown")</f>
        <v>Apparel</v>
      </c>
      <c r="F1940" t="str">
        <f>IFERROR(VLOOKUP(Orders!C1940,Customers!$A$2:$E$301,5,FALSE),"Unknown")</f>
        <v>Retail</v>
      </c>
      <c r="G1940">
        <f>IFERROR(VLOOKUP(Orders!C1940,Customers!$A$2:$C$301,3,FALSE),"")</f>
        <v>65</v>
      </c>
      <c r="H1940" t="str">
        <f>VLOOKUP(D1940,Sales_Reps!$A$2:$C$31,3,FALSE)</f>
        <v>West</v>
      </c>
      <c r="I1940" s="44">
        <f t="shared" si="63"/>
        <v>45413</v>
      </c>
      <c r="L1940" t="str">
        <f>Orders!K1940</f>
        <v>Mumbai</v>
      </c>
      <c r="M1940">
        <f>Orders!G1940</f>
        <v>620</v>
      </c>
      <c r="N1940">
        <f>IFERROR(VLOOKUP(Orders!D1940,Products!$A$2:$D$61,4,FALSE),"")</f>
        <v>396</v>
      </c>
      <c r="O1940">
        <f t="shared" si="64"/>
        <v>0.36129032258064514</v>
      </c>
      <c r="Q1940" t="str">
        <f>Orders!D1940</f>
        <v>PROD-016</v>
      </c>
    </row>
    <row r="1941" spans="1:17" x14ac:dyDescent="0.3">
      <c r="A1941" t="str">
        <f>Orders!A1941</f>
        <v>ORD-01940</v>
      </c>
      <c r="B1941">
        <f>Orders!B1941</f>
        <v>45467</v>
      </c>
      <c r="C1941">
        <f>Orders!I1941</f>
        <v>915.84</v>
      </c>
      <c r="D1941" t="str">
        <f>Orders!E1941</f>
        <v>R020</v>
      </c>
      <c r="E1941" t="str">
        <f>IFERROR(VLOOKUP(Orders!D1941,Products!$A$2:$C$61,3,FALSE),"Unknown")</f>
        <v>Sports</v>
      </c>
      <c r="F1941" t="str">
        <f>IFERROR(VLOOKUP(Orders!C1941,Customers!$A$2:$E$301,5,FALSE),"Unknown")</f>
        <v>Retail</v>
      </c>
      <c r="G1941">
        <f>IFERROR(VLOOKUP(Orders!C1941,Customers!$A$2:$C$301,3,FALSE),"")</f>
        <v>54</v>
      </c>
      <c r="H1941" t="str">
        <f>VLOOKUP(D1941,Sales_Reps!$A$2:$C$31,3,FALSE)</f>
        <v>East</v>
      </c>
      <c r="I1941" s="44">
        <f t="shared" si="63"/>
        <v>45444</v>
      </c>
      <c r="L1941" t="str">
        <f>Orders!K1941</f>
        <v>Pune</v>
      </c>
      <c r="M1941">
        <f>Orders!G1941</f>
        <v>960</v>
      </c>
      <c r="N1941">
        <f>IFERROR(VLOOKUP(Orders!D1941,Products!$A$2:$D$61,4,FALSE),"")</f>
        <v>705</v>
      </c>
      <c r="O1941">
        <f t="shared" si="64"/>
        <v>0.265625</v>
      </c>
      <c r="Q1941" t="str">
        <f>Orders!D1941</f>
        <v>PROD-057</v>
      </c>
    </row>
    <row r="1942" spans="1:17" x14ac:dyDescent="0.3">
      <c r="A1942" t="str">
        <f>Orders!A1942</f>
        <v>ORD-01941</v>
      </c>
      <c r="B1942">
        <f>Orders!B1942</f>
        <v>45520</v>
      </c>
      <c r="C1942">
        <f>Orders!I1942</f>
        <v>11964.6</v>
      </c>
      <c r="D1942" t="str">
        <f>Orders!E1942</f>
        <v>R028</v>
      </c>
      <c r="E1942" t="str">
        <f>IFERROR(VLOOKUP(Orders!D1942,Products!$A$2:$C$61,3,FALSE),"Unknown")</f>
        <v>Beauty</v>
      </c>
      <c r="F1942" t="str">
        <f>IFERROR(VLOOKUP(Orders!C1942,Customers!$A$2:$E$301,5,FALSE),"Unknown")</f>
        <v>Retail</v>
      </c>
      <c r="G1942">
        <f>IFERROR(VLOOKUP(Orders!C1942,Customers!$A$2:$C$301,3,FALSE),"")</f>
        <v>57</v>
      </c>
      <c r="H1942" t="str">
        <f>VLOOKUP(D1942,Sales_Reps!$A$2:$C$31,3,FALSE)</f>
        <v>West</v>
      </c>
      <c r="I1942" s="44">
        <f t="shared" si="63"/>
        <v>45505</v>
      </c>
      <c r="L1942" t="str">
        <f>Orders!K1942</f>
        <v>Pune</v>
      </c>
      <c r="M1942">
        <f>Orders!G1942</f>
        <v>3450</v>
      </c>
      <c r="N1942">
        <f>IFERROR(VLOOKUP(Orders!D1942,Products!$A$2:$D$61,4,FALSE),"")</f>
        <v>2420</v>
      </c>
      <c r="O1942">
        <f t="shared" si="64"/>
        <v>0.29855072463768118</v>
      </c>
      <c r="Q1942" t="str">
        <f>Orders!D1942</f>
        <v>PROD-047</v>
      </c>
    </row>
    <row r="1943" spans="1:17" x14ac:dyDescent="0.3">
      <c r="A1943" t="str">
        <f>Orders!A1943</f>
        <v>ORD-01942</v>
      </c>
      <c r="B1943">
        <f>Orders!B1943</f>
        <v>45626</v>
      </c>
      <c r="C1943">
        <f>Orders!I1943</f>
        <v>26275.200000000001</v>
      </c>
      <c r="D1943" t="str">
        <f>Orders!E1943</f>
        <v>R019</v>
      </c>
      <c r="E1943" t="str">
        <f>IFERROR(VLOOKUP(Orders!D1943,Products!$A$2:$C$61,3,FALSE),"Unknown")</f>
        <v>Apparel</v>
      </c>
      <c r="F1943" t="str">
        <f>IFERROR(VLOOKUP(Orders!C1943,Customers!$A$2:$E$301,5,FALSE),"Unknown")</f>
        <v>SMB</v>
      </c>
      <c r="G1943">
        <f>IFERROR(VLOOKUP(Orders!C1943,Customers!$A$2:$C$301,3,FALSE),"")</f>
        <v>43</v>
      </c>
      <c r="H1943" t="str">
        <f>VLOOKUP(D1943,Sales_Reps!$A$2:$C$31,3,FALSE)</f>
        <v>East</v>
      </c>
      <c r="I1943" s="44">
        <f t="shared" si="63"/>
        <v>45597</v>
      </c>
      <c r="L1943" t="str">
        <f>Orders!K1943</f>
        <v>Hyderabad</v>
      </c>
      <c r="M1943">
        <f>Orders!G1943</f>
        <v>2720</v>
      </c>
      <c r="N1943">
        <f>IFERROR(VLOOKUP(Orders!D1943,Products!$A$2:$D$61,4,FALSE),"")</f>
        <v>1962</v>
      </c>
      <c r="O1943">
        <f t="shared" si="64"/>
        <v>0.2786764705882353</v>
      </c>
      <c r="Q1943" t="str">
        <f>Orders!D1943</f>
        <v>PROD-015</v>
      </c>
    </row>
    <row r="1944" spans="1:17" x14ac:dyDescent="0.3">
      <c r="A1944" t="str">
        <f>Orders!A1944</f>
        <v>ORD-01943</v>
      </c>
      <c r="B1944">
        <f>Orders!B1944</f>
        <v>45452</v>
      </c>
      <c r="C1944">
        <f>Orders!I1944</f>
        <v>2435.6999999999998</v>
      </c>
      <c r="D1944" t="str">
        <f>Orders!E1944</f>
        <v>R019</v>
      </c>
      <c r="E1944" t="str">
        <f>IFERROR(VLOOKUP(Orders!D1944,Products!$A$2:$C$61,3,FALSE),"Unknown")</f>
        <v>Beauty</v>
      </c>
      <c r="F1944" t="str">
        <f>IFERROR(VLOOKUP(Orders!C1944,Customers!$A$2:$E$301,5,FALSE),"Unknown")</f>
        <v>SMB</v>
      </c>
      <c r="G1944">
        <f>IFERROR(VLOOKUP(Orders!C1944,Customers!$A$2:$C$301,3,FALSE),"")</f>
        <v>65</v>
      </c>
      <c r="H1944" t="str">
        <f>VLOOKUP(D1944,Sales_Reps!$A$2:$C$31,3,FALSE)</f>
        <v>East</v>
      </c>
      <c r="I1944" s="44">
        <f t="shared" si="63"/>
        <v>45444</v>
      </c>
      <c r="L1944" t="str">
        <f>Orders!K1944</f>
        <v>Mumbai</v>
      </c>
      <c r="M1944">
        <f>Orders!G1944</f>
        <v>3450</v>
      </c>
      <c r="N1944">
        <f>IFERROR(VLOOKUP(Orders!D1944,Products!$A$2:$D$61,4,FALSE),"")</f>
        <v>2420</v>
      </c>
      <c r="O1944">
        <f t="shared" si="64"/>
        <v>0.29855072463768118</v>
      </c>
      <c r="Q1944" t="str">
        <f>Orders!D1944</f>
        <v>PROD-047</v>
      </c>
    </row>
    <row r="1945" spans="1:17" x14ac:dyDescent="0.3">
      <c r="A1945" t="str">
        <f>Orders!A1945</f>
        <v>ORD-01944</v>
      </c>
      <c r="B1945">
        <f>Orders!B1945</f>
        <v>45529</v>
      </c>
      <c r="C1945">
        <f>Orders!I1945</f>
        <v>5824.5</v>
      </c>
      <c r="D1945" t="str">
        <f>Orders!E1945</f>
        <v>R024</v>
      </c>
      <c r="E1945" t="str">
        <f>IFERROR(VLOOKUP(Orders!D1945,Products!$A$2:$C$61,3,FALSE),"Unknown")</f>
        <v>Beauty</v>
      </c>
      <c r="F1945" t="str">
        <f>IFERROR(VLOOKUP(Orders!C1945,Customers!$A$2:$E$301,5,FALSE),"Unknown")</f>
        <v>Retail</v>
      </c>
      <c r="G1945">
        <f>IFERROR(VLOOKUP(Orders!C1945,Customers!$A$2:$C$301,3,FALSE),"")</f>
        <v>65</v>
      </c>
      <c r="H1945" t="str">
        <f>VLOOKUP(D1945,Sales_Reps!$A$2:$C$31,3,FALSE)</f>
        <v>West</v>
      </c>
      <c r="I1945" s="44">
        <f t="shared" si="63"/>
        <v>45505</v>
      </c>
      <c r="L1945" t="str">
        <f>Orders!K1945</f>
        <v>Mumbai</v>
      </c>
      <c r="M1945">
        <f>Orders!G1945</f>
        <v>1650</v>
      </c>
      <c r="N1945">
        <f>IFERROR(VLOOKUP(Orders!D1945,Products!$A$2:$D$61,4,FALSE),"")</f>
        <v>1222</v>
      </c>
      <c r="O1945">
        <f t="shared" si="64"/>
        <v>0.2593939393939394</v>
      </c>
      <c r="Q1945" t="str">
        <f>Orders!D1945</f>
        <v>PROD-044</v>
      </c>
    </row>
    <row r="1946" spans="1:17" x14ac:dyDescent="0.3">
      <c r="A1946" t="str">
        <f>Orders!A1946</f>
        <v>ORD-01945</v>
      </c>
      <c r="B1946">
        <f>Orders!B1946</f>
        <v>45639</v>
      </c>
      <c r="C1946">
        <f>Orders!I1946</f>
        <v>6110.56</v>
      </c>
      <c r="D1946" t="str">
        <f>Orders!E1946</f>
        <v>R009</v>
      </c>
      <c r="E1946" t="str">
        <f>IFERROR(VLOOKUP(Orders!D1946,Products!$A$2:$C$61,3,FALSE),"Unknown")</f>
        <v>Apparel</v>
      </c>
      <c r="F1946" t="str">
        <f>IFERROR(VLOOKUP(Orders!C1946,Customers!$A$2:$E$301,5,FALSE),"Unknown")</f>
        <v>SMB</v>
      </c>
      <c r="G1946">
        <f>IFERROR(VLOOKUP(Orders!C1946,Customers!$A$2:$C$301,3,FALSE),"")</f>
        <v>29</v>
      </c>
      <c r="H1946" t="str">
        <f>VLOOKUP(D1946,Sales_Reps!$A$2:$C$31,3,FALSE)</f>
        <v>South</v>
      </c>
      <c r="I1946" s="44">
        <f t="shared" si="63"/>
        <v>45627</v>
      </c>
      <c r="L1946" t="str">
        <f>Orders!K1946</f>
        <v>Delhi</v>
      </c>
      <c r="M1946">
        <f>Orders!G1946</f>
        <v>3620</v>
      </c>
      <c r="N1946">
        <f>IFERROR(VLOOKUP(Orders!D1946,Products!$A$2:$D$61,4,FALSE),"")</f>
        <v>2509</v>
      </c>
      <c r="O1946">
        <f t="shared" si="64"/>
        <v>0.3069060773480663</v>
      </c>
      <c r="Q1946" t="str">
        <f>Orders!D1946</f>
        <v>PROD-014</v>
      </c>
    </row>
    <row r="1947" spans="1:17" x14ac:dyDescent="0.3">
      <c r="A1947" t="str">
        <f>Orders!A1947</f>
        <v>ORD-01946</v>
      </c>
      <c r="B1947">
        <f>Orders!B1947</f>
        <v>45592</v>
      </c>
      <c r="C1947">
        <f>Orders!I1947</f>
        <v>676.8</v>
      </c>
      <c r="D1947" t="str">
        <f>Orders!E1947</f>
        <v>R012</v>
      </c>
      <c r="E1947" t="str">
        <f>IFERROR(VLOOKUP(Orders!D1947,Products!$A$2:$C$61,3,FALSE),"Unknown")</f>
        <v>Electronics</v>
      </c>
      <c r="F1947" t="str">
        <f>IFERROR(VLOOKUP(Orders!C1947,Customers!$A$2:$E$301,5,FALSE),"Unknown")</f>
        <v>Retail</v>
      </c>
      <c r="G1947">
        <f>IFERROR(VLOOKUP(Orders!C1947,Customers!$A$2:$C$301,3,FALSE),"")</f>
        <v>52</v>
      </c>
      <c r="H1947" t="str">
        <f>VLOOKUP(D1947,Sales_Reps!$A$2:$C$31,3,FALSE)</f>
        <v>South</v>
      </c>
      <c r="I1947" s="44">
        <f t="shared" si="63"/>
        <v>45566</v>
      </c>
      <c r="L1947" t="str">
        <f>Orders!K1947</f>
        <v>Delhi</v>
      </c>
      <c r="M1947">
        <f>Orders!G1947</f>
        <v>300</v>
      </c>
      <c r="N1947">
        <f>IFERROR(VLOOKUP(Orders!D1947,Products!$A$2:$D$61,4,FALSE),"")</f>
        <v>128</v>
      </c>
      <c r="O1947">
        <f t="shared" si="64"/>
        <v>0.57333333333333336</v>
      </c>
      <c r="Q1947" t="str">
        <f>Orders!D1947</f>
        <v>PROD-005</v>
      </c>
    </row>
    <row r="1948" spans="1:17" x14ac:dyDescent="0.3">
      <c r="A1948" t="str">
        <f>Orders!A1948</f>
        <v>ORD-01947</v>
      </c>
      <c r="B1948">
        <f>Orders!B1948</f>
        <v>45338</v>
      </c>
      <c r="C1948">
        <f>Orders!I1948</f>
        <v>3257.1</v>
      </c>
      <c r="D1948" t="str">
        <f>Orders!E1948</f>
        <v>R001</v>
      </c>
      <c r="E1948" t="str">
        <f>IFERROR(VLOOKUP(Orders!D1948,Products!$A$2:$C$61,3,FALSE),"Unknown")</f>
        <v>Beauty</v>
      </c>
      <c r="F1948" t="str">
        <f>IFERROR(VLOOKUP(Orders!C1948,Customers!$A$2:$E$301,5,FALSE),"Unknown")</f>
        <v>SMB</v>
      </c>
      <c r="G1948">
        <f>IFERROR(VLOOKUP(Orders!C1948,Customers!$A$2:$C$301,3,FALSE),"")</f>
        <v>55</v>
      </c>
      <c r="H1948" t="str">
        <f>VLOOKUP(D1948,Sales_Reps!$A$2:$C$31,3,FALSE)</f>
        <v>North</v>
      </c>
      <c r="I1948" s="44">
        <f t="shared" si="63"/>
        <v>45323</v>
      </c>
      <c r="L1948" t="str">
        <f>Orders!K1948</f>
        <v>Chennai</v>
      </c>
      <c r="M1948">
        <f>Orders!G1948</f>
        <v>1540</v>
      </c>
      <c r="N1948">
        <f>IFERROR(VLOOKUP(Orders!D1948,Products!$A$2:$D$61,4,FALSE),"")</f>
        <v>647</v>
      </c>
      <c r="O1948">
        <f t="shared" si="64"/>
        <v>0.57987012987012987</v>
      </c>
      <c r="Q1948" t="str">
        <f>Orders!D1948</f>
        <v>PROD-041</v>
      </c>
    </row>
    <row r="1949" spans="1:17" x14ac:dyDescent="0.3">
      <c r="A1949" t="str">
        <f>Orders!A1949</f>
        <v>ORD-01948</v>
      </c>
      <c r="B1949">
        <f>Orders!B1949</f>
        <v>45551</v>
      </c>
      <c r="C1949">
        <f>Orders!I1949</f>
        <v>21451.5</v>
      </c>
      <c r="D1949" t="str">
        <f>Orders!E1949</f>
        <v>R019</v>
      </c>
      <c r="E1949" t="str">
        <f>IFERROR(VLOOKUP(Orders!D1949,Products!$A$2:$C$61,3,FALSE),"Unknown")</f>
        <v>Grocery</v>
      </c>
      <c r="F1949" t="str">
        <f>IFERROR(VLOOKUP(Orders!C1949,Customers!$A$2:$E$301,5,FALSE),"Unknown")</f>
        <v>Retail</v>
      </c>
      <c r="G1949">
        <f>IFERROR(VLOOKUP(Orders!C1949,Customers!$A$2:$C$301,3,FALSE),"")</f>
        <v>27</v>
      </c>
      <c r="H1949" t="str">
        <f>VLOOKUP(D1949,Sales_Reps!$A$2:$C$31,3,FALSE)</f>
        <v>East</v>
      </c>
      <c r="I1949" s="44">
        <f t="shared" si="63"/>
        <v>45536</v>
      </c>
      <c r="L1949" t="str">
        <f>Orders!K1949</f>
        <v>Bengaluru</v>
      </c>
      <c r="M1949">
        <f>Orders!G1949</f>
        <v>2270</v>
      </c>
      <c r="N1949">
        <f>IFERROR(VLOOKUP(Orders!D1949,Products!$A$2:$D$61,4,FALSE),"")</f>
        <v>1203</v>
      </c>
      <c r="O1949">
        <f t="shared" si="64"/>
        <v>0.47004405286343615</v>
      </c>
      <c r="Q1949" t="str">
        <f>Orders!D1949</f>
        <v>PROD-024</v>
      </c>
    </row>
    <row r="1950" spans="1:17" x14ac:dyDescent="0.3">
      <c r="A1950" t="str">
        <f>Orders!A1950</f>
        <v>ORD-01949</v>
      </c>
      <c r="B1950">
        <f>Orders!B1950</f>
        <v>45350</v>
      </c>
      <c r="C1950">
        <f>Orders!I1950</f>
        <v>5686.56</v>
      </c>
      <c r="D1950" t="str">
        <f>Orders!E1950</f>
        <v>R008</v>
      </c>
      <c r="E1950" t="str">
        <f>IFERROR(VLOOKUP(Orders!D1950,Products!$A$2:$C$61,3,FALSE),"Unknown")</f>
        <v>Electronics</v>
      </c>
      <c r="F1950" t="str">
        <f>IFERROR(VLOOKUP(Orders!C1950,Customers!$A$2:$E$301,5,FALSE),"Unknown")</f>
        <v>SMB</v>
      </c>
      <c r="G1950">
        <f>IFERROR(VLOOKUP(Orders!C1950,Customers!$A$2:$C$301,3,FALSE),"")</f>
        <v>59</v>
      </c>
      <c r="H1950" t="str">
        <f>VLOOKUP(D1950,Sales_Reps!$A$2:$C$31,3,FALSE)</f>
        <v>North</v>
      </c>
      <c r="I1950" s="44">
        <f t="shared" si="63"/>
        <v>45323</v>
      </c>
      <c r="L1950" t="str">
        <f>Orders!K1950</f>
        <v>Pune</v>
      </c>
      <c r="M1950">
        <f>Orders!G1950</f>
        <v>2640</v>
      </c>
      <c r="N1950">
        <f>IFERROR(VLOOKUP(Orders!D1950,Products!$A$2:$D$61,4,FALSE),"")</f>
        <v>1149</v>
      </c>
      <c r="O1950">
        <f t="shared" si="64"/>
        <v>0.56477272727272732</v>
      </c>
      <c r="Q1950" t="str">
        <f>Orders!D1950</f>
        <v>PROD-010</v>
      </c>
    </row>
    <row r="1951" spans="1:17" x14ac:dyDescent="0.3">
      <c r="A1951" t="str">
        <f>Orders!A1951</f>
        <v>ORD-01950</v>
      </c>
      <c r="B1951">
        <f>Orders!B1951</f>
        <v>45507</v>
      </c>
      <c r="C1951">
        <f>Orders!I1951</f>
        <v>19562.400000000001</v>
      </c>
      <c r="D1951" t="str">
        <f>Orders!E1951</f>
        <v>R015</v>
      </c>
      <c r="E1951" t="str">
        <f>IFERROR(VLOOKUP(Orders!D1951,Products!$A$2:$C$61,3,FALSE),"Unknown")</f>
        <v>Electronics</v>
      </c>
      <c r="F1951" t="str">
        <f>IFERROR(VLOOKUP(Orders!C1951,Customers!$A$2:$E$301,5,FALSE),"Unknown")</f>
        <v>Retail</v>
      </c>
      <c r="G1951">
        <f>IFERROR(VLOOKUP(Orders!C1951,Customers!$A$2:$C$301,3,FALSE),"")</f>
        <v>44</v>
      </c>
      <c r="H1951" t="str">
        <f>VLOOKUP(D1951,Sales_Reps!$A$2:$C$31,3,FALSE)</f>
        <v>South</v>
      </c>
      <c r="I1951" s="44">
        <f t="shared" si="63"/>
        <v>45505</v>
      </c>
      <c r="L1951" t="str">
        <f>Orders!K1951</f>
        <v>Pune</v>
      </c>
      <c r="M1951">
        <f>Orders!G1951</f>
        <v>2640</v>
      </c>
      <c r="N1951">
        <f>IFERROR(VLOOKUP(Orders!D1951,Products!$A$2:$D$61,4,FALSE),"")</f>
        <v>1149</v>
      </c>
      <c r="O1951">
        <f t="shared" si="64"/>
        <v>0.56477272727272732</v>
      </c>
      <c r="Q1951" t="str">
        <f>Orders!D1951</f>
        <v>PROD-010</v>
      </c>
    </row>
    <row r="1952" spans="1:17" x14ac:dyDescent="0.3">
      <c r="A1952" t="str">
        <f>Orders!A1952</f>
        <v>ORD-01951</v>
      </c>
      <c r="B1952">
        <f>Orders!B1952</f>
        <v>45538</v>
      </c>
      <c r="C1952">
        <f>Orders!I1952</f>
        <v>2717</v>
      </c>
      <c r="D1952" t="str">
        <f>Orders!E1952</f>
        <v>R030</v>
      </c>
      <c r="E1952" t="str">
        <f>IFERROR(VLOOKUP(Orders!D1952,Products!$A$2:$C$61,3,FALSE),"Unknown")</f>
        <v>Electronics</v>
      </c>
      <c r="F1952" t="str">
        <f>IFERROR(VLOOKUP(Orders!C1952,Customers!$A$2:$E$301,5,FALSE),"Unknown")</f>
        <v>Retail</v>
      </c>
      <c r="G1952">
        <f>IFERROR(VLOOKUP(Orders!C1952,Customers!$A$2:$C$301,3,FALSE),"")</f>
        <v>53</v>
      </c>
      <c r="H1952" t="str">
        <f>VLOOKUP(D1952,Sales_Reps!$A$2:$C$31,3,FALSE)</f>
        <v>West</v>
      </c>
      <c r="I1952" s="44">
        <f t="shared" si="63"/>
        <v>45536</v>
      </c>
      <c r="L1952" t="str">
        <f>Orders!K1952</f>
        <v>Delhi</v>
      </c>
      <c r="M1952">
        <f>Orders!G1952</f>
        <v>1430</v>
      </c>
      <c r="N1952">
        <f>IFERROR(VLOOKUP(Orders!D1952,Products!$A$2:$D$61,4,FALSE),"")</f>
        <v>861</v>
      </c>
      <c r="O1952">
        <f t="shared" si="64"/>
        <v>0.39790209790209791</v>
      </c>
      <c r="Q1952" t="str">
        <f>Orders!D1952</f>
        <v>PROD-007</v>
      </c>
    </row>
    <row r="1953" spans="1:17" x14ac:dyDescent="0.3">
      <c r="A1953" t="str">
        <f>Orders!A1953</f>
        <v>ORD-01952</v>
      </c>
      <c r="B1953">
        <f>Orders!B1953</f>
        <v>45618</v>
      </c>
      <c r="C1953">
        <f>Orders!I1953</f>
        <v>15315.3</v>
      </c>
      <c r="D1953" t="str">
        <f>Orders!E1953</f>
        <v>R020</v>
      </c>
      <c r="E1953" t="str">
        <f>IFERROR(VLOOKUP(Orders!D1953,Products!$A$2:$C$61,3,FALSE),"Unknown")</f>
        <v>Electronics</v>
      </c>
      <c r="F1953" t="str">
        <f>IFERROR(VLOOKUP(Orders!C1953,Customers!$A$2:$E$301,5,FALSE),"Unknown")</f>
        <v>SMB</v>
      </c>
      <c r="G1953">
        <f>IFERROR(VLOOKUP(Orders!C1953,Customers!$A$2:$C$301,3,FALSE),"")</f>
        <v>30</v>
      </c>
      <c r="H1953" t="str">
        <f>VLOOKUP(D1953,Sales_Reps!$A$2:$C$31,3,FALSE)</f>
        <v>East</v>
      </c>
      <c r="I1953" s="44">
        <f t="shared" si="63"/>
        <v>45597</v>
      </c>
      <c r="L1953" t="str">
        <f>Orders!K1953</f>
        <v>Pune</v>
      </c>
      <c r="M1953">
        <f>Orders!G1953</f>
        <v>3570</v>
      </c>
      <c r="N1953">
        <f>IFERROR(VLOOKUP(Orders!D1953,Products!$A$2:$D$61,4,FALSE),"")</f>
        <v>1665</v>
      </c>
      <c r="O1953">
        <f t="shared" si="64"/>
        <v>0.53361344537815125</v>
      </c>
      <c r="Q1953" t="str">
        <f>Orders!D1953</f>
        <v>PROD-003</v>
      </c>
    </row>
    <row r="1954" spans="1:17" x14ac:dyDescent="0.3">
      <c r="A1954" t="str">
        <f>Orders!A1954</f>
        <v>ORD-01953</v>
      </c>
      <c r="B1954">
        <f>Orders!B1954</f>
        <v>45444</v>
      </c>
      <c r="C1954">
        <f>Orders!I1954</f>
        <v>3295.11</v>
      </c>
      <c r="D1954" t="str">
        <f>Orders!E1954</f>
        <v>R024</v>
      </c>
      <c r="E1954" t="str">
        <f>IFERROR(VLOOKUP(Orders!D1954,Products!$A$2:$C$61,3,FALSE),"Unknown")</f>
        <v>Electronics</v>
      </c>
      <c r="F1954" t="str">
        <f>IFERROR(VLOOKUP(Orders!C1954,Customers!$A$2:$E$301,5,FALSE),"Unknown")</f>
        <v>Retail</v>
      </c>
      <c r="G1954">
        <f>IFERROR(VLOOKUP(Orders!C1954,Customers!$A$2:$C$301,3,FALSE),"")</f>
        <v>30</v>
      </c>
      <c r="H1954" t="str">
        <f>VLOOKUP(D1954,Sales_Reps!$A$2:$C$31,3,FALSE)</f>
        <v>West</v>
      </c>
      <c r="I1954" s="44">
        <f t="shared" si="63"/>
        <v>45444</v>
      </c>
      <c r="L1954" t="str">
        <f>Orders!K1954</f>
        <v>Delhi</v>
      </c>
      <c r="M1954">
        <f>Orders!G1954</f>
        <v>3570</v>
      </c>
      <c r="N1954">
        <f>IFERROR(VLOOKUP(Orders!D1954,Products!$A$2:$D$61,4,FALSE),"")</f>
        <v>1665</v>
      </c>
      <c r="O1954">
        <f t="shared" si="64"/>
        <v>0.53361344537815125</v>
      </c>
      <c r="Q1954" t="str">
        <f>Orders!D1954</f>
        <v>PROD-003</v>
      </c>
    </row>
    <row r="1955" spans="1:17" x14ac:dyDescent="0.3">
      <c r="A1955" t="str">
        <f>Orders!A1955</f>
        <v>ORD-01954</v>
      </c>
      <c r="B1955">
        <f>Orders!B1955</f>
        <v>45377</v>
      </c>
      <c r="C1955">
        <f>Orders!I1955</f>
        <v>30685.23</v>
      </c>
      <c r="D1955" t="str">
        <f>Orders!E1955</f>
        <v>R030</v>
      </c>
      <c r="E1955" t="str">
        <f>IFERROR(VLOOKUP(Orders!D1955,Products!$A$2:$C$61,3,FALSE),"Unknown")</f>
        <v>Electronics</v>
      </c>
      <c r="F1955" t="str">
        <f>IFERROR(VLOOKUP(Orders!C1955,Customers!$A$2:$E$301,5,FALSE),"Unknown")</f>
        <v>SMB</v>
      </c>
      <c r="G1955">
        <f>IFERROR(VLOOKUP(Orders!C1955,Customers!$A$2:$C$301,3,FALSE),"")</f>
        <v>43</v>
      </c>
      <c r="H1955" t="str">
        <f>VLOOKUP(D1955,Sales_Reps!$A$2:$C$31,3,FALSE)</f>
        <v>West</v>
      </c>
      <c r="I1955" s="44">
        <f t="shared" si="63"/>
        <v>45352</v>
      </c>
      <c r="L1955" t="str">
        <f>Orders!K1955</f>
        <v>Chennai</v>
      </c>
      <c r="M1955">
        <f>Orders!G1955</f>
        <v>3870</v>
      </c>
      <c r="N1955">
        <f>IFERROR(VLOOKUP(Orders!D1955,Products!$A$2:$D$61,4,FALSE),"")</f>
        <v>1559</v>
      </c>
      <c r="O1955">
        <f t="shared" si="64"/>
        <v>0.59715762273901807</v>
      </c>
      <c r="Q1955" t="str">
        <f>Orders!D1955</f>
        <v>PROD-004</v>
      </c>
    </row>
    <row r="1956" spans="1:17" x14ac:dyDescent="0.3">
      <c r="A1956" t="str">
        <f>Orders!A1956</f>
        <v>ORD-01955</v>
      </c>
      <c r="B1956">
        <f>Orders!B1956</f>
        <v>45515</v>
      </c>
      <c r="C1956">
        <f>Orders!I1956</f>
        <v>28662.2</v>
      </c>
      <c r="D1956" t="str">
        <f>Orders!E1956</f>
        <v>R014</v>
      </c>
      <c r="E1956" t="str">
        <f>IFERROR(VLOOKUP(Orders!D1956,Products!$A$2:$C$61,3,FALSE),"Unknown")</f>
        <v>Sports</v>
      </c>
      <c r="F1956" t="str">
        <f>IFERROR(VLOOKUP(Orders!C1956,Customers!$A$2:$E$301,5,FALSE),"Unknown")</f>
        <v>SMB</v>
      </c>
      <c r="G1956">
        <f>IFERROR(VLOOKUP(Orders!C1956,Customers!$A$2:$C$301,3,FALSE),"")</f>
        <v>26</v>
      </c>
      <c r="H1956" t="str">
        <f>VLOOKUP(D1956,Sales_Reps!$A$2:$C$31,3,FALSE)</f>
        <v>South</v>
      </c>
      <c r="I1956" s="44">
        <f t="shared" si="63"/>
        <v>45505</v>
      </c>
      <c r="L1956" t="str">
        <f>Orders!K1956</f>
        <v>Chennai</v>
      </c>
      <c r="M1956">
        <f>Orders!G1956</f>
        <v>6940</v>
      </c>
      <c r="N1956">
        <f>IFERROR(VLOOKUP(Orders!D1956,Products!$A$2:$D$61,4,FALSE),"")</f>
        <v>2827</v>
      </c>
      <c r="O1956">
        <f t="shared" si="64"/>
        <v>0.5926512968299712</v>
      </c>
      <c r="Q1956" t="str">
        <f>Orders!D1956</f>
        <v>PROD-056</v>
      </c>
    </row>
    <row r="1957" spans="1:17" x14ac:dyDescent="0.3">
      <c r="A1957" t="str">
        <f>Orders!A1957</f>
        <v>ORD-01956</v>
      </c>
      <c r="B1957">
        <f>Orders!B1957</f>
        <v>45312</v>
      </c>
      <c r="C1957">
        <f>Orders!I1957</f>
        <v>2040.18</v>
      </c>
      <c r="D1957" t="str">
        <f>Orders!E1957</f>
        <v>R026</v>
      </c>
      <c r="E1957" t="str">
        <f>IFERROR(VLOOKUP(Orders!D1957,Products!$A$2:$C$61,3,FALSE),"Unknown")</f>
        <v>Home</v>
      </c>
      <c r="F1957" t="str">
        <f>IFERROR(VLOOKUP(Orders!C1957,Customers!$A$2:$E$301,5,FALSE),"Unknown")</f>
        <v>Retail</v>
      </c>
      <c r="G1957">
        <f>IFERROR(VLOOKUP(Orders!C1957,Customers!$A$2:$C$301,3,FALSE),"")</f>
        <v>53</v>
      </c>
      <c r="H1957" t="str">
        <f>VLOOKUP(D1957,Sales_Reps!$A$2:$C$31,3,FALSE)</f>
        <v>West</v>
      </c>
      <c r="I1957" s="44">
        <f t="shared" si="63"/>
        <v>45292</v>
      </c>
      <c r="L1957" t="str">
        <f>Orders!K1957</f>
        <v>Hyderabad</v>
      </c>
      <c r="M1957">
        <f>Orders!G1957</f>
        <v>370</v>
      </c>
      <c r="N1957">
        <f>IFERROR(VLOOKUP(Orders!D1957,Products!$A$2:$D$61,4,FALSE),"")</f>
        <v>288</v>
      </c>
      <c r="O1957">
        <f t="shared" si="64"/>
        <v>0.22162162162162163</v>
      </c>
      <c r="Q1957" t="str">
        <f>Orders!D1957</f>
        <v>PROD-032</v>
      </c>
    </row>
    <row r="1958" spans="1:17" x14ac:dyDescent="0.3">
      <c r="A1958" t="str">
        <f>Orders!A1958</f>
        <v>ORD-01957</v>
      </c>
      <c r="B1958">
        <f>Orders!B1958</f>
        <v>45549</v>
      </c>
      <c r="C1958">
        <f>Orders!I1958</f>
        <v>21844.16</v>
      </c>
      <c r="D1958" t="str">
        <f>Orders!E1958</f>
        <v>R027</v>
      </c>
      <c r="E1958" t="str">
        <f>IFERROR(VLOOKUP(Orders!D1958,Products!$A$2:$C$61,3,FALSE),"Unknown")</f>
        <v>Apparel</v>
      </c>
      <c r="F1958" t="str">
        <f>IFERROR(VLOOKUP(Orders!C1958,Customers!$A$2:$E$301,5,FALSE),"Unknown")</f>
        <v>Corporate</v>
      </c>
      <c r="G1958">
        <f>IFERROR(VLOOKUP(Orders!C1958,Customers!$A$2:$C$301,3,FALSE),"")</f>
        <v>55</v>
      </c>
      <c r="H1958" t="str">
        <f>VLOOKUP(D1958,Sales_Reps!$A$2:$C$31,3,FALSE)</f>
        <v>West</v>
      </c>
      <c r="I1958" s="44">
        <f t="shared" si="63"/>
        <v>45536</v>
      </c>
      <c r="L1958" t="str">
        <f>Orders!K1958</f>
        <v>Delhi</v>
      </c>
      <c r="M1958">
        <f>Orders!G1958</f>
        <v>3560</v>
      </c>
      <c r="N1958">
        <f>IFERROR(VLOOKUP(Orders!D1958,Products!$A$2:$D$61,4,FALSE),"")</f>
        <v>2629</v>
      </c>
      <c r="O1958">
        <f t="shared" si="64"/>
        <v>0.26151685393258428</v>
      </c>
      <c r="Q1958" t="str">
        <f>Orders!D1958</f>
        <v>PROD-018</v>
      </c>
    </row>
    <row r="1959" spans="1:17" x14ac:dyDescent="0.3">
      <c r="A1959" t="str">
        <f>Orders!A1959</f>
        <v>ORD-01958</v>
      </c>
      <c r="B1959">
        <f>Orders!B1959</f>
        <v>45633</v>
      </c>
      <c r="C1959">
        <f>Orders!I1959</f>
        <v>4748.24</v>
      </c>
      <c r="D1959" t="str">
        <f>Orders!E1959</f>
        <v>R028</v>
      </c>
      <c r="E1959" t="str">
        <f>IFERROR(VLOOKUP(Orders!D1959,Products!$A$2:$C$61,3,FALSE),"Unknown")</f>
        <v>Electronics</v>
      </c>
      <c r="F1959" t="str">
        <f>IFERROR(VLOOKUP(Orders!C1959,Customers!$A$2:$E$301,5,FALSE),"Unknown")</f>
        <v>Retail</v>
      </c>
      <c r="G1959">
        <f>IFERROR(VLOOKUP(Orders!C1959,Customers!$A$2:$C$301,3,FALSE),"")</f>
        <v>44</v>
      </c>
      <c r="H1959" t="str">
        <f>VLOOKUP(D1959,Sales_Reps!$A$2:$C$31,3,FALSE)</f>
        <v>West</v>
      </c>
      <c r="I1959" s="44">
        <f t="shared" si="63"/>
        <v>45627</v>
      </c>
      <c r="L1959" t="str">
        <f>Orders!K1959</f>
        <v>Mumbai</v>
      </c>
      <c r="M1959">
        <f>Orders!G1959</f>
        <v>1220</v>
      </c>
      <c r="N1959">
        <f>IFERROR(VLOOKUP(Orders!D1959,Products!$A$2:$D$61,4,FALSE),"")</f>
        <v>517</v>
      </c>
      <c r="O1959">
        <f t="shared" si="64"/>
        <v>0.57622950819672136</v>
      </c>
      <c r="Q1959" t="str">
        <f>Orders!D1959</f>
        <v>PROD-009</v>
      </c>
    </row>
    <row r="1960" spans="1:17" x14ac:dyDescent="0.3">
      <c r="A1960" t="str">
        <f>Orders!A1960</f>
        <v>ORD-01959</v>
      </c>
      <c r="B1960">
        <f>Orders!B1960</f>
        <v>45598</v>
      </c>
      <c r="C1960">
        <f>Orders!I1960</f>
        <v>35978.800000000003</v>
      </c>
      <c r="D1960" t="str">
        <f>Orders!E1960</f>
        <v>R020</v>
      </c>
      <c r="E1960" t="str">
        <f>IFERROR(VLOOKUP(Orders!D1960,Products!$A$2:$C$61,3,FALSE),"Unknown")</f>
        <v>Grocery</v>
      </c>
      <c r="F1960" t="str">
        <f>IFERROR(VLOOKUP(Orders!C1960,Customers!$A$2:$E$301,5,FALSE),"Unknown")</f>
        <v>Retail</v>
      </c>
      <c r="G1960">
        <f>IFERROR(VLOOKUP(Orders!C1960,Customers!$A$2:$C$301,3,FALSE),"")</f>
        <v>24</v>
      </c>
      <c r="H1960" t="str">
        <f>VLOOKUP(D1960,Sales_Reps!$A$2:$C$31,3,FALSE)</f>
        <v>East</v>
      </c>
      <c r="I1960" s="44">
        <f t="shared" si="63"/>
        <v>45597</v>
      </c>
      <c r="L1960" t="str">
        <f>Orders!K1960</f>
        <v>Chennai</v>
      </c>
      <c r="M1960">
        <f>Orders!G1960</f>
        <v>4070</v>
      </c>
      <c r="N1960">
        <f>IFERROR(VLOOKUP(Orders!D1960,Products!$A$2:$D$61,4,FALSE),"")</f>
        <v>2027</v>
      </c>
      <c r="O1960">
        <f t="shared" si="64"/>
        <v>0.50196560196560192</v>
      </c>
      <c r="Q1960" t="str">
        <f>Orders!D1960</f>
        <v>PROD-026</v>
      </c>
    </row>
    <row r="1961" spans="1:17" x14ac:dyDescent="0.3">
      <c r="A1961" t="str">
        <f>Orders!A1961</f>
        <v>ORD-01960</v>
      </c>
      <c r="B1961">
        <f>Orders!B1961</f>
        <v>45336</v>
      </c>
      <c r="C1961">
        <f>Orders!I1961</f>
        <v>26059.200000000001</v>
      </c>
      <c r="D1961" t="str">
        <f>Orders!E1961</f>
        <v>R019</v>
      </c>
      <c r="E1961" t="str">
        <f>IFERROR(VLOOKUP(Orders!D1961,Products!$A$2:$C$61,3,FALSE),"Unknown")</f>
        <v>Grocery</v>
      </c>
      <c r="F1961" t="str">
        <f>IFERROR(VLOOKUP(Orders!C1961,Customers!$A$2:$E$301,5,FALSE),"Unknown")</f>
        <v>Retail</v>
      </c>
      <c r="G1961">
        <f>IFERROR(VLOOKUP(Orders!C1961,Customers!$A$2:$C$301,3,FALSE),"")</f>
        <v>63</v>
      </c>
      <c r="H1961" t="str">
        <f>VLOOKUP(D1961,Sales_Reps!$A$2:$C$31,3,FALSE)</f>
        <v>East</v>
      </c>
      <c r="I1961" s="44">
        <f t="shared" si="63"/>
        <v>45323</v>
      </c>
      <c r="L1961" t="str">
        <f>Orders!K1961</f>
        <v>Delhi</v>
      </c>
      <c r="M1961">
        <f>Orders!G1961</f>
        <v>3660</v>
      </c>
      <c r="N1961">
        <f>IFERROR(VLOOKUP(Orders!D1961,Products!$A$2:$D$61,4,FALSE),"")</f>
        <v>2214</v>
      </c>
      <c r="O1961">
        <f t="shared" si="64"/>
        <v>0.39508196721311473</v>
      </c>
      <c r="Q1961" t="str">
        <f>Orders!D1961</f>
        <v>PROD-028</v>
      </c>
    </row>
    <row r="1962" spans="1:17" x14ac:dyDescent="0.3">
      <c r="A1962" t="str">
        <f>Orders!A1962</f>
        <v>ORD-01961</v>
      </c>
      <c r="B1962">
        <f>Orders!B1962</f>
        <v>45449</v>
      </c>
      <c r="C1962">
        <f>Orders!I1962</f>
        <v>22326.6</v>
      </c>
      <c r="D1962" t="str">
        <f>Orders!E1962</f>
        <v>R018</v>
      </c>
      <c r="E1962" t="str">
        <f>IFERROR(VLOOKUP(Orders!D1962,Products!$A$2:$C$61,3,FALSE),"Unknown")</f>
        <v>Home</v>
      </c>
      <c r="F1962" t="str">
        <f>IFERROR(VLOOKUP(Orders!C1962,Customers!$A$2:$E$301,5,FALSE),"Unknown")</f>
        <v>Retail</v>
      </c>
      <c r="G1962">
        <f>IFERROR(VLOOKUP(Orders!C1962,Customers!$A$2:$C$301,3,FALSE),"")</f>
        <v>53</v>
      </c>
      <c r="H1962" t="str">
        <f>VLOOKUP(D1962,Sales_Reps!$A$2:$C$31,3,FALSE)</f>
        <v>East</v>
      </c>
      <c r="I1962" s="44">
        <f t="shared" si="63"/>
        <v>45444</v>
      </c>
      <c r="L1962" t="str">
        <f>Orders!K1962</f>
        <v>Mumbai</v>
      </c>
      <c r="M1962">
        <f>Orders!G1962</f>
        <v>5080</v>
      </c>
      <c r="N1962">
        <f>IFERROR(VLOOKUP(Orders!D1962,Products!$A$2:$D$61,4,FALSE),"")</f>
        <v>2459</v>
      </c>
      <c r="O1962">
        <f t="shared" si="64"/>
        <v>0.51594488188976373</v>
      </c>
      <c r="Q1962" t="str">
        <f>Orders!D1962</f>
        <v>PROD-034</v>
      </c>
    </row>
    <row r="1963" spans="1:17" x14ac:dyDescent="0.3">
      <c r="A1963" t="str">
        <f>Orders!A1963</f>
        <v>ORD-01962</v>
      </c>
      <c r="B1963">
        <f>Orders!B1963</f>
        <v>45338</v>
      </c>
      <c r="C1963">
        <f>Orders!I1963</f>
        <v>35727.5</v>
      </c>
      <c r="D1963" t="str">
        <f>Orders!E1963</f>
        <v>R013</v>
      </c>
      <c r="E1963" t="str">
        <f>IFERROR(VLOOKUP(Orders!D1963,Products!$A$2:$C$61,3,FALSE),"Unknown")</f>
        <v>Home</v>
      </c>
      <c r="F1963" t="str">
        <f>IFERROR(VLOOKUP(Orders!C1963,Customers!$A$2:$E$301,5,FALSE),"Unknown")</f>
        <v>Retail</v>
      </c>
      <c r="G1963">
        <f>IFERROR(VLOOKUP(Orders!C1963,Customers!$A$2:$C$301,3,FALSE),"")</f>
        <v>63</v>
      </c>
      <c r="H1963" t="str">
        <f>VLOOKUP(D1963,Sales_Reps!$A$2:$C$31,3,FALSE)</f>
        <v>South</v>
      </c>
      <c r="I1963" s="44">
        <f t="shared" si="63"/>
        <v>45323</v>
      </c>
      <c r="L1963" t="str">
        <f>Orders!K1963</f>
        <v>Delhi</v>
      </c>
      <c r="M1963">
        <f>Orders!G1963</f>
        <v>4610</v>
      </c>
      <c r="N1963">
        <f>IFERROR(VLOOKUP(Orders!D1963,Products!$A$2:$D$61,4,FALSE),"")</f>
        <v>1850</v>
      </c>
      <c r="O1963">
        <f t="shared" si="64"/>
        <v>0.59869848156182215</v>
      </c>
      <c r="Q1963" t="str">
        <f>Orders!D1963</f>
        <v>PROD-039</v>
      </c>
    </row>
    <row r="1964" spans="1:17" x14ac:dyDescent="0.3">
      <c r="A1964" t="str">
        <f>Orders!A1964</f>
        <v>ORD-01963</v>
      </c>
      <c r="B1964">
        <f>Orders!B1964</f>
        <v>45317</v>
      </c>
      <c r="C1964">
        <f>Orders!I1964</f>
        <v>6783</v>
      </c>
      <c r="D1964" t="str">
        <f>Orders!E1964</f>
        <v>R007</v>
      </c>
      <c r="E1964" t="str">
        <f>IFERROR(VLOOKUP(Orders!D1964,Products!$A$2:$C$61,3,FALSE),"Unknown")</f>
        <v>Electronics</v>
      </c>
      <c r="F1964" t="str">
        <f>IFERROR(VLOOKUP(Orders!C1964,Customers!$A$2:$E$301,5,FALSE),"Unknown")</f>
        <v>Retail</v>
      </c>
      <c r="G1964">
        <f>IFERROR(VLOOKUP(Orders!C1964,Customers!$A$2:$C$301,3,FALSE),"")</f>
        <v>27</v>
      </c>
      <c r="H1964" t="str">
        <f>VLOOKUP(D1964,Sales_Reps!$A$2:$C$31,3,FALSE)</f>
        <v>North</v>
      </c>
      <c r="I1964" s="44">
        <f t="shared" si="63"/>
        <v>45292</v>
      </c>
      <c r="L1964" t="str">
        <f>Orders!K1964</f>
        <v>Bengaluru</v>
      </c>
      <c r="M1964">
        <f>Orders!G1964</f>
        <v>2660</v>
      </c>
      <c r="N1964">
        <f>IFERROR(VLOOKUP(Orders!D1964,Products!$A$2:$D$61,4,FALSE),"")</f>
        <v>1259</v>
      </c>
      <c r="O1964">
        <f t="shared" si="64"/>
        <v>0.52669172932330832</v>
      </c>
      <c r="Q1964" t="str">
        <f>Orders!D1964</f>
        <v>PROD-008</v>
      </c>
    </row>
    <row r="1965" spans="1:17" x14ac:dyDescent="0.3">
      <c r="A1965" t="str">
        <f>Orders!A1965</f>
        <v>ORD-01964</v>
      </c>
      <c r="B1965">
        <f>Orders!B1965</f>
        <v>45384</v>
      </c>
      <c r="C1965">
        <f>Orders!I1965</f>
        <v>15594.6</v>
      </c>
      <c r="D1965" t="str">
        <f>Orders!E1965</f>
        <v>R006</v>
      </c>
      <c r="E1965" t="str">
        <f>IFERROR(VLOOKUP(Orders!D1965,Products!$A$2:$C$61,3,FALSE),"Unknown")</f>
        <v>Apparel</v>
      </c>
      <c r="F1965" t="str">
        <f>IFERROR(VLOOKUP(Orders!C1965,Customers!$A$2:$E$301,5,FALSE),"Unknown")</f>
        <v>SMB</v>
      </c>
      <c r="G1965">
        <f>IFERROR(VLOOKUP(Orders!C1965,Customers!$A$2:$C$301,3,FALSE),"")</f>
        <v>48</v>
      </c>
      <c r="H1965" t="str">
        <f>VLOOKUP(D1965,Sales_Reps!$A$2:$C$31,3,FALSE)</f>
        <v>North</v>
      </c>
      <c r="I1965" s="44">
        <f t="shared" si="63"/>
        <v>45383</v>
      </c>
      <c r="L1965" t="str">
        <f>Orders!K1965</f>
        <v>Delhi</v>
      </c>
      <c r="M1965">
        <f>Orders!G1965</f>
        <v>3160</v>
      </c>
      <c r="N1965">
        <f>IFERROR(VLOOKUP(Orders!D1965,Products!$A$2:$D$61,4,FALSE),"")</f>
        <v>1886</v>
      </c>
      <c r="O1965">
        <f t="shared" si="64"/>
        <v>0.4031645569620253</v>
      </c>
      <c r="Q1965" t="str">
        <f>Orders!D1965</f>
        <v>PROD-012</v>
      </c>
    </row>
    <row r="1966" spans="1:17" x14ac:dyDescent="0.3">
      <c r="A1966" t="str">
        <f>Orders!A1966</f>
        <v>ORD-01965</v>
      </c>
      <c r="B1966">
        <f>Orders!B1966</f>
        <v>45325</v>
      </c>
      <c r="C1966">
        <f>Orders!I1966</f>
        <v>2627</v>
      </c>
      <c r="D1966" t="str">
        <f>Orders!E1966</f>
        <v>R004</v>
      </c>
      <c r="E1966" t="str">
        <f>IFERROR(VLOOKUP(Orders!D1966,Products!$A$2:$C$61,3,FALSE),"Unknown")</f>
        <v>Home</v>
      </c>
      <c r="F1966" t="str">
        <f>IFERROR(VLOOKUP(Orders!C1966,Customers!$A$2:$E$301,5,FALSE),"Unknown")</f>
        <v>Retail</v>
      </c>
      <c r="G1966">
        <f>IFERROR(VLOOKUP(Orders!C1966,Customers!$A$2:$C$301,3,FALSE),"")</f>
        <v>41</v>
      </c>
      <c r="H1966" t="str">
        <f>VLOOKUP(D1966,Sales_Reps!$A$2:$C$31,3,FALSE)</f>
        <v>North</v>
      </c>
      <c r="I1966" s="44">
        <f t="shared" si="63"/>
        <v>45323</v>
      </c>
      <c r="L1966" t="str">
        <f>Orders!K1966</f>
        <v>Delhi</v>
      </c>
      <c r="M1966">
        <f>Orders!G1966</f>
        <v>370</v>
      </c>
      <c r="N1966">
        <f>IFERROR(VLOOKUP(Orders!D1966,Products!$A$2:$D$61,4,FALSE),"")</f>
        <v>288</v>
      </c>
      <c r="O1966">
        <f t="shared" si="64"/>
        <v>0.22162162162162163</v>
      </c>
      <c r="Q1966" t="str">
        <f>Orders!D1966</f>
        <v>PROD-032</v>
      </c>
    </row>
    <row r="1967" spans="1:17" x14ac:dyDescent="0.3">
      <c r="A1967" t="str">
        <f>Orders!A1967</f>
        <v>ORD-01966</v>
      </c>
      <c r="B1967">
        <f>Orders!B1967</f>
        <v>45358</v>
      </c>
      <c r="C1967">
        <f>Orders!I1967</f>
        <v>8675.9</v>
      </c>
      <c r="D1967" t="str">
        <f>Orders!E1967</f>
        <v>R008</v>
      </c>
      <c r="E1967" t="str">
        <f>IFERROR(VLOOKUP(Orders!D1967,Products!$A$2:$C$61,3,FALSE),"Unknown")</f>
        <v>Sports</v>
      </c>
      <c r="F1967" t="str">
        <f>IFERROR(VLOOKUP(Orders!C1967,Customers!$A$2:$E$301,5,FALSE),"Unknown")</f>
        <v>Retail</v>
      </c>
      <c r="G1967">
        <f>IFERROR(VLOOKUP(Orders!C1967,Customers!$A$2:$C$301,3,FALSE),"")</f>
        <v>54</v>
      </c>
      <c r="H1967" t="str">
        <f>VLOOKUP(D1967,Sales_Reps!$A$2:$C$31,3,FALSE)</f>
        <v>North</v>
      </c>
      <c r="I1967" s="44">
        <f t="shared" si="63"/>
        <v>45352</v>
      </c>
      <c r="L1967" t="str">
        <f>Orders!K1967</f>
        <v>Mumbai</v>
      </c>
      <c r="M1967">
        <f>Orders!G1967</f>
        <v>1010</v>
      </c>
      <c r="N1967">
        <f>IFERROR(VLOOKUP(Orders!D1967,Products!$A$2:$D$61,4,FALSE),"")</f>
        <v>516</v>
      </c>
      <c r="O1967">
        <f t="shared" si="64"/>
        <v>0.4891089108910891</v>
      </c>
      <c r="Q1967" t="str">
        <f>Orders!D1967</f>
        <v>PROD-054</v>
      </c>
    </row>
    <row r="1968" spans="1:17" x14ac:dyDescent="0.3">
      <c r="A1968" t="str">
        <f>Orders!A1968</f>
        <v>ORD-01967</v>
      </c>
      <c r="B1968">
        <f>Orders!B1968</f>
        <v>45586</v>
      </c>
      <c r="C1968">
        <f>Orders!I1968</f>
        <v>8159.52</v>
      </c>
      <c r="D1968" t="str">
        <f>Orders!E1968</f>
        <v>R030</v>
      </c>
      <c r="E1968" t="str">
        <f>IFERROR(VLOOKUP(Orders!D1968,Products!$A$2:$C$61,3,FALSE),"Unknown")</f>
        <v>Apparel</v>
      </c>
      <c r="F1968" t="str">
        <f>IFERROR(VLOOKUP(Orders!C1968,Customers!$A$2:$E$301,5,FALSE),"Unknown")</f>
        <v>SMB</v>
      </c>
      <c r="G1968">
        <f>IFERROR(VLOOKUP(Orders!C1968,Customers!$A$2:$C$301,3,FALSE),"")</f>
        <v>65</v>
      </c>
      <c r="H1968" t="str">
        <f>VLOOKUP(D1968,Sales_Reps!$A$2:$C$31,3,FALSE)</f>
        <v>West</v>
      </c>
      <c r="I1968" s="44">
        <f t="shared" si="63"/>
        <v>45566</v>
      </c>
      <c r="L1968" t="str">
        <f>Orders!K1968</f>
        <v>Hyderabad</v>
      </c>
      <c r="M1968">
        <f>Orders!G1968</f>
        <v>3560</v>
      </c>
      <c r="N1968">
        <f>IFERROR(VLOOKUP(Orders!D1968,Products!$A$2:$D$61,4,FALSE),"")</f>
        <v>2629</v>
      </c>
      <c r="O1968">
        <f t="shared" si="64"/>
        <v>0.26151685393258428</v>
      </c>
      <c r="Q1968" t="str">
        <f>Orders!D1968</f>
        <v>PROD-018</v>
      </c>
    </row>
    <row r="1969" spans="1:17" x14ac:dyDescent="0.3">
      <c r="A1969" t="str">
        <f>Orders!A1969</f>
        <v>ORD-01968</v>
      </c>
      <c r="B1969">
        <f>Orders!B1969</f>
        <v>45340</v>
      </c>
      <c r="C1969">
        <f>Orders!I1969</f>
        <v>9157.32</v>
      </c>
      <c r="D1969" t="str">
        <f>Orders!E1969</f>
        <v>R028</v>
      </c>
      <c r="E1969" t="str">
        <f>IFERROR(VLOOKUP(Orders!D1969,Products!$A$2:$C$61,3,FALSE),"Unknown")</f>
        <v>Electronics</v>
      </c>
      <c r="F1969" t="str">
        <f>IFERROR(VLOOKUP(Orders!C1969,Customers!$A$2:$E$301,5,FALSE),"Unknown")</f>
        <v>Retail</v>
      </c>
      <c r="G1969">
        <f>IFERROR(VLOOKUP(Orders!C1969,Customers!$A$2:$C$301,3,FALSE),"")</f>
        <v>28</v>
      </c>
      <c r="H1969" t="str">
        <f>VLOOKUP(D1969,Sales_Reps!$A$2:$C$31,3,FALSE)</f>
        <v>West</v>
      </c>
      <c r="I1969" s="44">
        <f t="shared" si="63"/>
        <v>45323</v>
      </c>
      <c r="L1969" t="str">
        <f>Orders!K1969</f>
        <v>Hyderabad</v>
      </c>
      <c r="M1969">
        <f>Orders!G1969</f>
        <v>1220</v>
      </c>
      <c r="N1969">
        <f>IFERROR(VLOOKUP(Orders!D1969,Products!$A$2:$D$61,4,FALSE),"")</f>
        <v>517</v>
      </c>
      <c r="O1969">
        <f t="shared" si="64"/>
        <v>0.57622950819672136</v>
      </c>
      <c r="Q1969" t="str">
        <f>Orders!D1969</f>
        <v>PROD-009</v>
      </c>
    </row>
    <row r="1970" spans="1:17" x14ac:dyDescent="0.3">
      <c r="A1970" t="str">
        <f>Orders!A1970</f>
        <v>ORD-01969</v>
      </c>
      <c r="B1970">
        <f>Orders!B1970</f>
        <v>45343</v>
      </c>
      <c r="C1970">
        <f>Orders!I1970</f>
        <v>1181.04</v>
      </c>
      <c r="D1970" t="str">
        <f>Orders!E1970</f>
        <v>R008</v>
      </c>
      <c r="E1970" t="str">
        <f>IFERROR(VLOOKUP(Orders!D1970,Products!$A$2:$C$61,3,FALSE),"Unknown")</f>
        <v>Sports</v>
      </c>
      <c r="F1970" t="str">
        <f>IFERROR(VLOOKUP(Orders!C1970,Customers!$A$2:$E$301,5,FALSE),"Unknown")</f>
        <v>Retail</v>
      </c>
      <c r="G1970">
        <f>IFERROR(VLOOKUP(Orders!C1970,Customers!$A$2:$C$301,3,FALSE),"")</f>
        <v>42</v>
      </c>
      <c r="H1970" t="str">
        <f>VLOOKUP(D1970,Sales_Reps!$A$2:$C$31,3,FALSE)</f>
        <v>North</v>
      </c>
      <c r="I1970" s="44">
        <f t="shared" si="63"/>
        <v>45323</v>
      </c>
      <c r="L1970" t="str">
        <f>Orders!K1970</f>
        <v>Pune</v>
      </c>
      <c r="M1970">
        <f>Orders!G1970</f>
        <v>190</v>
      </c>
      <c r="N1970">
        <f>IFERROR(VLOOKUP(Orders!D1970,Products!$A$2:$D$61,4,FALSE),"")</f>
        <v>147</v>
      </c>
      <c r="O1970">
        <f t="shared" si="64"/>
        <v>0.22631578947368422</v>
      </c>
      <c r="Q1970" t="str">
        <f>Orders!D1970</f>
        <v>PROD-060</v>
      </c>
    </row>
    <row r="1971" spans="1:17" x14ac:dyDescent="0.3">
      <c r="A1971" t="str">
        <f>Orders!A1971</f>
        <v>ORD-01970</v>
      </c>
      <c r="B1971">
        <f>Orders!B1971</f>
        <v>45468</v>
      </c>
      <c r="C1971">
        <f>Orders!I1971</f>
        <v>1943.24</v>
      </c>
      <c r="D1971" t="str">
        <f>Orders!E1971</f>
        <v>R002</v>
      </c>
      <c r="E1971" t="str">
        <f>IFERROR(VLOOKUP(Orders!D1971,Products!$A$2:$C$61,3,FALSE),"Unknown")</f>
        <v>Sports</v>
      </c>
      <c r="F1971" t="str">
        <f>IFERROR(VLOOKUP(Orders!C1971,Customers!$A$2:$E$301,5,FALSE),"Unknown")</f>
        <v>Corporate</v>
      </c>
      <c r="G1971">
        <f>IFERROR(VLOOKUP(Orders!C1971,Customers!$A$2:$C$301,3,FALSE),"")</f>
        <v>24</v>
      </c>
      <c r="H1971" t="str">
        <f>VLOOKUP(D1971,Sales_Reps!$A$2:$C$31,3,FALSE)</f>
        <v>North</v>
      </c>
      <c r="I1971" s="44">
        <f t="shared" si="63"/>
        <v>45444</v>
      </c>
      <c r="L1971" t="str">
        <f>Orders!K1971</f>
        <v>Chennai</v>
      </c>
      <c r="M1971">
        <f>Orders!G1971</f>
        <v>1010</v>
      </c>
      <c r="N1971">
        <f>IFERROR(VLOOKUP(Orders!D1971,Products!$A$2:$D$61,4,FALSE),"")</f>
        <v>516</v>
      </c>
      <c r="O1971">
        <f t="shared" si="64"/>
        <v>0.4891089108910891</v>
      </c>
      <c r="Q1971" t="str">
        <f>Orders!D1971</f>
        <v>PROD-054</v>
      </c>
    </row>
    <row r="1972" spans="1:17" x14ac:dyDescent="0.3">
      <c r="A1972" t="str">
        <f>Orders!A1972</f>
        <v>ORD-01971</v>
      </c>
      <c r="B1972">
        <f>Orders!B1972</f>
        <v>45439</v>
      </c>
      <c r="C1972">
        <f>Orders!I1972</f>
        <v>7373.6</v>
      </c>
      <c r="D1972" t="str">
        <f>Orders!E1972</f>
        <v>R009</v>
      </c>
      <c r="E1972" t="str">
        <f>IFERROR(VLOOKUP(Orders!D1972,Products!$A$2:$C$61,3,FALSE),"Unknown")</f>
        <v>Electronics</v>
      </c>
      <c r="F1972" t="str">
        <f>IFERROR(VLOOKUP(Orders!C1972,Customers!$A$2:$E$301,5,FALSE),"Unknown")</f>
        <v>Retail</v>
      </c>
      <c r="G1972">
        <f>IFERROR(VLOOKUP(Orders!C1972,Customers!$A$2:$C$301,3,FALSE),"")</f>
        <v>57</v>
      </c>
      <c r="H1972" t="str">
        <f>VLOOKUP(D1972,Sales_Reps!$A$2:$C$31,3,FALSE)</f>
        <v>South</v>
      </c>
      <c r="I1972" s="44">
        <f t="shared" si="63"/>
        <v>45413</v>
      </c>
      <c r="L1972" t="str">
        <f>Orders!K1972</f>
        <v>Mumbai</v>
      </c>
      <c r="M1972">
        <f>Orders!G1972</f>
        <v>2600</v>
      </c>
      <c r="N1972">
        <f>IFERROR(VLOOKUP(Orders!D1972,Products!$A$2:$D$61,4,FALSE),"")</f>
        <v>1052</v>
      </c>
      <c r="O1972">
        <f t="shared" si="64"/>
        <v>0.5953846153846154</v>
      </c>
      <c r="Q1972" t="str">
        <f>Orders!D1972</f>
        <v>PROD-002</v>
      </c>
    </row>
    <row r="1973" spans="1:17" x14ac:dyDescent="0.3">
      <c r="A1973" t="str">
        <f>Orders!A1973</f>
        <v>ORD-01972</v>
      </c>
      <c r="B1973">
        <f>Orders!B1973</f>
        <v>45517</v>
      </c>
      <c r="C1973">
        <f>Orders!I1973</f>
        <v>23184</v>
      </c>
      <c r="D1973" t="str">
        <f>Orders!E1973</f>
        <v>R029</v>
      </c>
      <c r="E1973" t="str">
        <f>IFERROR(VLOOKUP(Orders!D1973,Products!$A$2:$C$61,3,FALSE),"Unknown")</f>
        <v>Apparel</v>
      </c>
      <c r="F1973" t="str">
        <f>IFERROR(VLOOKUP(Orders!C1973,Customers!$A$2:$E$301,5,FALSE),"Unknown")</f>
        <v>Retail</v>
      </c>
      <c r="G1973">
        <f>IFERROR(VLOOKUP(Orders!C1973,Customers!$A$2:$C$301,3,FALSE),"")</f>
        <v>41</v>
      </c>
      <c r="H1973" t="str">
        <f>VLOOKUP(D1973,Sales_Reps!$A$2:$C$31,3,FALSE)</f>
        <v>West</v>
      </c>
      <c r="I1973" s="44">
        <f t="shared" si="63"/>
        <v>45505</v>
      </c>
      <c r="L1973" t="str">
        <f>Orders!K1973</f>
        <v>Delhi</v>
      </c>
      <c r="M1973">
        <f>Orders!G1973</f>
        <v>3450</v>
      </c>
      <c r="N1973">
        <f>IFERROR(VLOOKUP(Orders!D1973,Products!$A$2:$D$61,4,FALSE),"")</f>
        <v>1748</v>
      </c>
      <c r="O1973">
        <f t="shared" si="64"/>
        <v>0.49333333333333335</v>
      </c>
      <c r="Q1973" t="str">
        <f>Orders!D1973</f>
        <v>PROD-011</v>
      </c>
    </row>
    <row r="1974" spans="1:17" x14ac:dyDescent="0.3">
      <c r="A1974" t="str">
        <f>Orders!A1974</f>
        <v>ORD-01973</v>
      </c>
      <c r="B1974">
        <f>Orders!B1974</f>
        <v>45311</v>
      </c>
      <c r="C1974">
        <f>Orders!I1974</f>
        <v>13147.38</v>
      </c>
      <c r="D1974" t="str">
        <f>Orders!E1974</f>
        <v>R019</v>
      </c>
      <c r="E1974" t="str">
        <f>IFERROR(VLOOKUP(Orders!D1974,Products!$A$2:$C$61,3,FALSE),"Unknown")</f>
        <v>Apparel</v>
      </c>
      <c r="F1974" t="str">
        <f>IFERROR(VLOOKUP(Orders!C1974,Customers!$A$2:$E$301,5,FALSE),"Unknown")</f>
        <v>Corporate</v>
      </c>
      <c r="G1974">
        <f>IFERROR(VLOOKUP(Orders!C1974,Customers!$A$2:$C$301,3,FALSE),"")</f>
        <v>52</v>
      </c>
      <c r="H1974" t="str">
        <f>VLOOKUP(D1974,Sales_Reps!$A$2:$C$31,3,FALSE)</f>
        <v>East</v>
      </c>
      <c r="I1974" s="44">
        <f t="shared" si="63"/>
        <v>45292</v>
      </c>
      <c r="L1974" t="str">
        <f>Orders!K1974</f>
        <v>Chennai</v>
      </c>
      <c r="M1974">
        <f>Orders!G1974</f>
        <v>2510</v>
      </c>
      <c r="N1974">
        <f>IFERROR(VLOOKUP(Orders!D1974,Products!$A$2:$D$61,4,FALSE),"")</f>
        <v>1075</v>
      </c>
      <c r="O1974">
        <f t="shared" si="64"/>
        <v>0.57171314741035861</v>
      </c>
      <c r="Q1974" t="str">
        <f>Orders!D1974</f>
        <v>PROD-017</v>
      </c>
    </row>
    <row r="1975" spans="1:17" x14ac:dyDescent="0.3">
      <c r="A1975" t="str">
        <f>Orders!A1975</f>
        <v>ORD-01974</v>
      </c>
      <c r="B1975">
        <f>Orders!B1975</f>
        <v>45560</v>
      </c>
      <c r="C1975">
        <f>Orders!I1975</f>
        <v>912</v>
      </c>
      <c r="D1975" t="str">
        <f>Orders!E1975</f>
        <v>R027</v>
      </c>
      <c r="E1975" t="str">
        <f>IFERROR(VLOOKUP(Orders!D1975,Products!$A$2:$C$61,3,FALSE),"Unknown")</f>
        <v>Sports</v>
      </c>
      <c r="F1975" t="str">
        <f>IFERROR(VLOOKUP(Orders!C1975,Customers!$A$2:$E$301,5,FALSE),"Unknown")</f>
        <v>Retail</v>
      </c>
      <c r="G1975">
        <f>IFERROR(VLOOKUP(Orders!C1975,Customers!$A$2:$C$301,3,FALSE),"")</f>
        <v>36</v>
      </c>
      <c r="H1975" t="str">
        <f>VLOOKUP(D1975,Sales_Reps!$A$2:$C$31,3,FALSE)</f>
        <v>West</v>
      </c>
      <c r="I1975" s="44">
        <f t="shared" si="63"/>
        <v>45536</v>
      </c>
      <c r="L1975" t="str">
        <f>Orders!K1975</f>
        <v>Mumbai</v>
      </c>
      <c r="M1975">
        <f>Orders!G1975</f>
        <v>190</v>
      </c>
      <c r="N1975">
        <f>IFERROR(VLOOKUP(Orders!D1975,Products!$A$2:$D$61,4,FALSE),"")</f>
        <v>147</v>
      </c>
      <c r="O1975">
        <f t="shared" si="64"/>
        <v>0.22631578947368422</v>
      </c>
      <c r="Q1975" t="str">
        <f>Orders!D1975</f>
        <v>PROD-060</v>
      </c>
    </row>
    <row r="1976" spans="1:17" x14ac:dyDescent="0.3">
      <c r="A1976" t="str">
        <f>Orders!A1976</f>
        <v>ORD-01975</v>
      </c>
      <c r="B1976">
        <f>Orders!B1976</f>
        <v>45529</v>
      </c>
      <c r="C1976">
        <f>Orders!I1976</f>
        <v>12952.5</v>
      </c>
      <c r="D1976" t="str">
        <f>Orders!E1976</f>
        <v>R029</v>
      </c>
      <c r="E1976" t="str">
        <f>IFERROR(VLOOKUP(Orders!D1976,Products!$A$2:$C$61,3,FALSE),"Unknown")</f>
        <v>Beauty</v>
      </c>
      <c r="F1976" t="str">
        <f>IFERROR(VLOOKUP(Orders!C1976,Customers!$A$2:$E$301,5,FALSE),"Unknown")</f>
        <v>Retail</v>
      </c>
      <c r="G1976">
        <f>IFERROR(VLOOKUP(Orders!C1976,Customers!$A$2:$C$301,3,FALSE),"")</f>
        <v>42</v>
      </c>
      <c r="H1976" t="str">
        <f>VLOOKUP(D1976,Sales_Reps!$A$2:$C$31,3,FALSE)</f>
        <v>West</v>
      </c>
      <c r="I1976" s="44">
        <f t="shared" si="63"/>
        <v>45505</v>
      </c>
      <c r="L1976" t="str">
        <f>Orders!K1976</f>
        <v>Pune</v>
      </c>
      <c r="M1976">
        <f>Orders!G1976</f>
        <v>1650</v>
      </c>
      <c r="N1976">
        <f>IFERROR(VLOOKUP(Orders!D1976,Products!$A$2:$D$61,4,FALSE),"")</f>
        <v>1222</v>
      </c>
      <c r="O1976">
        <f t="shared" si="64"/>
        <v>0.2593939393939394</v>
      </c>
      <c r="Q1976" t="str">
        <f>Orders!D1976</f>
        <v>PROD-044</v>
      </c>
    </row>
    <row r="1977" spans="1:17" x14ac:dyDescent="0.3">
      <c r="A1977" t="str">
        <f>Orders!A1977</f>
        <v>ORD-01976</v>
      </c>
      <c r="B1977">
        <f>Orders!B1977</f>
        <v>45344</v>
      </c>
      <c r="C1977">
        <f>Orders!I1977</f>
        <v>9701.1200000000008</v>
      </c>
      <c r="D1977" t="str">
        <f>Orders!E1977</f>
        <v>R009</v>
      </c>
      <c r="E1977" t="str">
        <f>IFERROR(VLOOKUP(Orders!D1977,Products!$A$2:$C$61,3,FALSE),"Unknown")</f>
        <v>Sports</v>
      </c>
      <c r="F1977" t="str">
        <f>IFERROR(VLOOKUP(Orders!C1977,Customers!$A$2:$E$301,5,FALSE),"Unknown")</f>
        <v>Corporate</v>
      </c>
      <c r="G1977">
        <f>IFERROR(VLOOKUP(Orders!C1977,Customers!$A$2:$C$301,3,FALSE),"")</f>
        <v>57</v>
      </c>
      <c r="H1977" t="str">
        <f>VLOOKUP(D1977,Sales_Reps!$A$2:$C$31,3,FALSE)</f>
        <v>South</v>
      </c>
      <c r="I1977" s="44">
        <f t="shared" si="63"/>
        <v>45323</v>
      </c>
      <c r="L1977" t="str">
        <f>Orders!K1977</f>
        <v>Bengaluru</v>
      </c>
      <c r="M1977">
        <f>Orders!G1977</f>
        <v>2860</v>
      </c>
      <c r="N1977">
        <f>IFERROR(VLOOKUP(Orders!D1977,Products!$A$2:$D$61,4,FALSE),"")</f>
        <v>2028</v>
      </c>
      <c r="O1977">
        <f t="shared" si="64"/>
        <v>0.29090909090909089</v>
      </c>
      <c r="Q1977" t="str">
        <f>Orders!D1977</f>
        <v>PROD-055</v>
      </c>
    </row>
    <row r="1978" spans="1:17" x14ac:dyDescent="0.3">
      <c r="A1978" t="str">
        <f>Orders!A1978</f>
        <v>ORD-01977</v>
      </c>
      <c r="B1978">
        <f>Orders!B1978</f>
        <v>45589</v>
      </c>
      <c r="C1978">
        <f>Orders!I1978</f>
        <v>1209.78</v>
      </c>
      <c r="D1978" t="str">
        <f>Orders!E1978</f>
        <v>R028</v>
      </c>
      <c r="E1978" t="str">
        <f>IFERROR(VLOOKUP(Orders!D1978,Products!$A$2:$C$61,3,FALSE),"Unknown")</f>
        <v>Sports</v>
      </c>
      <c r="F1978" t="str">
        <f>IFERROR(VLOOKUP(Orders!C1978,Customers!$A$2:$E$301,5,FALSE),"Unknown")</f>
        <v>Retail</v>
      </c>
      <c r="G1978">
        <f>IFERROR(VLOOKUP(Orders!C1978,Customers!$A$2:$C$301,3,FALSE),"")</f>
        <v>54</v>
      </c>
      <c r="H1978" t="str">
        <f>VLOOKUP(D1978,Sales_Reps!$A$2:$C$31,3,FALSE)</f>
        <v>West</v>
      </c>
      <c r="I1978" s="44">
        <f t="shared" si="63"/>
        <v>45566</v>
      </c>
      <c r="L1978" t="str">
        <f>Orders!K1978</f>
        <v>Pune</v>
      </c>
      <c r="M1978">
        <f>Orders!G1978</f>
        <v>470</v>
      </c>
      <c r="N1978">
        <f>IFERROR(VLOOKUP(Orders!D1978,Products!$A$2:$D$61,4,FALSE),"")</f>
        <v>302</v>
      </c>
      <c r="O1978">
        <f t="shared" si="64"/>
        <v>0.35744680851063831</v>
      </c>
      <c r="Q1978" t="str">
        <f>Orders!D1978</f>
        <v>PROD-053</v>
      </c>
    </row>
    <row r="1979" spans="1:17" x14ac:dyDescent="0.3">
      <c r="A1979" t="str">
        <f>Orders!A1979</f>
        <v>ORD-01978</v>
      </c>
      <c r="B1979">
        <f>Orders!B1979</f>
        <v>45469</v>
      </c>
      <c r="C1979">
        <f>Orders!I1979</f>
        <v>4696.12</v>
      </c>
      <c r="D1979" t="str">
        <f>Orders!E1979</f>
        <v>R030</v>
      </c>
      <c r="E1979" t="str">
        <f>IFERROR(VLOOKUP(Orders!D1979,Products!$A$2:$C$61,3,FALSE),"Unknown")</f>
        <v>Sports</v>
      </c>
      <c r="F1979" t="str">
        <f>IFERROR(VLOOKUP(Orders!C1979,Customers!$A$2:$E$301,5,FALSE),"Unknown")</f>
        <v>Corporate</v>
      </c>
      <c r="G1979">
        <f>IFERROR(VLOOKUP(Orders!C1979,Customers!$A$2:$C$301,3,FALSE),"")</f>
        <v>54</v>
      </c>
      <c r="H1979" t="str">
        <f>VLOOKUP(D1979,Sales_Reps!$A$2:$C$31,3,FALSE)</f>
        <v>West</v>
      </c>
      <c r="I1979" s="44">
        <f t="shared" si="63"/>
        <v>45444</v>
      </c>
      <c r="L1979" t="str">
        <f>Orders!K1979</f>
        <v>Hyderabad</v>
      </c>
      <c r="M1979">
        <f>Orders!G1979</f>
        <v>2860</v>
      </c>
      <c r="N1979">
        <f>IFERROR(VLOOKUP(Orders!D1979,Products!$A$2:$D$61,4,FALSE),"")</f>
        <v>2028</v>
      </c>
      <c r="O1979">
        <f t="shared" si="64"/>
        <v>0.29090909090909089</v>
      </c>
      <c r="Q1979" t="str">
        <f>Orders!D1979</f>
        <v>PROD-055</v>
      </c>
    </row>
    <row r="1980" spans="1:17" x14ac:dyDescent="0.3">
      <c r="A1980" t="str">
        <f>Orders!A1980</f>
        <v>ORD-01979</v>
      </c>
      <c r="B1980">
        <f>Orders!B1980</f>
        <v>45407</v>
      </c>
      <c r="C1980">
        <f>Orders!I1980</f>
        <v>4389.6000000000004</v>
      </c>
      <c r="D1980" t="str">
        <f>Orders!E1980</f>
        <v>R018</v>
      </c>
      <c r="E1980" t="str">
        <f>IFERROR(VLOOKUP(Orders!D1980,Products!$A$2:$C$61,3,FALSE),"Unknown")</f>
        <v>Apparel</v>
      </c>
      <c r="F1980" t="str">
        <f>IFERROR(VLOOKUP(Orders!C1980,Customers!$A$2:$E$301,5,FALSE),"Unknown")</f>
        <v>Retail</v>
      </c>
      <c r="G1980">
        <f>IFERROR(VLOOKUP(Orders!C1980,Customers!$A$2:$C$301,3,FALSE),"")</f>
        <v>38</v>
      </c>
      <c r="H1980" t="str">
        <f>VLOOKUP(D1980,Sales_Reps!$A$2:$C$31,3,FALSE)</f>
        <v>East</v>
      </c>
      <c r="I1980" s="44">
        <f t="shared" si="63"/>
        <v>45383</v>
      </c>
      <c r="L1980" t="str">
        <f>Orders!K1980</f>
        <v>Mumbai</v>
      </c>
      <c r="M1980">
        <f>Orders!G1980</f>
        <v>2480</v>
      </c>
      <c r="N1980">
        <f>IFERROR(VLOOKUP(Orders!D1980,Products!$A$2:$D$61,4,FALSE),"")</f>
        <v>1173</v>
      </c>
      <c r="O1980">
        <f t="shared" si="64"/>
        <v>0.52701612903225803</v>
      </c>
      <c r="Q1980" t="str">
        <f>Orders!D1980</f>
        <v>PROD-019</v>
      </c>
    </row>
    <row r="1981" spans="1:17" x14ac:dyDescent="0.3">
      <c r="A1981" t="str">
        <f>Orders!A1981</f>
        <v>ORD-01980</v>
      </c>
      <c r="B1981">
        <f>Orders!B1981</f>
        <v>45635</v>
      </c>
      <c r="C1981">
        <f>Orders!I1981</f>
        <v>14372.4</v>
      </c>
      <c r="D1981" t="str">
        <f>Orders!E1981</f>
        <v>R006</v>
      </c>
      <c r="E1981" t="str">
        <f>IFERROR(VLOOKUP(Orders!D1981,Products!$A$2:$C$61,3,FALSE),"Unknown")</f>
        <v>Home</v>
      </c>
      <c r="F1981" t="str">
        <f>IFERROR(VLOOKUP(Orders!C1981,Customers!$A$2:$E$301,5,FALSE),"Unknown")</f>
        <v>SMB</v>
      </c>
      <c r="G1981">
        <f>IFERROR(VLOOKUP(Orders!C1981,Customers!$A$2:$C$301,3,FALSE),"")</f>
        <v>44</v>
      </c>
      <c r="H1981" t="str">
        <f>VLOOKUP(D1981,Sales_Reps!$A$2:$C$31,3,FALSE)</f>
        <v>North</v>
      </c>
      <c r="I1981" s="44">
        <f t="shared" si="63"/>
        <v>45627</v>
      </c>
      <c r="L1981" t="str">
        <f>Orders!K1981</f>
        <v>Bengaluru</v>
      </c>
      <c r="M1981">
        <f>Orders!G1981</f>
        <v>2030</v>
      </c>
      <c r="N1981">
        <f>IFERROR(VLOOKUP(Orders!D1981,Products!$A$2:$D$61,4,FALSE),"")</f>
        <v>1143</v>
      </c>
      <c r="O1981">
        <f t="shared" si="64"/>
        <v>0.43694581280788175</v>
      </c>
      <c r="Q1981" t="str">
        <f>Orders!D1981</f>
        <v>PROD-033</v>
      </c>
    </row>
    <row r="1982" spans="1:17" x14ac:dyDescent="0.3">
      <c r="A1982" t="str">
        <f>Orders!A1982</f>
        <v>ORD-01981</v>
      </c>
      <c r="B1982">
        <f>Orders!B1982</f>
        <v>45489</v>
      </c>
      <c r="C1982">
        <f>Orders!I1982</f>
        <v>19975.5</v>
      </c>
      <c r="D1982" t="str">
        <f>Orders!E1982</f>
        <v>R012</v>
      </c>
      <c r="E1982" t="str">
        <f>IFERROR(VLOOKUP(Orders!D1982,Products!$A$2:$C$61,3,FALSE),"Unknown")</f>
        <v>Beauty</v>
      </c>
      <c r="F1982" t="str">
        <f>IFERROR(VLOOKUP(Orders!C1982,Customers!$A$2:$E$301,5,FALSE),"Unknown")</f>
        <v>SMB</v>
      </c>
      <c r="G1982">
        <f>IFERROR(VLOOKUP(Orders!C1982,Customers!$A$2:$C$301,3,FALSE),"")</f>
        <v>44</v>
      </c>
      <c r="H1982" t="str">
        <f>VLOOKUP(D1982,Sales_Reps!$A$2:$C$31,3,FALSE)</f>
        <v>South</v>
      </c>
      <c r="I1982" s="44">
        <f t="shared" si="63"/>
        <v>45474</v>
      </c>
      <c r="L1982" t="str">
        <f>Orders!K1982</f>
        <v>Pune</v>
      </c>
      <c r="M1982">
        <f>Orders!G1982</f>
        <v>3450</v>
      </c>
      <c r="N1982">
        <f>IFERROR(VLOOKUP(Orders!D1982,Products!$A$2:$D$61,4,FALSE),"")</f>
        <v>2420</v>
      </c>
      <c r="O1982">
        <f t="shared" si="64"/>
        <v>0.29855072463768118</v>
      </c>
      <c r="Q1982" t="str">
        <f>Orders!D1982</f>
        <v>PROD-047</v>
      </c>
    </row>
    <row r="1983" spans="1:17" x14ac:dyDescent="0.3">
      <c r="A1983" t="str">
        <f>Orders!A1983</f>
        <v>ORD-01982</v>
      </c>
      <c r="B1983">
        <f>Orders!B1983</f>
        <v>45356</v>
      </c>
      <c r="C1983">
        <f>Orders!I1983</f>
        <v>13799.5</v>
      </c>
      <c r="D1983" t="str">
        <f>Orders!E1983</f>
        <v>R011</v>
      </c>
      <c r="E1983" t="str">
        <f>IFERROR(VLOOKUP(Orders!D1983,Products!$A$2:$C$61,3,FALSE),"Unknown")</f>
        <v>Electronics</v>
      </c>
      <c r="F1983" t="str">
        <f>IFERROR(VLOOKUP(Orders!C1983,Customers!$A$2:$E$301,5,FALSE),"Unknown")</f>
        <v>Retail</v>
      </c>
      <c r="G1983">
        <f>IFERROR(VLOOKUP(Orders!C1983,Customers!$A$2:$C$301,3,FALSE),"")</f>
        <v>61</v>
      </c>
      <c r="H1983" t="str">
        <f>VLOOKUP(D1983,Sales_Reps!$A$2:$C$31,3,FALSE)</f>
        <v>South</v>
      </c>
      <c r="I1983" s="44">
        <f t="shared" si="63"/>
        <v>45352</v>
      </c>
      <c r="L1983" t="str">
        <f>Orders!K1983</f>
        <v>Chennai</v>
      </c>
      <c r="M1983">
        <f>Orders!G1983</f>
        <v>1430</v>
      </c>
      <c r="N1983">
        <f>IFERROR(VLOOKUP(Orders!D1983,Products!$A$2:$D$61,4,FALSE),"")</f>
        <v>861</v>
      </c>
      <c r="O1983">
        <f t="shared" si="64"/>
        <v>0.39790209790209791</v>
      </c>
      <c r="Q1983" t="str">
        <f>Orders!D1983</f>
        <v>PROD-007</v>
      </c>
    </row>
    <row r="1984" spans="1:17" x14ac:dyDescent="0.3">
      <c r="A1984" t="str">
        <f>Orders!A1984</f>
        <v>ORD-01983</v>
      </c>
      <c r="B1984">
        <f>Orders!B1984</f>
        <v>45422</v>
      </c>
      <c r="C1984">
        <f>Orders!I1984</f>
        <v>701.1</v>
      </c>
      <c r="D1984" t="str">
        <f>Orders!E1984</f>
        <v>R017</v>
      </c>
      <c r="E1984" t="str">
        <f>IFERROR(VLOOKUP(Orders!D1984,Products!$A$2:$C$61,3,FALSE),"Unknown")</f>
        <v>Apparel</v>
      </c>
      <c r="F1984" t="str">
        <f>IFERROR(VLOOKUP(Orders!C1984,Customers!$A$2:$E$301,5,FALSE),"Unknown")</f>
        <v>Retail</v>
      </c>
      <c r="G1984">
        <f>IFERROR(VLOOKUP(Orders!C1984,Customers!$A$2:$C$301,3,FALSE),"")</f>
        <v>26</v>
      </c>
      <c r="H1984" t="str">
        <f>VLOOKUP(D1984,Sales_Reps!$A$2:$C$31,3,FALSE)</f>
        <v>East</v>
      </c>
      <c r="I1984" s="44">
        <f t="shared" si="63"/>
        <v>45413</v>
      </c>
      <c r="L1984" t="str">
        <f>Orders!K1984</f>
        <v>Chennai</v>
      </c>
      <c r="M1984">
        <f>Orders!G1984</f>
        <v>820</v>
      </c>
      <c r="N1984">
        <f>IFERROR(VLOOKUP(Orders!D1984,Products!$A$2:$D$61,4,FALSE),"")</f>
        <v>391</v>
      </c>
      <c r="O1984">
        <f t="shared" si="64"/>
        <v>0.52317073170731709</v>
      </c>
      <c r="Q1984" t="str">
        <f>Orders!D1984</f>
        <v>PROD-020</v>
      </c>
    </row>
    <row r="1985" spans="1:17" x14ac:dyDescent="0.3">
      <c r="A1985" t="str">
        <f>Orders!A1985</f>
        <v>ORD-01984</v>
      </c>
      <c r="B1985">
        <f>Orders!B1985</f>
        <v>45333</v>
      </c>
      <c r="C1985">
        <f>Orders!I1985</f>
        <v>23960.799999999999</v>
      </c>
      <c r="D1985" t="str">
        <f>Orders!E1985</f>
        <v>R023</v>
      </c>
      <c r="E1985" t="str">
        <f>IFERROR(VLOOKUP(Orders!D1985,Products!$A$2:$C$61,3,FALSE),"Unknown")</f>
        <v>Beauty</v>
      </c>
      <c r="F1985" t="str">
        <f>IFERROR(VLOOKUP(Orders!C1985,Customers!$A$2:$E$301,5,FALSE),"Unknown")</f>
        <v>Corporate</v>
      </c>
      <c r="G1985">
        <f>IFERROR(VLOOKUP(Orders!C1985,Customers!$A$2:$C$301,3,FALSE),"")</f>
        <v>55</v>
      </c>
      <c r="H1985" t="str">
        <f>VLOOKUP(D1985,Sales_Reps!$A$2:$C$31,3,FALSE)</f>
        <v>East</v>
      </c>
      <c r="I1985" s="44">
        <f t="shared" si="63"/>
        <v>45323</v>
      </c>
      <c r="L1985" t="str">
        <f>Orders!K1985</f>
        <v>Bengaluru</v>
      </c>
      <c r="M1985">
        <f>Orders!G1985</f>
        <v>4880</v>
      </c>
      <c r="N1985">
        <f>IFERROR(VLOOKUP(Orders!D1985,Products!$A$2:$D$61,4,FALSE),"")</f>
        <v>2768</v>
      </c>
      <c r="O1985">
        <f t="shared" si="64"/>
        <v>0.43278688524590164</v>
      </c>
      <c r="Q1985" t="str">
        <f>Orders!D1985</f>
        <v>PROD-046</v>
      </c>
    </row>
    <row r="1986" spans="1:17" x14ac:dyDescent="0.3">
      <c r="A1986" t="str">
        <f>Orders!A1986</f>
        <v>ORD-01985</v>
      </c>
      <c r="B1986">
        <f>Orders!B1986</f>
        <v>45385</v>
      </c>
      <c r="C1986">
        <f>Orders!I1986</f>
        <v>19751.599999999999</v>
      </c>
      <c r="D1986" t="str">
        <f>Orders!E1986</f>
        <v>R016</v>
      </c>
      <c r="E1986" t="str">
        <f>IFERROR(VLOOKUP(Orders!D1986,Products!$A$2:$C$61,3,FALSE),"Unknown")</f>
        <v>Beauty</v>
      </c>
      <c r="F1986" t="str">
        <f>IFERROR(VLOOKUP(Orders!C1986,Customers!$A$2:$E$301,5,FALSE),"Unknown")</f>
        <v>Retail</v>
      </c>
      <c r="G1986">
        <f>IFERROR(VLOOKUP(Orders!C1986,Customers!$A$2:$C$301,3,FALSE),"")</f>
        <v>36</v>
      </c>
      <c r="H1986" t="str">
        <f>VLOOKUP(D1986,Sales_Reps!$A$2:$C$31,3,FALSE)</f>
        <v>South</v>
      </c>
      <c r="I1986" s="44">
        <f t="shared" si="63"/>
        <v>45383</v>
      </c>
      <c r="L1986" t="str">
        <f>Orders!K1986</f>
        <v>Mumbai</v>
      </c>
      <c r="M1986">
        <f>Orders!G1986</f>
        <v>3350</v>
      </c>
      <c r="N1986">
        <f>IFERROR(VLOOKUP(Orders!D1986,Products!$A$2:$D$61,4,FALSE),"")</f>
        <v>1728</v>
      </c>
      <c r="O1986">
        <f t="shared" si="64"/>
        <v>0.48417910447761192</v>
      </c>
      <c r="Q1986" t="str">
        <f>Orders!D1986</f>
        <v>PROD-043</v>
      </c>
    </row>
    <row r="1987" spans="1:17" x14ac:dyDescent="0.3">
      <c r="A1987" t="str">
        <f>Orders!A1987</f>
        <v>ORD-01986</v>
      </c>
      <c r="B1987">
        <f>Orders!B1987</f>
        <v>45298</v>
      </c>
      <c r="C1987">
        <f>Orders!I1987</f>
        <v>16896.240000000002</v>
      </c>
      <c r="D1987" t="str">
        <f>Orders!E1987</f>
        <v>R022</v>
      </c>
      <c r="E1987" t="str">
        <f>IFERROR(VLOOKUP(Orders!D1987,Products!$A$2:$C$61,3,FALSE),"Unknown")</f>
        <v>Apparel</v>
      </c>
      <c r="F1987" t="str">
        <f>IFERROR(VLOOKUP(Orders!C1987,Customers!$A$2:$E$301,5,FALSE),"Unknown")</f>
        <v>Retail</v>
      </c>
      <c r="G1987">
        <f>IFERROR(VLOOKUP(Orders!C1987,Customers!$A$2:$C$301,3,FALSE),"")</f>
        <v>32</v>
      </c>
      <c r="H1987" t="str">
        <f>VLOOKUP(D1987,Sales_Reps!$A$2:$C$31,3,FALSE)</f>
        <v>East</v>
      </c>
      <c r="I1987" s="44">
        <f t="shared" ref="I1987:I2001" si="65">DATE(YEAR(B1987),MONTH(B1987),1)</f>
        <v>45292</v>
      </c>
      <c r="L1987" t="str">
        <f>Orders!K1987</f>
        <v>Hyderabad</v>
      </c>
      <c r="M1987">
        <f>Orders!G1987</f>
        <v>2480</v>
      </c>
      <c r="N1987">
        <f>IFERROR(VLOOKUP(Orders!D1987,Products!$A$2:$D$61,4,FALSE),"")</f>
        <v>1173</v>
      </c>
      <c r="O1987">
        <f t="shared" ref="O1987:O2001" si="66">IF(OR(N1987="",M1987&lt;=0),"",(M1987-N1987)/M1987)</f>
        <v>0.52701612903225803</v>
      </c>
      <c r="Q1987" t="str">
        <f>Orders!D1987</f>
        <v>PROD-019</v>
      </c>
    </row>
    <row r="1988" spans="1:17" x14ac:dyDescent="0.3">
      <c r="A1988" t="str">
        <f>Orders!A1988</f>
        <v>ORD-01987</v>
      </c>
      <c r="B1988">
        <f>Orders!B1988</f>
        <v>45500</v>
      </c>
      <c r="C1988">
        <f>Orders!I1988</f>
        <v>37341</v>
      </c>
      <c r="D1988" t="str">
        <f>Orders!E1988</f>
        <v>R024</v>
      </c>
      <c r="E1988" t="str">
        <f>IFERROR(VLOOKUP(Orders!D1988,Products!$A$2:$C$61,3,FALSE),"Unknown")</f>
        <v>Home</v>
      </c>
      <c r="F1988" t="str">
        <f>IFERROR(VLOOKUP(Orders!C1988,Customers!$A$2:$E$301,5,FALSE),"Unknown")</f>
        <v>SMB</v>
      </c>
      <c r="G1988">
        <f>IFERROR(VLOOKUP(Orders!C1988,Customers!$A$2:$C$301,3,FALSE),"")</f>
        <v>64</v>
      </c>
      <c r="H1988" t="str">
        <f>VLOOKUP(D1988,Sales_Reps!$A$2:$C$31,3,FALSE)</f>
        <v>West</v>
      </c>
      <c r="I1988" s="44">
        <f t="shared" si="65"/>
        <v>45474</v>
      </c>
      <c r="L1988" t="str">
        <f>Orders!K1988</f>
        <v>Bengaluru</v>
      </c>
      <c r="M1988">
        <f>Orders!G1988</f>
        <v>4610</v>
      </c>
      <c r="N1988">
        <f>IFERROR(VLOOKUP(Orders!D1988,Products!$A$2:$D$61,4,FALSE),"")</f>
        <v>1850</v>
      </c>
      <c r="O1988">
        <f t="shared" si="66"/>
        <v>0.59869848156182215</v>
      </c>
      <c r="Q1988" t="str">
        <f>Orders!D1988</f>
        <v>PROD-039</v>
      </c>
    </row>
    <row r="1989" spans="1:17" x14ac:dyDescent="0.3">
      <c r="A1989" t="str">
        <f>Orders!A1989</f>
        <v>ORD-01988</v>
      </c>
      <c r="B1989">
        <f>Orders!B1989</f>
        <v>45409</v>
      </c>
      <c r="C1989">
        <f>Orders!I1989</f>
        <v>3696.84</v>
      </c>
      <c r="D1989" t="str">
        <f>Orders!E1989</f>
        <v>R004</v>
      </c>
      <c r="E1989" t="str">
        <f>IFERROR(VLOOKUP(Orders!D1989,Products!$A$2:$C$61,3,FALSE),"Unknown")</f>
        <v>Grocery</v>
      </c>
      <c r="F1989" t="str">
        <f>IFERROR(VLOOKUP(Orders!C1989,Customers!$A$2:$E$301,5,FALSE),"Unknown")</f>
        <v>Retail</v>
      </c>
      <c r="G1989">
        <f>IFERROR(VLOOKUP(Orders!C1989,Customers!$A$2:$C$301,3,FALSE),"")</f>
        <v>54</v>
      </c>
      <c r="H1989" t="str">
        <f>VLOOKUP(D1989,Sales_Reps!$A$2:$C$31,3,FALSE)</f>
        <v>North</v>
      </c>
      <c r="I1989" s="44">
        <f t="shared" si="65"/>
        <v>45383</v>
      </c>
      <c r="L1989" t="str">
        <f>Orders!K1989</f>
        <v>Mumbai</v>
      </c>
      <c r="M1989">
        <f>Orders!G1989</f>
        <v>3780</v>
      </c>
      <c r="N1989">
        <f>IFERROR(VLOOKUP(Orders!D1989,Products!$A$2:$D$61,4,FALSE),"")</f>
        <v>2436</v>
      </c>
      <c r="O1989">
        <f t="shared" si="66"/>
        <v>0.35555555555555557</v>
      </c>
      <c r="Q1989" t="str">
        <f>Orders!D1989</f>
        <v>PROD-027</v>
      </c>
    </row>
    <row r="1990" spans="1:17" x14ac:dyDescent="0.3">
      <c r="A1990" t="str">
        <f>Orders!A1990</f>
        <v>ORD-01989</v>
      </c>
      <c r="B1990">
        <f>Orders!B1990</f>
        <v>45401</v>
      </c>
      <c r="C1990">
        <f>Orders!I1990</f>
        <v>7121.16</v>
      </c>
      <c r="D1990" t="str">
        <f>Orders!E1990</f>
        <v>R026</v>
      </c>
      <c r="E1990" t="str">
        <f>IFERROR(VLOOKUP(Orders!D1990,Products!$A$2:$C$61,3,FALSE),"Unknown")</f>
        <v>Beauty</v>
      </c>
      <c r="F1990" t="str">
        <f>IFERROR(VLOOKUP(Orders!C1990,Customers!$A$2:$E$301,5,FALSE),"Unknown")</f>
        <v>Retail</v>
      </c>
      <c r="G1990">
        <f>IFERROR(VLOOKUP(Orders!C1990,Customers!$A$2:$C$301,3,FALSE),"")</f>
        <v>53</v>
      </c>
      <c r="H1990" t="str">
        <f>VLOOKUP(D1990,Sales_Reps!$A$2:$C$31,3,FALSE)</f>
        <v>West</v>
      </c>
      <c r="I1990" s="44">
        <f t="shared" si="65"/>
        <v>45383</v>
      </c>
      <c r="L1990" t="str">
        <f>Orders!K1990</f>
        <v>Delhi</v>
      </c>
      <c r="M1990">
        <f>Orders!G1990</f>
        <v>3020</v>
      </c>
      <c r="N1990">
        <f>IFERROR(VLOOKUP(Orders!D1990,Products!$A$2:$D$61,4,FALSE),"")</f>
        <v>1626</v>
      </c>
      <c r="O1990">
        <f t="shared" si="66"/>
        <v>0.46158940397350995</v>
      </c>
      <c r="Q1990" t="str">
        <f>Orders!D1990</f>
        <v>PROD-045</v>
      </c>
    </row>
    <row r="1991" spans="1:17" x14ac:dyDescent="0.3">
      <c r="A1991" t="str">
        <f>Orders!A1991</f>
        <v>ORD-01990</v>
      </c>
      <c r="B1991">
        <f>Orders!B1991</f>
        <v>45645</v>
      </c>
      <c r="C1991">
        <f>Orders!I1991</f>
        <v>7717.2</v>
      </c>
      <c r="D1991" t="str">
        <f>Orders!E1991</f>
        <v>R006</v>
      </c>
      <c r="E1991" t="str">
        <f>IFERROR(VLOOKUP(Orders!D1991,Products!$A$2:$C$61,3,FALSE),"Unknown")</f>
        <v>Home</v>
      </c>
      <c r="F1991" t="str">
        <f>IFERROR(VLOOKUP(Orders!C1991,Customers!$A$2:$E$301,5,FALSE),"Unknown")</f>
        <v>Retail</v>
      </c>
      <c r="G1991">
        <f>IFERROR(VLOOKUP(Orders!C1991,Customers!$A$2:$C$301,3,FALSE),"")</f>
        <v>32</v>
      </c>
      <c r="H1991" t="str">
        <f>VLOOKUP(D1991,Sales_Reps!$A$2:$C$31,3,FALSE)</f>
        <v>North</v>
      </c>
      <c r="I1991" s="44">
        <f t="shared" si="65"/>
        <v>45627</v>
      </c>
      <c r="L1991" t="str">
        <f>Orders!K1991</f>
        <v>Hyderabad</v>
      </c>
      <c r="M1991">
        <f>Orders!G1991</f>
        <v>1090</v>
      </c>
      <c r="N1991">
        <f>IFERROR(VLOOKUP(Orders!D1991,Products!$A$2:$D$61,4,FALSE),"")</f>
        <v>464</v>
      </c>
      <c r="O1991">
        <f t="shared" si="66"/>
        <v>0.57431192660550456</v>
      </c>
      <c r="Q1991" t="str">
        <f>Orders!D1991</f>
        <v>PROD-035</v>
      </c>
    </row>
    <row r="1992" spans="1:17" x14ac:dyDescent="0.3">
      <c r="A1992" t="str">
        <f>Orders!A1992</f>
        <v>ORD-01991</v>
      </c>
      <c r="B1992">
        <f>Orders!B1992</f>
        <v>45616</v>
      </c>
      <c r="C1992">
        <f>Orders!I1992</f>
        <v>18258</v>
      </c>
      <c r="D1992" t="str">
        <f>Orders!E1992</f>
        <v>R013</v>
      </c>
      <c r="E1992" t="str">
        <f>IFERROR(VLOOKUP(Orders!D1992,Products!$A$2:$C$61,3,FALSE),"Unknown")</f>
        <v>Beauty</v>
      </c>
      <c r="F1992" t="str">
        <f>IFERROR(VLOOKUP(Orders!C1992,Customers!$A$2:$E$301,5,FALSE),"Unknown")</f>
        <v>Corporate</v>
      </c>
      <c r="G1992">
        <f>IFERROR(VLOOKUP(Orders!C1992,Customers!$A$2:$C$301,3,FALSE),"")</f>
        <v>31</v>
      </c>
      <c r="H1992" t="str">
        <f>VLOOKUP(D1992,Sales_Reps!$A$2:$C$31,3,FALSE)</f>
        <v>South</v>
      </c>
      <c r="I1992" s="44">
        <f t="shared" si="65"/>
        <v>45597</v>
      </c>
      <c r="L1992" t="str">
        <f>Orders!K1992</f>
        <v>Bengaluru</v>
      </c>
      <c r="M1992">
        <f>Orders!G1992</f>
        <v>5100</v>
      </c>
      <c r="N1992">
        <f>IFERROR(VLOOKUP(Orders!D1992,Products!$A$2:$D$61,4,FALSE),"")</f>
        <v>2237</v>
      </c>
      <c r="O1992">
        <f t="shared" si="66"/>
        <v>0.56137254901960787</v>
      </c>
      <c r="Q1992" t="str">
        <f>Orders!D1992</f>
        <v>PROD-048</v>
      </c>
    </row>
    <row r="1993" spans="1:17" x14ac:dyDescent="0.3">
      <c r="A1993" t="str">
        <f>Orders!A1993</f>
        <v>ORD-01992</v>
      </c>
      <c r="B1993">
        <f>Orders!B1993</f>
        <v>45352</v>
      </c>
      <c r="C1993">
        <f>Orders!I1993</f>
        <v>24360.959999999999</v>
      </c>
      <c r="D1993" t="str">
        <f>Orders!E1993</f>
        <v>R008</v>
      </c>
      <c r="E1993" t="str">
        <f>IFERROR(VLOOKUP(Orders!D1993,Products!$A$2:$C$61,3,FALSE),"Unknown")</f>
        <v>Beauty</v>
      </c>
      <c r="F1993" t="str">
        <f>IFERROR(VLOOKUP(Orders!C1993,Customers!$A$2:$E$301,5,FALSE),"Unknown")</f>
        <v>SMB</v>
      </c>
      <c r="G1993">
        <f>IFERROR(VLOOKUP(Orders!C1993,Customers!$A$2:$C$301,3,FALSE),"")</f>
        <v>59</v>
      </c>
      <c r="H1993" t="str">
        <f>VLOOKUP(D1993,Sales_Reps!$A$2:$C$31,3,FALSE)</f>
        <v>North</v>
      </c>
      <c r="I1993" s="44">
        <f t="shared" si="65"/>
        <v>45352</v>
      </c>
      <c r="L1993" t="str">
        <f>Orders!K1993</f>
        <v>Chennai</v>
      </c>
      <c r="M1993">
        <f>Orders!G1993</f>
        <v>4880</v>
      </c>
      <c r="N1993">
        <f>IFERROR(VLOOKUP(Orders!D1993,Products!$A$2:$D$61,4,FALSE),"")</f>
        <v>2768</v>
      </c>
      <c r="O1993">
        <f t="shared" si="66"/>
        <v>0.43278688524590164</v>
      </c>
      <c r="Q1993" t="str">
        <f>Orders!D1993</f>
        <v>PROD-046</v>
      </c>
    </row>
    <row r="1994" spans="1:17" x14ac:dyDescent="0.3">
      <c r="A1994" t="str">
        <f>Orders!A1994</f>
        <v>ORD-01993</v>
      </c>
      <c r="B1994">
        <f>Orders!B1994</f>
        <v>45451</v>
      </c>
      <c r="C1994">
        <f>Orders!I1994</f>
        <v>3864.25</v>
      </c>
      <c r="D1994" t="str">
        <f>Orders!E1994</f>
        <v>R027</v>
      </c>
      <c r="E1994" t="str">
        <f>IFERROR(VLOOKUP(Orders!D1994,Products!$A$2:$C$61,3,FALSE),"Unknown")</f>
        <v>Electronics</v>
      </c>
      <c r="F1994" t="str">
        <f>IFERROR(VLOOKUP(Orders!C1994,Customers!$A$2:$E$301,5,FALSE),"Unknown")</f>
        <v>Retail</v>
      </c>
      <c r="G1994">
        <f>IFERROR(VLOOKUP(Orders!C1994,Customers!$A$2:$C$301,3,FALSE),"")</f>
        <v>65</v>
      </c>
      <c r="H1994" t="str">
        <f>VLOOKUP(D1994,Sales_Reps!$A$2:$C$31,3,FALSE)</f>
        <v>West</v>
      </c>
      <c r="I1994" s="44">
        <f t="shared" si="65"/>
        <v>45444</v>
      </c>
      <c r="L1994" t="str">
        <f>Orders!K1994</f>
        <v>Hyderabad</v>
      </c>
      <c r="M1994">
        <f>Orders!G1994</f>
        <v>5330</v>
      </c>
      <c r="N1994">
        <f>IFERROR(VLOOKUP(Orders!D1994,Products!$A$2:$D$61,4,FALSE),"")</f>
        <v>2405</v>
      </c>
      <c r="O1994">
        <f t="shared" si="66"/>
        <v>0.54878048780487809</v>
      </c>
      <c r="Q1994" t="str">
        <f>Orders!D1994</f>
        <v>PROD-001</v>
      </c>
    </row>
    <row r="1995" spans="1:17" x14ac:dyDescent="0.3">
      <c r="A1995" t="str">
        <f>Orders!A1995</f>
        <v>ORD-01994</v>
      </c>
      <c r="B1995">
        <f>Orders!B1995</f>
        <v>45477</v>
      </c>
      <c r="C1995">
        <f>Orders!I1995</f>
        <v>13456.87</v>
      </c>
      <c r="D1995" t="str">
        <f>Orders!E1995</f>
        <v>R029</v>
      </c>
      <c r="E1995" t="str">
        <f>IFERROR(VLOOKUP(Orders!D1995,Products!$A$2:$C$61,3,FALSE),"Unknown")</f>
        <v>Home</v>
      </c>
      <c r="F1995" t="str">
        <f>IFERROR(VLOOKUP(Orders!C1995,Customers!$A$2:$E$301,5,FALSE),"Unknown")</f>
        <v>SMB</v>
      </c>
      <c r="G1995">
        <f>IFERROR(VLOOKUP(Orders!C1995,Customers!$A$2:$C$301,3,FALSE),"")</f>
        <v>39</v>
      </c>
      <c r="H1995" t="str">
        <f>VLOOKUP(D1995,Sales_Reps!$A$2:$C$31,3,FALSE)</f>
        <v>West</v>
      </c>
      <c r="I1995" s="44">
        <f t="shared" si="65"/>
        <v>45474</v>
      </c>
      <c r="L1995" t="str">
        <f>Orders!K1995</f>
        <v>Pune</v>
      </c>
      <c r="M1995">
        <f>Orders!G1995</f>
        <v>2030</v>
      </c>
      <c r="N1995">
        <f>IFERROR(VLOOKUP(Orders!D1995,Products!$A$2:$D$61,4,FALSE),"")</f>
        <v>1143</v>
      </c>
      <c r="O1995">
        <f t="shared" si="66"/>
        <v>0.43694581280788175</v>
      </c>
      <c r="Q1995" t="str">
        <f>Orders!D1995</f>
        <v>PROD-033</v>
      </c>
    </row>
    <row r="1996" spans="1:17" x14ac:dyDescent="0.3">
      <c r="A1996" t="str">
        <f>Orders!A1996</f>
        <v>ORD-01995</v>
      </c>
      <c r="B1996">
        <f>Orders!B1996</f>
        <v>45360</v>
      </c>
      <c r="C1996">
        <f>Orders!I1996</f>
        <v>23356.2</v>
      </c>
      <c r="D1996" t="str">
        <f>Orders!E1996</f>
        <v>R024</v>
      </c>
      <c r="E1996" t="str">
        <f>IFERROR(VLOOKUP(Orders!D1996,Products!$A$2:$C$61,3,FALSE),"Unknown")</f>
        <v>Beauty</v>
      </c>
      <c r="F1996" t="str">
        <f>IFERROR(VLOOKUP(Orders!C1996,Customers!$A$2:$E$301,5,FALSE),"Unknown")</f>
        <v>Retail</v>
      </c>
      <c r="G1996">
        <f>IFERROR(VLOOKUP(Orders!C1996,Customers!$A$2:$C$301,3,FALSE),"")</f>
        <v>42</v>
      </c>
      <c r="H1996" t="str">
        <f>VLOOKUP(D1996,Sales_Reps!$A$2:$C$31,3,FALSE)</f>
        <v>West</v>
      </c>
      <c r="I1996" s="44">
        <f t="shared" si="65"/>
        <v>45352</v>
      </c>
      <c r="L1996" t="str">
        <f>Orders!K1996</f>
        <v>Bengaluru</v>
      </c>
      <c r="M1996">
        <f>Orders!G1996</f>
        <v>3350</v>
      </c>
      <c r="N1996">
        <f>IFERROR(VLOOKUP(Orders!D1996,Products!$A$2:$D$61,4,FALSE),"")</f>
        <v>1728</v>
      </c>
      <c r="O1996">
        <f t="shared" si="66"/>
        <v>0.48417910447761192</v>
      </c>
      <c r="Q1996" t="str">
        <f>Orders!D1996</f>
        <v>PROD-043</v>
      </c>
    </row>
    <row r="1997" spans="1:17" x14ac:dyDescent="0.3">
      <c r="A1997" t="str">
        <f>Orders!A1997</f>
        <v>ORD-01996</v>
      </c>
      <c r="B1997">
        <f>Orders!B1997</f>
        <v>45292</v>
      </c>
      <c r="C1997">
        <f>Orders!I1997</f>
        <v>19291.560000000001</v>
      </c>
      <c r="D1997" t="str">
        <f>Orders!E1997</f>
        <v>R015</v>
      </c>
      <c r="E1997" t="str">
        <f>IFERROR(VLOOKUP(Orders!D1997,Products!$A$2:$C$61,3,FALSE),"Unknown")</f>
        <v>Home</v>
      </c>
      <c r="F1997" t="str">
        <f>IFERROR(VLOOKUP(Orders!C1997,Customers!$A$2:$E$301,5,FALSE),"Unknown")</f>
        <v>Retail</v>
      </c>
      <c r="G1997">
        <f>IFERROR(VLOOKUP(Orders!C1997,Customers!$A$2:$C$301,3,FALSE),"")</f>
        <v>49</v>
      </c>
      <c r="H1997" t="str">
        <f>VLOOKUP(D1997,Sales_Reps!$A$2:$C$31,3,FALSE)</f>
        <v>South</v>
      </c>
      <c r="I1997" s="44">
        <f t="shared" si="65"/>
        <v>45292</v>
      </c>
      <c r="L1997" t="str">
        <f>Orders!K1997</f>
        <v>Chennai</v>
      </c>
      <c r="M1997">
        <f>Orders!G1997</f>
        <v>3730</v>
      </c>
      <c r="N1997">
        <f>IFERROR(VLOOKUP(Orders!D1997,Products!$A$2:$D$61,4,FALSE),"")</f>
        <v>2135</v>
      </c>
      <c r="O1997">
        <f t="shared" si="66"/>
        <v>0.42761394101876676</v>
      </c>
      <c r="Q1997" t="str">
        <f>Orders!D1997</f>
        <v>PROD-031</v>
      </c>
    </row>
    <row r="1998" spans="1:17" x14ac:dyDescent="0.3">
      <c r="A1998" t="str">
        <f>Orders!A1998</f>
        <v>ORD-01997</v>
      </c>
      <c r="B1998">
        <f>Orders!B1998</f>
        <v>45585</v>
      </c>
      <c r="C1998">
        <f>Orders!I1998</f>
        <v>22438.44</v>
      </c>
      <c r="D1998" t="str">
        <f>Orders!E1998</f>
        <v>R017</v>
      </c>
      <c r="E1998" t="str">
        <f>IFERROR(VLOOKUP(Orders!D1998,Products!$A$2:$C$61,3,FALSE),"Unknown")</f>
        <v>Electronics</v>
      </c>
      <c r="F1998" t="str">
        <f>IFERROR(VLOOKUP(Orders!C1998,Customers!$A$2:$E$301,5,FALSE),"Unknown")</f>
        <v>SMB</v>
      </c>
      <c r="G1998">
        <f>IFERROR(VLOOKUP(Orders!C1998,Customers!$A$2:$C$301,3,FALSE),"")</f>
        <v>24</v>
      </c>
      <c r="H1998" t="str">
        <f>VLOOKUP(D1998,Sales_Reps!$A$2:$C$31,3,FALSE)</f>
        <v>East</v>
      </c>
      <c r="I1998" s="44">
        <f t="shared" si="65"/>
        <v>45566</v>
      </c>
      <c r="L1998" t="str">
        <f>Orders!K1998</f>
        <v>Pune</v>
      </c>
      <c r="M1998">
        <f>Orders!G1998</f>
        <v>3970</v>
      </c>
      <c r="N1998">
        <f>IFERROR(VLOOKUP(Orders!D1998,Products!$A$2:$D$61,4,FALSE),"")</f>
        <v>2865</v>
      </c>
      <c r="O1998">
        <f t="shared" si="66"/>
        <v>0.27833753148614609</v>
      </c>
      <c r="Q1998" t="str">
        <f>Orders!D1998</f>
        <v>PROD-006</v>
      </c>
    </row>
    <row r="1999" spans="1:17" x14ac:dyDescent="0.3">
      <c r="A1999" t="str">
        <f>Orders!A1999</f>
        <v>ORD-01998</v>
      </c>
      <c r="B1999">
        <f>Orders!B1999</f>
        <v>45592</v>
      </c>
      <c r="C1999">
        <f>Orders!I1999</f>
        <v>7231.12</v>
      </c>
      <c r="D1999" t="str">
        <f>Orders!E1999</f>
        <v>R011</v>
      </c>
      <c r="E1999" t="str">
        <f>IFERROR(VLOOKUP(Orders!D1999,Products!$A$2:$C$61,3,FALSE),"Unknown")</f>
        <v>Grocery</v>
      </c>
      <c r="F1999" t="str">
        <f>IFERROR(VLOOKUP(Orders!C1999,Customers!$A$2:$E$301,5,FALSE),"Unknown")</f>
        <v>Corporate</v>
      </c>
      <c r="G1999">
        <f>IFERROR(VLOOKUP(Orders!C1999,Customers!$A$2:$C$301,3,FALSE),"")</f>
        <v>43</v>
      </c>
      <c r="H1999" t="str">
        <f>VLOOKUP(D1999,Sales_Reps!$A$2:$C$31,3,FALSE)</f>
        <v>South</v>
      </c>
      <c r="I1999" s="44">
        <f t="shared" si="65"/>
        <v>45566</v>
      </c>
      <c r="L1999" t="str">
        <f>Orders!K1999</f>
        <v>Bengaluru</v>
      </c>
      <c r="M1999">
        <f>Orders!G1999</f>
        <v>2210</v>
      </c>
      <c r="N1999">
        <f>IFERROR(VLOOKUP(Orders!D1999,Products!$A$2:$D$61,4,FALSE),"")</f>
        <v>1010</v>
      </c>
      <c r="O1999">
        <f t="shared" si="66"/>
        <v>0.54298642533936647</v>
      </c>
      <c r="Q1999" t="str">
        <f>Orders!D1999</f>
        <v>PROD-029</v>
      </c>
    </row>
    <row r="2000" spans="1:17" x14ac:dyDescent="0.3">
      <c r="A2000" t="str">
        <f>Orders!A2000</f>
        <v>ORD-01999</v>
      </c>
      <c r="B2000">
        <f>Orders!B2000</f>
        <v>45370</v>
      </c>
      <c r="C2000">
        <f>Orders!I2000</f>
        <v>27428.7</v>
      </c>
      <c r="D2000" t="str">
        <f>Orders!E2000</f>
        <v>R008</v>
      </c>
      <c r="E2000" t="str">
        <f>IFERROR(VLOOKUP(Orders!D2000,Products!$A$2:$C$61,3,FALSE),"Unknown")</f>
        <v>Sports</v>
      </c>
      <c r="F2000" t="str">
        <f>IFERROR(VLOOKUP(Orders!C2000,Customers!$A$2:$E$301,5,FALSE),"Unknown")</f>
        <v>Retail</v>
      </c>
      <c r="G2000">
        <f>IFERROR(VLOOKUP(Orders!C2000,Customers!$A$2:$C$301,3,FALSE),"")</f>
        <v>43</v>
      </c>
      <c r="H2000" t="str">
        <f>VLOOKUP(D2000,Sales_Reps!$A$2:$C$31,3,FALSE)</f>
        <v>North</v>
      </c>
      <c r="I2000" s="44">
        <f t="shared" si="65"/>
        <v>45352</v>
      </c>
      <c r="L2000" t="str">
        <f>Orders!K2000</f>
        <v>Delhi</v>
      </c>
      <c r="M2000">
        <f>Orders!G2000</f>
        <v>5410</v>
      </c>
      <c r="N2000">
        <f>IFERROR(VLOOKUP(Orders!D2000,Products!$A$2:$D$61,4,FALSE),"")</f>
        <v>2265</v>
      </c>
      <c r="O2000">
        <f t="shared" si="66"/>
        <v>0.58133086876155271</v>
      </c>
      <c r="Q2000" t="str">
        <f>Orders!D2000</f>
        <v>PROD-052</v>
      </c>
    </row>
    <row r="2001" spans="1:17" x14ac:dyDescent="0.3">
      <c r="A2001" t="str">
        <f>Orders!A2001</f>
        <v>ORD-02000</v>
      </c>
      <c r="B2001">
        <f>Orders!B2001</f>
        <v>45325</v>
      </c>
      <c r="C2001">
        <f>Orders!I2001</f>
        <v>21915.119999999999</v>
      </c>
      <c r="D2001" t="str">
        <f>Orders!E2001</f>
        <v>R023</v>
      </c>
      <c r="E2001" t="str">
        <f>IFERROR(VLOOKUP(Orders!D2001,Products!$A$2:$C$61,3,FALSE),"Unknown")</f>
        <v>Home</v>
      </c>
      <c r="F2001" t="str">
        <f>IFERROR(VLOOKUP(Orders!C2001,Customers!$A$2:$E$301,5,FALSE),"Unknown")</f>
        <v>Retail</v>
      </c>
      <c r="G2001">
        <f>IFERROR(VLOOKUP(Orders!C2001,Customers!$A$2:$C$301,3,FALSE),"")</f>
        <v>49</v>
      </c>
      <c r="H2001" t="str">
        <f>VLOOKUP(D2001,Sales_Reps!$A$2:$C$31,3,FALSE)</f>
        <v>East</v>
      </c>
      <c r="I2001" s="44">
        <f t="shared" si="65"/>
        <v>45323</v>
      </c>
      <c r="L2001" t="str">
        <f>Orders!K2001</f>
        <v>Delhi</v>
      </c>
      <c r="M2001">
        <f>Orders!G2001</f>
        <v>5080</v>
      </c>
      <c r="N2001">
        <f>IFERROR(VLOOKUP(Orders!D2001,Products!$A$2:$D$61,4,FALSE),"")</f>
        <v>2459</v>
      </c>
      <c r="O2001">
        <f t="shared" si="66"/>
        <v>0.51594488188976373</v>
      </c>
      <c r="Q2001" t="str">
        <f>Orders!D2001</f>
        <v>PROD-034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D17" sqref="D17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3023</v>
      </c>
      <c r="B1" s="34"/>
      <c r="C1" s="34"/>
      <c r="D1" s="34"/>
      <c r="E1" s="34"/>
      <c r="F1" s="34"/>
    </row>
    <row r="2" spans="1:6" x14ac:dyDescent="0.3">
      <c r="A2" s="33" t="s">
        <v>2970</v>
      </c>
      <c r="B2" s="34"/>
      <c r="C2" s="34"/>
      <c r="D2" s="34"/>
      <c r="E2" s="34"/>
      <c r="F2" s="34"/>
    </row>
    <row r="4" spans="1:6" ht="24" customHeight="1" x14ac:dyDescent="0.3">
      <c r="A4" s="5" t="s">
        <v>2898</v>
      </c>
      <c r="B4" s="5" t="s">
        <v>2899</v>
      </c>
      <c r="C4" s="5" t="s">
        <v>14</v>
      </c>
      <c r="D4" s="5" t="s">
        <v>2900</v>
      </c>
      <c r="E4" s="5" t="s">
        <v>2901</v>
      </c>
      <c r="F4" s="5" t="s">
        <v>2902</v>
      </c>
    </row>
    <row r="5" spans="1:6" ht="42" customHeight="1" x14ac:dyDescent="0.3">
      <c r="A5" s="16" t="s">
        <v>2971</v>
      </c>
      <c r="B5" s="17" t="s">
        <v>2972</v>
      </c>
      <c r="C5" s="18">
        <v>4</v>
      </c>
      <c r="D5" s="19" t="s">
        <v>2973</v>
      </c>
      <c r="E5" s="46">
        <f>GETPIVOTDATA("Final Amount",Sheet2!$A$3,"Sales Region","South","Category","Electronics")</f>
        <v>1314107.3899999999</v>
      </c>
      <c r="F5" s="21" t="s">
        <v>2955</v>
      </c>
    </row>
    <row r="6" spans="1:6" ht="42" customHeight="1" x14ac:dyDescent="0.3">
      <c r="A6" s="16" t="s">
        <v>2974</v>
      </c>
      <c r="B6" s="17" t="s">
        <v>2975</v>
      </c>
      <c r="C6" s="18">
        <v>4</v>
      </c>
      <c r="D6" s="19" t="s">
        <v>2976</v>
      </c>
      <c r="E6" s="46">
        <f>MAX(Sheet3!B5:M34)</f>
        <v>216421.52000000002</v>
      </c>
      <c r="F6" s="21" t="s">
        <v>2955</v>
      </c>
    </row>
    <row r="7" spans="1:6" ht="42" customHeight="1" x14ac:dyDescent="0.3">
      <c r="A7" s="16" t="s">
        <v>2977</v>
      </c>
      <c r="B7" s="17" t="s">
        <v>2978</v>
      </c>
      <c r="C7" s="18">
        <v>4</v>
      </c>
      <c r="D7" s="19" t="s">
        <v>2979</v>
      </c>
      <c r="E7" s="45">
        <f>Sheet2!B6/Sheet2!H6</f>
        <v>0.14023150471988344</v>
      </c>
      <c r="F7" s="21" t="s">
        <v>2980</v>
      </c>
    </row>
    <row r="8" spans="1:6" ht="42" customHeight="1" x14ac:dyDescent="0.3">
      <c r="A8" s="16" t="s">
        <v>2981</v>
      </c>
      <c r="B8" s="17" t="s">
        <v>2982</v>
      </c>
      <c r="C8" s="18">
        <v>4</v>
      </c>
      <c r="D8" s="19" t="s">
        <v>2983</v>
      </c>
      <c r="E8" s="46">
        <f>SUMIFS(Orders!I2:I2001,Orders!B2:B2001,"&gt;="&amp;DATE(2024,10,1),Orders!B2:B2001,"&lt;"&amp;DATE(2025,1,1))</f>
        <v>6459442.9800000004</v>
      </c>
      <c r="F8" s="21" t="s">
        <v>2955</v>
      </c>
    </row>
    <row r="9" spans="1:6" ht="42" customHeight="1" x14ac:dyDescent="0.3">
      <c r="A9" s="16" t="s">
        <v>2984</v>
      </c>
      <c r="B9" s="17" t="s">
        <v>2985</v>
      </c>
      <c r="C9" s="18">
        <v>4</v>
      </c>
      <c r="D9" s="19" t="s">
        <v>2986</v>
      </c>
      <c r="E9" s="45">
        <f>AVERAGEIFS(Q3_Working!O2:O2001,Q3_Working!L2:L2001,"Delhi")</f>
        <v>0.4488087270396342</v>
      </c>
      <c r="F9" s="21" t="s">
        <v>2980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3024</v>
      </c>
      <c r="B1" s="34"/>
      <c r="C1" s="34"/>
      <c r="D1" s="34"/>
      <c r="E1" s="34"/>
      <c r="F1" s="34"/>
    </row>
    <row r="2" spans="1:6" x14ac:dyDescent="0.3">
      <c r="A2" s="33" t="s">
        <v>2987</v>
      </c>
      <c r="B2" s="34"/>
      <c r="C2" s="34"/>
      <c r="D2" s="34"/>
      <c r="E2" s="34"/>
      <c r="F2" s="34"/>
    </row>
    <row r="4" spans="1:6" ht="24" customHeight="1" x14ac:dyDescent="0.3">
      <c r="A4" s="5" t="s">
        <v>2898</v>
      </c>
      <c r="B4" s="5" t="s">
        <v>2899</v>
      </c>
      <c r="C4" s="5" t="s">
        <v>14</v>
      </c>
      <c r="D4" s="5" t="s">
        <v>2900</v>
      </c>
      <c r="E4" s="5" t="s">
        <v>2901</v>
      </c>
      <c r="F4" s="5" t="s">
        <v>2902</v>
      </c>
    </row>
    <row r="5" spans="1:6" ht="42" customHeight="1" x14ac:dyDescent="0.3">
      <c r="A5" s="16" t="s">
        <v>2988</v>
      </c>
      <c r="B5" s="17" t="s">
        <v>2989</v>
      </c>
      <c r="C5" s="18">
        <v>2</v>
      </c>
      <c r="D5" s="19" t="s">
        <v>2990</v>
      </c>
      <c r="E5" s="20" t="str">
        <f>VLOOKUP(INDEX(Q3_Working!$J$2:$J$31,MATCH(7,Q3_Working!$P$2:$P$31,0)),Sales_Reps!$A$2:$B$31,2,FALSE)</f>
        <v>Amit Singh</v>
      </c>
      <c r="F5" s="21" t="s">
        <v>2910</v>
      </c>
    </row>
    <row r="6" spans="1:6" ht="42" customHeight="1" x14ac:dyDescent="0.3">
      <c r="A6" s="16" t="s">
        <v>2991</v>
      </c>
      <c r="B6" s="17" t="s">
        <v>2992</v>
      </c>
      <c r="C6" s="18">
        <v>2</v>
      </c>
      <c r="D6" s="19" t="s">
        <v>2993</v>
      </c>
      <c r="E6" s="46">
        <f>SUMIFS(Orders!I2:I2001,Orders!B2:B2001,"&gt;="&amp;DATE(2024,1,1),Orders!B2:B2001,"&lt;"&amp;DATE(2024,9,1))</f>
        <v>18050689.600000005</v>
      </c>
      <c r="F6" s="21" t="s">
        <v>2955</v>
      </c>
    </row>
    <row r="7" spans="1:6" ht="42" customHeight="1" x14ac:dyDescent="0.3">
      <c r="A7" s="16" t="s">
        <v>2994</v>
      </c>
      <c r="B7" s="17" t="s">
        <v>2995</v>
      </c>
      <c r="C7" s="18">
        <v>3</v>
      </c>
      <c r="D7" s="19" t="s">
        <v>2996</v>
      </c>
      <c r="E7" s="20" t="str">
        <f>VLOOKUP(INDEX(Q3_Working!$R$2:$R$61,MATCH(LARGE(Q3_Working!$S$2:$S$61,2),Q3_Working!$S$2:$S$61,0)),Products!$A$2:$B$61,2,FALSE)</f>
        <v>Smart Watch</v>
      </c>
      <c r="F7" s="21" t="s">
        <v>2910</v>
      </c>
    </row>
    <row r="8" spans="1:6" ht="42" customHeight="1" x14ac:dyDescent="0.3">
      <c r="A8" s="16" t="s">
        <v>2997</v>
      </c>
      <c r="B8" s="17" t="s">
        <v>2998</v>
      </c>
      <c r="C8" s="18">
        <v>2</v>
      </c>
      <c r="D8" s="19" t="s">
        <v>2999</v>
      </c>
      <c r="E8" s="47" t="str">
        <f>_xlfn.TEXTJOIN(" | ",TRUE,Q3_Working!U2:U6)</f>
        <v>Neha Desai | Shalini Patel | Deepak Shah | Nisha Menon | Arun Iyer</v>
      </c>
      <c r="F8" s="21" t="s">
        <v>2910</v>
      </c>
    </row>
    <row r="9" spans="1:6" ht="42" customHeight="1" x14ac:dyDescent="0.3">
      <c r="A9" s="16" t="s">
        <v>3000</v>
      </c>
      <c r="B9" s="17" t="s">
        <v>3001</v>
      </c>
      <c r="C9" s="18">
        <v>1</v>
      </c>
      <c r="D9" s="19" t="s">
        <v>3002</v>
      </c>
      <c r="E9" s="46">
        <f>_xlfn.MAXIFS(Q3_Working!$C$2:$C$2001,Q3_Working!$L$2:$L$2001,"Bengaluru",Q3_Working!$E$2:$E$2001,"Grocery")</f>
        <v>22134</v>
      </c>
      <c r="F9" s="21" t="s">
        <v>2955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0862-49D3-41BE-869A-147C3D173E6D}">
  <dimension ref="A1:N16"/>
  <sheetViews>
    <sheetView showGridLines="0" tabSelected="1" zoomScale="60" workbookViewId="0">
      <selection activeCell="A5" sqref="A5"/>
    </sheetView>
  </sheetViews>
  <sheetFormatPr defaultRowHeight="14.4" x14ac:dyDescent="0.3"/>
  <cols>
    <col min="1" max="1" width="22.44140625" bestFit="1" customWidth="1"/>
    <col min="4" max="4" width="22.44140625" bestFit="1" customWidth="1"/>
    <col min="7" max="7" width="14.44140625" bestFit="1" customWidth="1"/>
    <col min="14" max="14" width="30.44140625" customWidth="1"/>
  </cols>
  <sheetData>
    <row r="1" spans="1:14" x14ac:dyDescent="0.3">
      <c r="A1" s="48" t="s">
        <v>3054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4" spans="1:14" ht="18" x14ac:dyDescent="0.35">
      <c r="A4" s="56" t="s">
        <v>3055</v>
      </c>
      <c r="B4" s="56"/>
      <c r="C4" s="56"/>
      <c r="D4" s="56" t="s">
        <v>3056</v>
      </c>
      <c r="E4" s="56"/>
      <c r="F4" s="56"/>
      <c r="G4" s="56" t="s">
        <v>3057</v>
      </c>
      <c r="H4" s="56"/>
      <c r="I4" s="56"/>
      <c r="M4" s="57" t="s">
        <v>3058</v>
      </c>
      <c r="N4" s="58" t="s">
        <v>3059</v>
      </c>
    </row>
    <row r="5" spans="1:14" ht="21" x14ac:dyDescent="0.4">
      <c r="A5" s="51">
        <f>SUM(Orders!I2:I2001)</f>
        <v>26572948.200000025</v>
      </c>
      <c r="D5" s="51">
        <f>SUMIFS(Orders!I2:I2001,Orders!J2:J2001,"Completed")</f>
        <v>19319312.630000025</v>
      </c>
      <c r="E5" s="49"/>
      <c r="G5" s="53">
        <f>COUNTA(Orders!A2:A2001)</f>
        <v>2000</v>
      </c>
      <c r="M5" s="52">
        <f>DATE(2024,1,1)</f>
        <v>45292</v>
      </c>
      <c r="N5" s="50">
        <f>SUMIFS(Orders!$I$2:$I$2001,Orders!$B$2:$B$2001,"&gt;="&amp;M5,Orders!$B$2:$B$2001,"&lt;"&amp;EDATE(M5,1))</f>
        <v>1941147.4400000004</v>
      </c>
    </row>
    <row r="6" spans="1:14" x14ac:dyDescent="0.3">
      <c r="M6" s="52">
        <f>EDATE(M5,1)</f>
        <v>45323</v>
      </c>
      <c r="N6" s="50">
        <f>SUMIFS(Orders!$I$2:$I$2001,Orders!$B$2:$B$2001,"&gt;="&amp;M6,Orders!$B$2:$B$2001,"&lt;"&amp;EDATE(M6,1))</f>
        <v>2307493.6700000004</v>
      </c>
    </row>
    <row r="7" spans="1:14" x14ac:dyDescent="0.3">
      <c r="M7" s="52">
        <f t="shared" ref="M7:M16" si="0">EDATE(M6,1)</f>
        <v>45352</v>
      </c>
      <c r="N7" s="50">
        <f>SUMIFS(Orders!$I$2:$I$2001,Orders!$B$2:$B$2001,"&gt;="&amp;M7,Orders!$B$2:$B$2001,"&lt;"&amp;EDATE(M7,1))</f>
        <v>2480322.6199999996</v>
      </c>
    </row>
    <row r="8" spans="1:14" x14ac:dyDescent="0.3">
      <c r="M8" s="52">
        <f t="shared" si="0"/>
        <v>45383</v>
      </c>
      <c r="N8" s="50">
        <f>SUMIFS(Orders!$I$2:$I$2001,Orders!$B$2:$B$2001,"&gt;="&amp;M8,Orders!$B$2:$B$2001,"&lt;"&amp;EDATE(M8,1))</f>
        <v>2282454.1300000004</v>
      </c>
    </row>
    <row r="9" spans="1:14" x14ac:dyDescent="0.3">
      <c r="M9" s="52">
        <f t="shared" si="0"/>
        <v>45413</v>
      </c>
      <c r="N9" s="50">
        <f>SUMIFS(Orders!$I$2:$I$2001,Orders!$B$2:$B$2001,"&gt;="&amp;M9,Orders!$B$2:$B$2001,"&lt;"&amp;EDATE(M9,1))</f>
        <v>2580391.0199999996</v>
      </c>
    </row>
    <row r="10" spans="1:14" x14ac:dyDescent="0.3">
      <c r="M10" s="52">
        <f t="shared" si="0"/>
        <v>45444</v>
      </c>
      <c r="N10" s="50">
        <f>SUMIFS(Orders!$I$2:$I$2001,Orders!$B$2:$B$2001,"&gt;="&amp;M10,Orders!$B$2:$B$2001,"&lt;"&amp;EDATE(M10,1))</f>
        <v>1965939.0699999998</v>
      </c>
    </row>
    <row r="11" spans="1:14" x14ac:dyDescent="0.3">
      <c r="M11" s="52">
        <f t="shared" si="0"/>
        <v>45474</v>
      </c>
      <c r="N11" s="50">
        <f>SUMIFS(Orders!$I$2:$I$2001,Orders!$B$2:$B$2001,"&gt;="&amp;M11,Orders!$B$2:$B$2001,"&lt;"&amp;EDATE(M11,1))</f>
        <v>1965013.6899999988</v>
      </c>
    </row>
    <row r="12" spans="1:14" x14ac:dyDescent="0.3">
      <c r="M12" s="52">
        <f t="shared" si="0"/>
        <v>45505</v>
      </c>
      <c r="N12" s="50">
        <f>SUMIFS(Orders!$I$2:$I$2001,Orders!$B$2:$B$2001,"&gt;="&amp;M12,Orders!$B$2:$B$2001,"&lt;"&amp;EDATE(M12,1))</f>
        <v>2527927.9600000018</v>
      </c>
    </row>
    <row r="13" spans="1:14" x14ac:dyDescent="0.3">
      <c r="M13" s="52">
        <f t="shared" si="0"/>
        <v>45536</v>
      </c>
      <c r="N13" s="50">
        <f>SUMIFS(Orders!$I$2:$I$2001,Orders!$B$2:$B$2001,"&gt;="&amp;M13,Orders!$B$2:$B$2001,"&lt;"&amp;EDATE(M13,1))</f>
        <v>2062815.6199999994</v>
      </c>
    </row>
    <row r="14" spans="1:14" x14ac:dyDescent="0.3">
      <c r="M14" s="52">
        <f t="shared" si="0"/>
        <v>45566</v>
      </c>
      <c r="N14" s="50">
        <f>SUMIFS(Orders!$I$2:$I$2001,Orders!$B$2:$B$2001,"&gt;="&amp;M14,Orders!$B$2:$B$2001,"&lt;"&amp;EDATE(M14,1))</f>
        <v>1977882.43</v>
      </c>
    </row>
    <row r="15" spans="1:14" x14ac:dyDescent="0.3">
      <c r="M15" s="52">
        <f t="shared" si="0"/>
        <v>45597</v>
      </c>
      <c r="N15" s="50">
        <f>SUMIFS(Orders!$I$2:$I$2001,Orders!$B$2:$B$2001,"&gt;="&amp;M15,Orders!$B$2:$B$2001,"&lt;"&amp;EDATE(M15,1))</f>
        <v>2297637.08</v>
      </c>
    </row>
    <row r="16" spans="1:14" x14ac:dyDescent="0.3">
      <c r="M16" s="52">
        <f t="shared" si="0"/>
        <v>45627</v>
      </c>
      <c r="N16" s="50">
        <f>SUMIFS(Orders!$I$2:$I$2001,Orders!$B$2:$B$2001,"&gt;="&amp;M16,Orders!$B$2:$B$2001,"&lt;"&amp;EDATE(M16,1))</f>
        <v>2183923.4700000007</v>
      </c>
    </row>
  </sheetData>
  <mergeCells count="4">
    <mergeCell ref="A1:L2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10</vt:i4>
      </vt:variant>
    </vt:vector>
  </HeadingPairs>
  <TitlesOfParts>
    <vt:vector size="25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Sheet2</vt:lpstr>
      <vt:lpstr>Sheet3</vt:lpstr>
      <vt:lpstr>Q3_Working</vt:lpstr>
      <vt:lpstr>Q4_Pivot</vt:lpstr>
      <vt:lpstr>Q5_Advanced</vt:lpstr>
      <vt:lpstr>Dashboard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Arathi A</cp:lastModifiedBy>
  <dcterms:created xsi:type="dcterms:W3CDTF">2026-08-08T11:39:42Z</dcterms:created>
  <dcterms:modified xsi:type="dcterms:W3CDTF">2026-10-19T19:22:58Z</dcterms:modified>
</cp:coreProperties>
</file>